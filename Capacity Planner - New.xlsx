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gbeconverge.sharepoint.com/sites/GBEC-Technology/J Admin/Capacity Planner/"/>
    </mc:Choice>
  </mc:AlternateContent>
  <xr:revisionPtr revIDLastSave="5216" documentId="13_ncr:1_{C4CEE8DE-7137-4E9A-9704-A20BE8731F76}" xr6:coauthVersionLast="47" xr6:coauthVersionMax="47" xr10:uidLastSave="{193615A0-5EF0-4A07-B0CB-0CD2E3217006}"/>
  <bookViews>
    <workbookView xWindow="17730" yWindow="-16335" windowWidth="29070" windowHeight="15750" firstSheet="2" activeTab="2" xr2:uid="{CF0502A2-1F34-4BB5-BDFF-FED53CE419B4}"/>
  </bookViews>
  <sheets>
    <sheet name="Summary" sheetId="3" r:id="rId1"/>
    <sheet name="2024" sheetId="1" state="hidden" r:id="rId2"/>
    <sheet name="2026" sheetId="6" r:id="rId3"/>
    <sheet name="2025" sheetId="2" r:id="rId4"/>
    <sheet name="Forecast" sheetId="4" state="hidden" r:id="rId5"/>
  </sheets>
  <definedNames>
    <definedName name="_xlnm._FilterDatabase" localSheetId="3" hidden="1">'2025'!$B$42:$B$48</definedName>
    <definedName name="_xlnm._FilterDatabase" localSheetId="2" hidden="1">'2026'!$B$44:$B$50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S38" i="6" l="1"/>
  <c r="EO38" i="6"/>
  <c r="DP40" i="6"/>
  <c r="ET37" i="6"/>
  <c r="EU37" i="6"/>
  <c r="EV37" i="6"/>
  <c r="EY37" i="6"/>
  <c r="ES37" i="6"/>
  <c r="CN40" i="6"/>
  <c r="CP38" i="6"/>
  <c r="CO38" i="6"/>
  <c r="BT38" i="6"/>
  <c r="BS38" i="6"/>
  <c r="GH40" i="6"/>
  <c r="GI40" i="6"/>
  <c r="GJ40" i="6"/>
  <c r="GK40" i="6"/>
  <c r="GE40" i="6"/>
  <c r="BL38" i="6"/>
  <c r="BS40" i="6"/>
  <c r="BT39" i="6"/>
  <c r="BU39" i="6"/>
  <c r="BV39" i="6"/>
  <c r="BW39" i="6"/>
  <c r="BS39" i="6"/>
  <c r="BW38" i="6"/>
  <c r="BO41" i="6"/>
  <c r="BP41" i="6"/>
  <c r="BN40" i="6"/>
  <c r="BM39" i="6"/>
  <c r="BN39" i="6"/>
  <c r="BL39" i="6"/>
  <c r="BP37" i="6"/>
  <c r="BO37" i="6"/>
  <c r="BN37" i="6"/>
  <c r="BM37" i="6"/>
  <c r="BL37" i="6"/>
  <c r="BI38" i="6"/>
  <c r="BI41" i="6"/>
  <c r="BG41" i="6"/>
  <c r="BG39" i="6"/>
  <c r="BF37" i="6"/>
  <c r="BH37" i="6"/>
  <c r="BI37" i="6"/>
  <c r="DF37" i="6"/>
  <c r="CI37" i="6"/>
  <c r="CH37" i="6"/>
  <c r="BB37" i="6" l="1"/>
  <c r="AZ37" i="6"/>
  <c r="AY37" i="6"/>
  <c r="BA40" i="6"/>
  <c r="AZ40" i="6"/>
  <c r="AZ38" i="6"/>
  <c r="AZ39" i="6"/>
  <c r="BB39" i="6"/>
  <c r="BB40" i="6"/>
  <c r="BB38" i="6"/>
  <c r="BB41" i="6"/>
  <c r="BA41" i="6"/>
  <c r="AZ41" i="6"/>
  <c r="AY40" i="6"/>
  <c r="AY38" i="6"/>
  <c r="AY41" i="6"/>
  <c r="AX41" i="6"/>
  <c r="AY39" i="6"/>
  <c r="AX39" i="6"/>
  <c r="AX38" i="6"/>
  <c r="BA39" i="6"/>
  <c r="BA38" i="6"/>
  <c r="BA37" i="6"/>
  <c r="BE40" i="6"/>
  <c r="BF40" i="6"/>
  <c r="BG40" i="6"/>
  <c r="BH40" i="6"/>
  <c r="BI40" i="6"/>
  <c r="AX40" i="6"/>
  <c r="AU41" i="6"/>
  <c r="AT41" i="6"/>
  <c r="AS38" i="6"/>
  <c r="AT37" i="6"/>
  <c r="AS37" i="6"/>
  <c r="AU37" i="6"/>
  <c r="AR37" i="6"/>
  <c r="AM38" i="6"/>
  <c r="AL41" i="6"/>
  <c r="AM41" i="6"/>
  <c r="AJ39" i="6"/>
  <c r="AL39" i="6"/>
  <c r="AN40" i="6"/>
  <c r="AU40" i="6"/>
  <c r="AS41" i="6"/>
  <c r="AS40" i="6"/>
  <c r="AS39" i="6"/>
  <c r="AR39" i="6"/>
  <c r="AU38" i="6"/>
  <c r="AT38" i="6"/>
  <c r="AR38" i="6"/>
  <c r="AQ38" i="6"/>
  <c r="BE39" i="6"/>
  <c r="BF39" i="6"/>
  <c r="BH39" i="6"/>
  <c r="BI39" i="6"/>
  <c r="CG40" i="6"/>
  <c r="CG39" i="6"/>
  <c r="CH39" i="6"/>
  <c r="CI39" i="6"/>
  <c r="CJ39" i="6"/>
  <c r="CK39" i="6"/>
  <c r="CH40" i="6"/>
  <c r="CI40" i="6"/>
  <c r="CJ40" i="6"/>
  <c r="CK40" i="6"/>
  <c r="AL40" i="6"/>
  <c r="AJ40" i="6"/>
  <c r="AK39" i="6"/>
  <c r="AK40" i="6"/>
  <c r="AQ41" i="6"/>
  <c r="CN38" i="6"/>
  <c r="CK38" i="6"/>
  <c r="BH38" i="6"/>
  <c r="AC39" i="6"/>
  <c r="AC37" i="6"/>
  <c r="BH41" i="6"/>
  <c r="AF38" i="6"/>
  <c r="AF41" i="6"/>
  <c r="CK41" i="6"/>
  <c r="CD41" i="6"/>
  <c r="BW41" i="6"/>
  <c r="W38" i="6"/>
  <c r="V40" i="6"/>
  <c r="CB38" i="6"/>
  <c r="CC38" i="6"/>
  <c r="CD38" i="6"/>
  <c r="CA38" i="6"/>
  <c r="BM38" i="6"/>
  <c r="X41" i="6"/>
  <c r="IB37" i="6"/>
  <c r="AG38" i="6"/>
  <c r="Q38" i="6"/>
  <c r="Q41" i="6"/>
  <c r="O38" i="6"/>
  <c r="L38" i="6"/>
  <c r="L41" i="6"/>
  <c r="K41" i="6"/>
  <c r="K38" i="6"/>
  <c r="LV38" i="6"/>
  <c r="LU38" i="6"/>
  <c r="LT38" i="6"/>
  <c r="LS38" i="6"/>
  <c r="LR38" i="6"/>
  <c r="LO38" i="6"/>
  <c r="LN38" i="6"/>
  <c r="LM38" i="6"/>
  <c r="LL38" i="6"/>
  <c r="LK38" i="6"/>
  <c r="LH38" i="6"/>
  <c r="LG38" i="6"/>
  <c r="LF38" i="6"/>
  <c r="LE38" i="6"/>
  <c r="LD38" i="6"/>
  <c r="KY38" i="6"/>
  <c r="KZ38" i="6"/>
  <c r="LA38" i="6"/>
  <c r="KX38" i="6"/>
  <c r="JU38" i="6"/>
  <c r="JV38" i="6"/>
  <c r="JW38" i="6"/>
  <c r="JX38" i="6"/>
  <c r="JY38" i="6"/>
  <c r="KB38" i="6"/>
  <c r="KC38" i="6"/>
  <c r="KD38" i="6"/>
  <c r="KE38" i="6"/>
  <c r="KF38" i="6"/>
  <c r="KI38" i="6"/>
  <c r="KJ38" i="6"/>
  <c r="KK38" i="6"/>
  <c r="KL38" i="6"/>
  <c r="KM38" i="6"/>
  <c r="ND41" i="6"/>
  <c r="NC41" i="6"/>
  <c r="NB41" i="6"/>
  <c r="ND40" i="6"/>
  <c r="NC40" i="6"/>
  <c r="NB40" i="6"/>
  <c r="ND39" i="6"/>
  <c r="NC39" i="6"/>
  <c r="NB39" i="6"/>
  <c r="ND38" i="6"/>
  <c r="NC38" i="6"/>
  <c r="NB38" i="6"/>
  <c r="ND37" i="6"/>
  <c r="NC37" i="6"/>
  <c r="NB37" i="6"/>
  <c r="MW41" i="6"/>
  <c r="MV41" i="6"/>
  <c r="MU41" i="6"/>
  <c r="MT41" i="6"/>
  <c r="MW40" i="6"/>
  <c r="MV40" i="6"/>
  <c r="MU40" i="6"/>
  <c r="MT40" i="6"/>
  <c r="MW39" i="6"/>
  <c r="MV39" i="6"/>
  <c r="MU39" i="6"/>
  <c r="MT39" i="6"/>
  <c r="MW38" i="6"/>
  <c r="MV38" i="6"/>
  <c r="MU38" i="6"/>
  <c r="MT38" i="6"/>
  <c r="MW37" i="6"/>
  <c r="MV37" i="6"/>
  <c r="MU37" i="6"/>
  <c r="MT37" i="6"/>
  <c r="MQ41" i="6"/>
  <c r="MP41" i="6"/>
  <c r="MO41" i="6"/>
  <c r="MN41" i="6"/>
  <c r="MM41" i="6"/>
  <c r="MQ40" i="6"/>
  <c r="MP40" i="6"/>
  <c r="MO40" i="6"/>
  <c r="MN40" i="6"/>
  <c r="MM40" i="6"/>
  <c r="MQ39" i="6"/>
  <c r="MP39" i="6"/>
  <c r="MO39" i="6"/>
  <c r="MN39" i="6"/>
  <c r="MM39" i="6"/>
  <c r="MQ38" i="6"/>
  <c r="MP38" i="6"/>
  <c r="MO38" i="6"/>
  <c r="MN38" i="6"/>
  <c r="MM38" i="6"/>
  <c r="MQ37" i="6"/>
  <c r="MP37" i="6"/>
  <c r="MO37" i="6"/>
  <c r="MN37" i="6"/>
  <c r="MM37" i="6"/>
  <c r="MJ41" i="6"/>
  <c r="MI41" i="6"/>
  <c r="MH41" i="6"/>
  <c r="MG41" i="6"/>
  <c r="MF41" i="6"/>
  <c r="MJ40" i="6"/>
  <c r="MI40" i="6"/>
  <c r="MH40" i="6"/>
  <c r="MG40" i="6"/>
  <c r="MF40" i="6"/>
  <c r="MJ39" i="6"/>
  <c r="MI39" i="6"/>
  <c r="MH39" i="6"/>
  <c r="MG39" i="6"/>
  <c r="MF39" i="6"/>
  <c r="MJ38" i="6"/>
  <c r="MI38" i="6"/>
  <c r="MH38" i="6"/>
  <c r="MG38" i="6"/>
  <c r="MF38" i="6"/>
  <c r="MJ37" i="6"/>
  <c r="MI37" i="6"/>
  <c r="MH37" i="6"/>
  <c r="MG37" i="6"/>
  <c r="MF37" i="6"/>
  <c r="MC41" i="6"/>
  <c r="MB41" i="6"/>
  <c r="MA41" i="6"/>
  <c r="LZ41" i="6"/>
  <c r="LY41" i="6"/>
  <c r="MC40" i="6"/>
  <c r="MB40" i="6"/>
  <c r="MA40" i="6"/>
  <c r="LZ40" i="6"/>
  <c r="LY40" i="6"/>
  <c r="MC39" i="6"/>
  <c r="MB39" i="6"/>
  <c r="MA39" i="6"/>
  <c r="LZ39" i="6"/>
  <c r="LY39" i="6"/>
  <c r="MC38" i="6"/>
  <c r="MB38" i="6"/>
  <c r="MA38" i="6"/>
  <c r="LZ38" i="6"/>
  <c r="LY38" i="6"/>
  <c r="MC37" i="6"/>
  <c r="MB37" i="6"/>
  <c r="MA37" i="6"/>
  <c r="LZ37" i="6"/>
  <c r="LY37" i="6"/>
  <c r="LV41" i="6"/>
  <c r="LU41" i="6"/>
  <c r="LT41" i="6"/>
  <c r="LS41" i="6"/>
  <c r="LR41" i="6"/>
  <c r="LV40" i="6"/>
  <c r="LU40" i="6"/>
  <c r="LT40" i="6"/>
  <c r="LS40" i="6"/>
  <c r="LR40" i="6"/>
  <c r="LV39" i="6"/>
  <c r="LU39" i="6"/>
  <c r="LT39" i="6"/>
  <c r="LS39" i="6"/>
  <c r="LR39" i="6"/>
  <c r="LV37" i="6"/>
  <c r="LU37" i="6"/>
  <c r="LT37" i="6"/>
  <c r="LS37" i="6"/>
  <c r="LR37" i="6"/>
  <c r="LO41" i="6"/>
  <c r="LN41" i="6"/>
  <c r="LM41" i="6"/>
  <c r="LL41" i="6"/>
  <c r="LK41" i="6"/>
  <c r="LO40" i="6"/>
  <c r="LN40" i="6"/>
  <c r="LM40" i="6"/>
  <c r="LL40" i="6"/>
  <c r="LK40" i="6"/>
  <c r="LO39" i="6"/>
  <c r="LN39" i="6"/>
  <c r="LM39" i="6"/>
  <c r="LL39" i="6"/>
  <c r="LK39" i="6"/>
  <c r="LO37" i="6"/>
  <c r="LN37" i="6"/>
  <c r="LM37" i="6"/>
  <c r="LL37" i="6"/>
  <c r="LK37" i="6"/>
  <c r="LH41" i="6"/>
  <c r="LG41" i="6"/>
  <c r="LF41" i="6"/>
  <c r="LE41" i="6"/>
  <c r="LD41" i="6"/>
  <c r="LH40" i="6"/>
  <c r="LG40" i="6"/>
  <c r="LF40" i="6"/>
  <c r="LE40" i="6"/>
  <c r="LD40" i="6"/>
  <c r="LH39" i="6"/>
  <c r="LG39" i="6"/>
  <c r="LF39" i="6"/>
  <c r="LE39" i="6"/>
  <c r="LD39" i="6"/>
  <c r="LH37" i="6"/>
  <c r="LG37" i="6"/>
  <c r="LF37" i="6"/>
  <c r="LE37" i="6"/>
  <c r="LD37" i="6"/>
  <c r="LA41" i="6"/>
  <c r="KZ41" i="6"/>
  <c r="KY41" i="6"/>
  <c r="KX41" i="6"/>
  <c r="KW41" i="6"/>
  <c r="LA40" i="6"/>
  <c r="KZ40" i="6"/>
  <c r="KY40" i="6"/>
  <c r="KX40" i="6"/>
  <c r="KW40" i="6"/>
  <c r="LA39" i="6"/>
  <c r="KZ39" i="6"/>
  <c r="KY39" i="6"/>
  <c r="KX39" i="6"/>
  <c r="KW39" i="6"/>
  <c r="KW38" i="6"/>
  <c r="LA37" i="6"/>
  <c r="KZ37" i="6"/>
  <c r="KY37" i="6"/>
  <c r="KX37" i="6"/>
  <c r="KW37" i="6"/>
  <c r="KT41" i="6"/>
  <c r="KS41" i="6"/>
  <c r="KR41" i="6"/>
  <c r="KQ41" i="6"/>
  <c r="KP41" i="6"/>
  <c r="KT40" i="6"/>
  <c r="KS40" i="6"/>
  <c r="KR40" i="6"/>
  <c r="KQ40" i="6"/>
  <c r="KP40" i="6"/>
  <c r="KT39" i="6"/>
  <c r="KS39" i="6"/>
  <c r="KR39" i="6"/>
  <c r="KQ39" i="6"/>
  <c r="KP39" i="6"/>
  <c r="KT38" i="6"/>
  <c r="KS38" i="6"/>
  <c r="KR38" i="6"/>
  <c r="KQ38" i="6"/>
  <c r="KP38" i="6"/>
  <c r="KT37" i="6"/>
  <c r="KS37" i="6"/>
  <c r="KR37" i="6"/>
  <c r="KQ37" i="6"/>
  <c r="KP37" i="6"/>
  <c r="KM41" i="6"/>
  <c r="KL41" i="6"/>
  <c r="KK41" i="6"/>
  <c r="KJ41" i="6"/>
  <c r="KI41" i="6"/>
  <c r="KM40" i="6"/>
  <c r="KL40" i="6"/>
  <c r="KK40" i="6"/>
  <c r="KJ40" i="6"/>
  <c r="KI40" i="6"/>
  <c r="KM39" i="6"/>
  <c r="KL39" i="6"/>
  <c r="KK39" i="6"/>
  <c r="KJ39" i="6"/>
  <c r="KI39" i="6"/>
  <c r="KM37" i="6"/>
  <c r="KL37" i="6"/>
  <c r="KK37" i="6"/>
  <c r="KJ37" i="6"/>
  <c r="KI37" i="6"/>
  <c r="KF41" i="6"/>
  <c r="KE41" i="6"/>
  <c r="KD41" i="6"/>
  <c r="KC41" i="6"/>
  <c r="KB41" i="6"/>
  <c r="KF40" i="6"/>
  <c r="KE40" i="6"/>
  <c r="KD40" i="6"/>
  <c r="KC40" i="6"/>
  <c r="KB40" i="6"/>
  <c r="KF39" i="6"/>
  <c r="KE39" i="6"/>
  <c r="KD39" i="6"/>
  <c r="KC39" i="6"/>
  <c r="KB39" i="6"/>
  <c r="KF37" i="6"/>
  <c r="KE37" i="6"/>
  <c r="KD37" i="6"/>
  <c r="KC37" i="6"/>
  <c r="KB37" i="6"/>
  <c r="JY41" i="6"/>
  <c r="JX41" i="6"/>
  <c r="JW41" i="6"/>
  <c r="JV41" i="6"/>
  <c r="JU41" i="6"/>
  <c r="JY40" i="6"/>
  <c r="JX40" i="6"/>
  <c r="JW40" i="6"/>
  <c r="JV40" i="6"/>
  <c r="JU40" i="6"/>
  <c r="JY39" i="6"/>
  <c r="JX39" i="6"/>
  <c r="JW39" i="6"/>
  <c r="JV39" i="6"/>
  <c r="JU39" i="6"/>
  <c r="JY37" i="6"/>
  <c r="JX37" i="6"/>
  <c r="JW37" i="6"/>
  <c r="JV37" i="6"/>
  <c r="JU37" i="6"/>
  <c r="JR41" i="6"/>
  <c r="JQ41" i="6"/>
  <c r="JP41" i="6"/>
  <c r="JO41" i="6"/>
  <c r="JN41" i="6"/>
  <c r="JR40" i="6"/>
  <c r="JQ40" i="6"/>
  <c r="JP40" i="6"/>
  <c r="JO40" i="6"/>
  <c r="JN40" i="6"/>
  <c r="JR39" i="6"/>
  <c r="JQ39" i="6"/>
  <c r="JP39" i="6"/>
  <c r="JO39" i="6"/>
  <c r="JN39" i="6"/>
  <c r="JR38" i="6"/>
  <c r="JQ38" i="6"/>
  <c r="JP38" i="6"/>
  <c r="JO38" i="6"/>
  <c r="JN38" i="6"/>
  <c r="JR37" i="6"/>
  <c r="JQ37" i="6"/>
  <c r="JP37" i="6"/>
  <c r="JO37" i="6"/>
  <c r="JN37" i="6"/>
  <c r="JK41" i="6"/>
  <c r="JJ41" i="6"/>
  <c r="JI41" i="6"/>
  <c r="JH41" i="6"/>
  <c r="JG41" i="6"/>
  <c r="JK40" i="6"/>
  <c r="JJ40" i="6"/>
  <c r="JI40" i="6"/>
  <c r="JH40" i="6"/>
  <c r="JG40" i="6"/>
  <c r="JK39" i="6"/>
  <c r="JJ39" i="6"/>
  <c r="JI39" i="6"/>
  <c r="JH39" i="6"/>
  <c r="JG39" i="6"/>
  <c r="JK38" i="6"/>
  <c r="JJ38" i="6"/>
  <c r="JI38" i="6"/>
  <c r="JH38" i="6"/>
  <c r="JG38" i="6"/>
  <c r="JK37" i="6"/>
  <c r="JJ37" i="6"/>
  <c r="JI37" i="6"/>
  <c r="JH37" i="6"/>
  <c r="JG37" i="6"/>
  <c r="JD41" i="6"/>
  <c r="JC41" i="6"/>
  <c r="JB41" i="6"/>
  <c r="JA41" i="6"/>
  <c r="IZ41" i="6"/>
  <c r="JD40" i="6"/>
  <c r="JC40" i="6"/>
  <c r="JB40" i="6"/>
  <c r="JA40" i="6"/>
  <c r="IZ40" i="6"/>
  <c r="JD39" i="6"/>
  <c r="JC39" i="6"/>
  <c r="JB39" i="6"/>
  <c r="JA39" i="6"/>
  <c r="IZ39" i="6"/>
  <c r="JD38" i="6"/>
  <c r="JC38" i="6"/>
  <c r="JB38" i="6"/>
  <c r="JA38" i="6"/>
  <c r="IZ38" i="6"/>
  <c r="JD37" i="6"/>
  <c r="JC37" i="6"/>
  <c r="JB37" i="6"/>
  <c r="JA37" i="6"/>
  <c r="IZ37" i="6"/>
  <c r="IW41" i="6"/>
  <c r="IV41" i="6"/>
  <c r="IU41" i="6"/>
  <c r="IT41" i="6"/>
  <c r="IS41" i="6"/>
  <c r="IW40" i="6"/>
  <c r="IV40" i="6"/>
  <c r="IU40" i="6"/>
  <c r="IT40" i="6"/>
  <c r="IS40" i="6"/>
  <c r="IW39" i="6"/>
  <c r="IV39" i="6"/>
  <c r="IU39" i="6"/>
  <c r="IT39" i="6"/>
  <c r="IS39" i="6"/>
  <c r="IW38" i="6"/>
  <c r="IV38" i="6"/>
  <c r="IU38" i="6"/>
  <c r="IT38" i="6"/>
  <c r="IS38" i="6"/>
  <c r="IW37" i="6"/>
  <c r="IV37" i="6"/>
  <c r="IU37" i="6"/>
  <c r="IT37" i="6"/>
  <c r="IS37" i="6"/>
  <c r="IP41" i="6"/>
  <c r="IO41" i="6"/>
  <c r="IN41" i="6"/>
  <c r="IM41" i="6"/>
  <c r="IP40" i="6"/>
  <c r="IO40" i="6"/>
  <c r="IN40" i="6"/>
  <c r="IM40" i="6"/>
  <c r="IP39" i="6"/>
  <c r="IO39" i="6"/>
  <c r="IN39" i="6"/>
  <c r="IM39" i="6"/>
  <c r="IP38" i="6"/>
  <c r="IO38" i="6"/>
  <c r="IN38" i="6"/>
  <c r="IM38" i="6"/>
  <c r="IP37" i="6"/>
  <c r="IO37" i="6"/>
  <c r="IN37" i="6"/>
  <c r="IM37" i="6"/>
  <c r="II41" i="6"/>
  <c r="IH41" i="6"/>
  <c r="IG41" i="6"/>
  <c r="IF41" i="6"/>
  <c r="IE41" i="6"/>
  <c r="II40" i="6"/>
  <c r="IH40" i="6"/>
  <c r="IG40" i="6"/>
  <c r="IF40" i="6"/>
  <c r="IE40" i="6"/>
  <c r="II39" i="6"/>
  <c r="IH39" i="6"/>
  <c r="IG39" i="6"/>
  <c r="IF39" i="6"/>
  <c r="IE39" i="6"/>
  <c r="II38" i="6"/>
  <c r="IH38" i="6"/>
  <c r="IG38" i="6"/>
  <c r="IF38" i="6"/>
  <c r="IE38" i="6"/>
  <c r="II37" i="6"/>
  <c r="IH37" i="6"/>
  <c r="IG37" i="6"/>
  <c r="IF37" i="6"/>
  <c r="IE37" i="6"/>
  <c r="IB41" i="6"/>
  <c r="IA41" i="6"/>
  <c r="HZ41" i="6"/>
  <c r="HY41" i="6"/>
  <c r="HX41" i="6"/>
  <c r="IB40" i="6"/>
  <c r="IA40" i="6"/>
  <c r="HZ40" i="6"/>
  <c r="HY40" i="6"/>
  <c r="HX40" i="6"/>
  <c r="IB39" i="6"/>
  <c r="IA39" i="6"/>
  <c r="HZ39" i="6"/>
  <c r="HY39" i="6"/>
  <c r="HX39" i="6"/>
  <c r="IB38" i="6"/>
  <c r="IA38" i="6"/>
  <c r="HZ38" i="6"/>
  <c r="HY38" i="6"/>
  <c r="HX38" i="6"/>
  <c r="IA37" i="6"/>
  <c r="HZ37" i="6"/>
  <c r="HY37" i="6"/>
  <c r="HX37" i="6"/>
  <c r="HU41" i="6"/>
  <c r="HT41" i="6"/>
  <c r="HS41" i="6"/>
  <c r="HR41" i="6"/>
  <c r="HQ41" i="6"/>
  <c r="HU40" i="6"/>
  <c r="HT40" i="6"/>
  <c r="HS40" i="6"/>
  <c r="HR40" i="6"/>
  <c r="HQ40" i="6"/>
  <c r="HU39" i="6"/>
  <c r="HT39" i="6"/>
  <c r="HS39" i="6"/>
  <c r="HR39" i="6"/>
  <c r="HQ39" i="6"/>
  <c r="HU38" i="6"/>
  <c r="HT38" i="6"/>
  <c r="HS38" i="6"/>
  <c r="HR38" i="6"/>
  <c r="HQ38" i="6"/>
  <c r="HU37" i="6"/>
  <c r="HT37" i="6"/>
  <c r="HS37" i="6"/>
  <c r="HR37" i="6"/>
  <c r="HQ37" i="6"/>
  <c r="HN41" i="6"/>
  <c r="HM41" i="6"/>
  <c r="HL41" i="6"/>
  <c r="HK41" i="6"/>
  <c r="HJ41" i="6"/>
  <c r="HN40" i="6"/>
  <c r="HM40" i="6"/>
  <c r="HL40" i="6"/>
  <c r="HK40" i="6"/>
  <c r="HJ40" i="6"/>
  <c r="HN39" i="6"/>
  <c r="HM39" i="6"/>
  <c r="HL39" i="6"/>
  <c r="HK39" i="6"/>
  <c r="HJ39" i="6"/>
  <c r="HN38" i="6"/>
  <c r="HM38" i="6"/>
  <c r="HL38" i="6"/>
  <c r="HK38" i="6"/>
  <c r="HJ38" i="6"/>
  <c r="HN37" i="6"/>
  <c r="HM37" i="6"/>
  <c r="HL37" i="6"/>
  <c r="HK37" i="6"/>
  <c r="HJ37" i="6"/>
  <c r="HG41" i="6"/>
  <c r="HF41" i="6"/>
  <c r="HE41" i="6"/>
  <c r="HD41" i="6"/>
  <c r="HC41" i="6"/>
  <c r="HG40" i="6"/>
  <c r="HF40" i="6"/>
  <c r="HE40" i="6"/>
  <c r="HD40" i="6"/>
  <c r="HC40" i="6"/>
  <c r="HG39" i="6"/>
  <c r="HF39" i="6"/>
  <c r="HE39" i="6"/>
  <c r="HD39" i="6"/>
  <c r="HC39" i="6"/>
  <c r="HG38" i="6"/>
  <c r="HF38" i="6"/>
  <c r="HE38" i="6"/>
  <c r="HD38" i="6"/>
  <c r="HC38" i="6"/>
  <c r="HG37" i="6"/>
  <c r="HF37" i="6"/>
  <c r="HE37" i="6"/>
  <c r="HD37" i="6"/>
  <c r="HC37" i="6"/>
  <c r="GZ41" i="6"/>
  <c r="GY41" i="6"/>
  <c r="GX41" i="6"/>
  <c r="GW41" i="6"/>
  <c r="GV41" i="6"/>
  <c r="GZ40" i="6"/>
  <c r="GY40" i="6"/>
  <c r="GX40" i="6"/>
  <c r="GW40" i="6"/>
  <c r="GV40" i="6"/>
  <c r="GZ39" i="6"/>
  <c r="GY39" i="6"/>
  <c r="GX39" i="6"/>
  <c r="GW39" i="6"/>
  <c r="GV39" i="6"/>
  <c r="GZ38" i="6"/>
  <c r="GY38" i="6"/>
  <c r="GX38" i="6"/>
  <c r="GW38" i="6"/>
  <c r="GV38" i="6"/>
  <c r="GZ37" i="6"/>
  <c r="GY37" i="6"/>
  <c r="GX37" i="6"/>
  <c r="GW37" i="6"/>
  <c r="GV37" i="6"/>
  <c r="GS41" i="6"/>
  <c r="GR41" i="6"/>
  <c r="GQ41" i="6"/>
  <c r="GP41" i="6"/>
  <c r="GO41" i="6"/>
  <c r="GS40" i="6"/>
  <c r="GR40" i="6"/>
  <c r="GQ40" i="6"/>
  <c r="GP40" i="6"/>
  <c r="GO40" i="6"/>
  <c r="GS39" i="6"/>
  <c r="GR39" i="6"/>
  <c r="GQ39" i="6"/>
  <c r="GP39" i="6"/>
  <c r="GO39" i="6"/>
  <c r="GS38" i="6"/>
  <c r="GR38" i="6"/>
  <c r="GQ38" i="6"/>
  <c r="GP38" i="6"/>
  <c r="GO38" i="6"/>
  <c r="GS37" i="6"/>
  <c r="GR37" i="6"/>
  <c r="GQ37" i="6"/>
  <c r="GP37" i="6"/>
  <c r="GO37" i="6"/>
  <c r="GL41" i="6"/>
  <c r="GK41" i="6"/>
  <c r="GJ41" i="6"/>
  <c r="GI41" i="6"/>
  <c r="GH41" i="6"/>
  <c r="GL40" i="6"/>
  <c r="GL39" i="6"/>
  <c r="GK39" i="6"/>
  <c r="GJ39" i="6"/>
  <c r="GI39" i="6"/>
  <c r="GH39" i="6"/>
  <c r="GL38" i="6"/>
  <c r="GK38" i="6"/>
  <c r="GJ38" i="6"/>
  <c r="GI38" i="6"/>
  <c r="GH38" i="6"/>
  <c r="GL37" i="6"/>
  <c r="GK37" i="6"/>
  <c r="GJ37" i="6"/>
  <c r="GI37" i="6"/>
  <c r="GH37" i="6"/>
  <c r="GE41" i="6"/>
  <c r="GD41" i="6"/>
  <c r="GC41" i="6"/>
  <c r="GB41" i="6"/>
  <c r="GA41" i="6"/>
  <c r="GD40" i="6"/>
  <c r="GC40" i="6"/>
  <c r="GB40" i="6"/>
  <c r="GA40" i="6"/>
  <c r="GE39" i="6"/>
  <c r="GD39" i="6"/>
  <c r="GC39" i="6"/>
  <c r="GB39" i="6"/>
  <c r="GA39" i="6"/>
  <c r="GE38" i="6"/>
  <c r="GD38" i="6"/>
  <c r="GC38" i="6"/>
  <c r="GB38" i="6"/>
  <c r="GA38" i="6"/>
  <c r="GE37" i="6"/>
  <c r="GD37" i="6"/>
  <c r="GC37" i="6"/>
  <c r="GB37" i="6"/>
  <c r="GA37" i="6"/>
  <c r="FX41" i="6"/>
  <c r="FW41" i="6"/>
  <c r="FV41" i="6"/>
  <c r="FU41" i="6"/>
  <c r="FT41" i="6"/>
  <c r="FX40" i="6"/>
  <c r="FW40" i="6"/>
  <c r="FV40" i="6"/>
  <c r="FU40" i="6"/>
  <c r="FT40" i="6"/>
  <c r="FX39" i="6"/>
  <c r="FW39" i="6"/>
  <c r="FV39" i="6"/>
  <c r="FU39" i="6"/>
  <c r="FT39" i="6"/>
  <c r="FX38" i="6"/>
  <c r="FW38" i="6"/>
  <c r="FV38" i="6"/>
  <c r="FU38" i="6"/>
  <c r="FT38" i="6"/>
  <c r="FX37" i="6"/>
  <c r="FW37" i="6"/>
  <c r="FV37" i="6"/>
  <c r="FU37" i="6"/>
  <c r="FT37" i="6"/>
  <c r="FQ41" i="6"/>
  <c r="FP41" i="6"/>
  <c r="FO41" i="6"/>
  <c r="FN41" i="6"/>
  <c r="FM41" i="6"/>
  <c r="FQ40" i="6"/>
  <c r="FP40" i="6"/>
  <c r="FO40" i="6"/>
  <c r="FN40" i="6"/>
  <c r="FM40" i="6"/>
  <c r="FQ39" i="6"/>
  <c r="FP39" i="6"/>
  <c r="FO39" i="6"/>
  <c r="FN39" i="6"/>
  <c r="FM39" i="6"/>
  <c r="FQ38" i="6"/>
  <c r="FP38" i="6"/>
  <c r="FO38" i="6"/>
  <c r="FN38" i="6"/>
  <c r="FM38" i="6"/>
  <c r="FQ37" i="6"/>
  <c r="FP37" i="6"/>
  <c r="FO37" i="6"/>
  <c r="FN37" i="6"/>
  <c r="FM37" i="6"/>
  <c r="FJ41" i="6"/>
  <c r="FI41" i="6"/>
  <c r="FH41" i="6"/>
  <c r="FG41" i="6"/>
  <c r="FF41" i="6"/>
  <c r="FJ40" i="6"/>
  <c r="FI40" i="6"/>
  <c r="FH40" i="6"/>
  <c r="FG40" i="6"/>
  <c r="FF40" i="6"/>
  <c r="FJ39" i="6"/>
  <c r="FI39" i="6"/>
  <c r="FH39" i="6"/>
  <c r="FG39" i="6"/>
  <c r="FF39" i="6"/>
  <c r="FJ38" i="6"/>
  <c r="FI38" i="6"/>
  <c r="FH38" i="6"/>
  <c r="FG38" i="6"/>
  <c r="FF38" i="6"/>
  <c r="FJ37" i="6"/>
  <c r="FI37" i="6"/>
  <c r="FH37" i="6"/>
  <c r="FG37" i="6"/>
  <c r="FF37" i="6"/>
  <c r="FC41" i="6"/>
  <c r="FB41" i="6"/>
  <c r="FA41" i="6"/>
  <c r="EZ41" i="6"/>
  <c r="EY41" i="6"/>
  <c r="FC40" i="6"/>
  <c r="FB40" i="6"/>
  <c r="FA40" i="6"/>
  <c r="EZ40" i="6"/>
  <c r="EY40" i="6"/>
  <c r="FC39" i="6"/>
  <c r="FB39" i="6"/>
  <c r="FA39" i="6"/>
  <c r="EZ39" i="6"/>
  <c r="EY39" i="6"/>
  <c r="FC38" i="6"/>
  <c r="FB38" i="6"/>
  <c r="FA38" i="6"/>
  <c r="EZ38" i="6"/>
  <c r="EY38" i="6"/>
  <c r="FC37" i="6"/>
  <c r="FB37" i="6"/>
  <c r="FA37" i="6"/>
  <c r="EZ37" i="6"/>
  <c r="EV41" i="6"/>
  <c r="EU41" i="6"/>
  <c r="ET41" i="6"/>
  <c r="ES41" i="6"/>
  <c r="EV40" i="6"/>
  <c r="EU40" i="6"/>
  <c r="ET40" i="6"/>
  <c r="ES40" i="6"/>
  <c r="EV39" i="6"/>
  <c r="EU39" i="6"/>
  <c r="ET39" i="6"/>
  <c r="ES39" i="6"/>
  <c r="EV38" i="6"/>
  <c r="EU38" i="6"/>
  <c r="ET38" i="6"/>
  <c r="EO41" i="6"/>
  <c r="EN41" i="6"/>
  <c r="EM41" i="6"/>
  <c r="EL41" i="6"/>
  <c r="EK41" i="6"/>
  <c r="EO40" i="6"/>
  <c r="EN40" i="6"/>
  <c r="EM40" i="6"/>
  <c r="EL40" i="6"/>
  <c r="EK40" i="6"/>
  <c r="EO39" i="6"/>
  <c r="EN39" i="6"/>
  <c r="EM39" i="6"/>
  <c r="EL39" i="6"/>
  <c r="EK39" i="6"/>
  <c r="EN38" i="6"/>
  <c r="EM38" i="6"/>
  <c r="EL38" i="6"/>
  <c r="EK38" i="6"/>
  <c r="EO37" i="6"/>
  <c r="EN37" i="6"/>
  <c r="EM37" i="6"/>
  <c r="EL37" i="6"/>
  <c r="EK37" i="6"/>
  <c r="EH41" i="6"/>
  <c r="EG41" i="6"/>
  <c r="EF41" i="6"/>
  <c r="EE41" i="6"/>
  <c r="ED41" i="6"/>
  <c r="EH40" i="6"/>
  <c r="EG40" i="6"/>
  <c r="EF40" i="6"/>
  <c r="EE40" i="6"/>
  <c r="ED40" i="6"/>
  <c r="EH39" i="6"/>
  <c r="EG39" i="6"/>
  <c r="EF39" i="6"/>
  <c r="EE39" i="6"/>
  <c r="ED39" i="6"/>
  <c r="EH38" i="6"/>
  <c r="EG38" i="6"/>
  <c r="EF38" i="6"/>
  <c r="EE38" i="6"/>
  <c r="ED38" i="6"/>
  <c r="EH37" i="6"/>
  <c r="EG37" i="6"/>
  <c r="EF37" i="6"/>
  <c r="EE37" i="6"/>
  <c r="ED37" i="6"/>
  <c r="EA41" i="6"/>
  <c r="DZ41" i="6"/>
  <c r="DY41" i="6"/>
  <c r="DX41" i="6"/>
  <c r="EA40" i="6"/>
  <c r="DZ40" i="6"/>
  <c r="DY40" i="6"/>
  <c r="DX40" i="6"/>
  <c r="EA39" i="6"/>
  <c r="DZ39" i="6"/>
  <c r="DY39" i="6"/>
  <c r="DX39" i="6"/>
  <c r="EA38" i="6"/>
  <c r="DZ38" i="6"/>
  <c r="DY38" i="6"/>
  <c r="DX38" i="6"/>
  <c r="EA37" i="6"/>
  <c r="DZ37" i="6"/>
  <c r="DY37" i="6"/>
  <c r="DX37" i="6"/>
  <c r="DT41" i="6"/>
  <c r="DS41" i="6"/>
  <c r="DR41" i="6"/>
  <c r="DQ41" i="6"/>
  <c r="DP41" i="6"/>
  <c r="DT40" i="6"/>
  <c r="DS40" i="6"/>
  <c r="DR40" i="6"/>
  <c r="DQ40" i="6"/>
  <c r="DT39" i="6"/>
  <c r="DS39" i="6"/>
  <c r="DR39" i="6"/>
  <c r="DQ39" i="6"/>
  <c r="DP39" i="6"/>
  <c r="DT38" i="6"/>
  <c r="DS38" i="6"/>
  <c r="DR38" i="6"/>
  <c r="DQ38" i="6"/>
  <c r="DP38" i="6"/>
  <c r="DT37" i="6"/>
  <c r="DS37" i="6"/>
  <c r="DR37" i="6"/>
  <c r="DQ37" i="6"/>
  <c r="DP37" i="6"/>
  <c r="DM41" i="6"/>
  <c r="DL41" i="6"/>
  <c r="DK41" i="6"/>
  <c r="DJ41" i="6"/>
  <c r="DI41" i="6"/>
  <c r="DM40" i="6"/>
  <c r="DL40" i="6"/>
  <c r="DK40" i="6"/>
  <c r="DJ40" i="6"/>
  <c r="DI40" i="6"/>
  <c r="DM39" i="6"/>
  <c r="DL39" i="6"/>
  <c r="DK39" i="6"/>
  <c r="DJ39" i="6"/>
  <c r="DI39" i="6"/>
  <c r="DM38" i="6"/>
  <c r="DL38" i="6"/>
  <c r="DK38" i="6"/>
  <c r="DJ38" i="6"/>
  <c r="DI38" i="6"/>
  <c r="DM37" i="6"/>
  <c r="DL37" i="6"/>
  <c r="DK37" i="6"/>
  <c r="DJ37" i="6"/>
  <c r="DI37" i="6"/>
  <c r="DF41" i="6"/>
  <c r="DE41" i="6"/>
  <c r="DD41" i="6"/>
  <c r="DC41" i="6"/>
  <c r="DB41" i="6"/>
  <c r="DF40" i="6"/>
  <c r="DE40" i="6"/>
  <c r="DD40" i="6"/>
  <c r="DC40" i="6"/>
  <c r="DB40" i="6"/>
  <c r="DF39" i="6"/>
  <c r="DE39" i="6"/>
  <c r="DD39" i="6"/>
  <c r="DC39" i="6"/>
  <c r="DB39" i="6"/>
  <c r="DF38" i="6"/>
  <c r="DE38" i="6"/>
  <c r="DD38" i="6"/>
  <c r="DC38" i="6"/>
  <c r="DB38" i="6"/>
  <c r="DE37" i="6"/>
  <c r="DD37" i="6"/>
  <c r="DC37" i="6"/>
  <c r="DB37" i="6"/>
  <c r="CY41" i="6"/>
  <c r="CX41" i="6"/>
  <c r="CW41" i="6"/>
  <c r="CV41" i="6"/>
  <c r="CY40" i="6"/>
  <c r="CX40" i="6"/>
  <c r="CW40" i="6"/>
  <c r="CV40" i="6"/>
  <c r="CY39" i="6"/>
  <c r="CX39" i="6"/>
  <c r="CW39" i="6"/>
  <c r="CV39" i="6"/>
  <c r="CY38" i="6"/>
  <c r="CX38" i="6"/>
  <c r="CW38" i="6"/>
  <c r="CV38" i="6"/>
  <c r="CY37" i="6"/>
  <c r="CX37" i="6"/>
  <c r="CW37" i="6"/>
  <c r="CV37" i="6"/>
  <c r="CQ41" i="6"/>
  <c r="CQ40" i="6"/>
  <c r="CQ39" i="6"/>
  <c r="CQ38" i="6"/>
  <c r="CQ37" i="6"/>
  <c r="CP41" i="6"/>
  <c r="CP40" i="6"/>
  <c r="CP39" i="6"/>
  <c r="CP37" i="6"/>
  <c r="DI36" i="6"/>
  <c r="DF36" i="6"/>
  <c r="AN41" i="6"/>
  <c r="P41" i="6"/>
  <c r="Z38" i="6"/>
  <c r="Z39" i="6"/>
  <c r="Z41" i="6"/>
  <c r="AC41" i="6"/>
  <c r="R38" i="6"/>
  <c r="S38" i="6"/>
  <c r="P38" i="6"/>
  <c r="J38" i="6"/>
  <c r="I38" i="6"/>
  <c r="E36" i="6"/>
  <c r="E37" i="6"/>
  <c r="E38" i="6"/>
  <c r="E39" i="6"/>
  <c r="E40" i="6"/>
  <c r="E41" i="6"/>
  <c r="BG38" i="6"/>
  <c r="BF38" i="6"/>
  <c r="BE38" i="6"/>
  <c r="BP38" i="6"/>
  <c r="BO38" i="6"/>
  <c r="BN38" i="6"/>
  <c r="BV41" i="6"/>
  <c r="BU41" i="6"/>
  <c r="BT41" i="6"/>
  <c r="BS41" i="6"/>
  <c r="CC41" i="6"/>
  <c r="CB41" i="6"/>
  <c r="CA41" i="6"/>
  <c r="BZ41" i="6"/>
  <c r="BZ38" i="6"/>
  <c r="CN37" i="6"/>
  <c r="CO37" i="6"/>
  <c r="CJ37" i="6"/>
  <c r="CC37" i="6"/>
  <c r="CB37" i="6"/>
  <c r="BV37" i="6"/>
  <c r="BU37" i="6"/>
  <c r="BG37" i="6"/>
  <c r="AM37" i="6"/>
  <c r="AL37" i="6"/>
  <c r="AG39" i="6"/>
  <c r="AF39" i="6"/>
  <c r="AE39" i="6"/>
  <c r="AD39" i="6"/>
  <c r="CO41" i="6"/>
  <c r="CN41" i="6"/>
  <c r="CO40" i="6"/>
  <c r="CO39" i="6"/>
  <c r="CN39" i="6"/>
  <c r="CJ41" i="6"/>
  <c r="CI41" i="6"/>
  <c r="CH41" i="6"/>
  <c r="CG41" i="6"/>
  <c r="CJ38" i="6"/>
  <c r="CI38" i="6"/>
  <c r="CH38" i="6"/>
  <c r="CG38" i="6"/>
  <c r="CK37" i="6"/>
  <c r="CG37" i="6"/>
  <c r="CD40" i="6"/>
  <c r="CC40" i="6"/>
  <c r="CB40" i="6"/>
  <c r="CA40" i="6"/>
  <c r="BZ40" i="6"/>
  <c r="CD39" i="6"/>
  <c r="CC39" i="6"/>
  <c r="CB39" i="6"/>
  <c r="CA39" i="6"/>
  <c r="BZ39" i="6"/>
  <c r="CD37" i="6"/>
  <c r="CA37" i="6"/>
  <c r="BZ37" i="6"/>
  <c r="BW40" i="6"/>
  <c r="BV40" i="6"/>
  <c r="BU40" i="6"/>
  <c r="BT40" i="6"/>
  <c r="BV38" i="6"/>
  <c r="BU38" i="6"/>
  <c r="BW37" i="6"/>
  <c r="BT37" i="6"/>
  <c r="BS37" i="6"/>
  <c r="BN41" i="6"/>
  <c r="BM41" i="6"/>
  <c r="BL41" i="6"/>
  <c r="BP40" i="6"/>
  <c r="BO40" i="6"/>
  <c r="BM40" i="6"/>
  <c r="BL40" i="6"/>
  <c r="BP39" i="6"/>
  <c r="BO39" i="6"/>
  <c r="BF41" i="6"/>
  <c r="BE41" i="6"/>
  <c r="BE37" i="6"/>
  <c r="AX37" i="6"/>
  <c r="AR41" i="6"/>
  <c r="AT40" i="6"/>
  <c r="AR40" i="6"/>
  <c r="AQ40" i="6"/>
  <c r="AU39" i="6"/>
  <c r="AT39" i="6"/>
  <c r="AQ39" i="6"/>
  <c r="AQ37" i="6"/>
  <c r="AK41" i="6"/>
  <c r="AM40" i="6"/>
  <c r="AN39" i="6"/>
  <c r="AM39" i="6"/>
  <c r="AN38" i="6"/>
  <c r="AL38" i="6"/>
  <c r="AK38" i="6"/>
  <c r="AN37" i="6"/>
  <c r="AK37" i="6"/>
  <c r="AJ41" i="6"/>
  <c r="AJ38" i="6"/>
  <c r="AJ37" i="6"/>
  <c r="AF37" i="6"/>
  <c r="AE37" i="6"/>
  <c r="Y37" i="6"/>
  <c r="X37" i="6"/>
  <c r="R37" i="6"/>
  <c r="Q37" i="6"/>
  <c r="K37" i="6"/>
  <c r="J37" i="6"/>
  <c r="V38" i="6"/>
  <c r="Z40" i="6"/>
  <c r="S40" i="6"/>
  <c r="R40" i="6"/>
  <c r="AG41" i="6"/>
  <c r="AE41" i="6"/>
  <c r="AD41" i="6"/>
  <c r="Y41" i="6"/>
  <c r="W41" i="6"/>
  <c r="V41" i="6"/>
  <c r="S41" i="6"/>
  <c r="R41" i="6"/>
  <c r="O41" i="6"/>
  <c r="J41" i="6"/>
  <c r="I41" i="6"/>
  <c r="AG40" i="6"/>
  <c r="AF40" i="6"/>
  <c r="AE40" i="6"/>
  <c r="AD40" i="6"/>
  <c r="AC40" i="6"/>
  <c r="Y40" i="6"/>
  <c r="X40" i="6"/>
  <c r="W40" i="6"/>
  <c r="Q40" i="6"/>
  <c r="P40" i="6"/>
  <c r="O40" i="6"/>
  <c r="L40" i="6"/>
  <c r="K40" i="6"/>
  <c r="J40" i="6"/>
  <c r="I40" i="6"/>
  <c r="Y39" i="6"/>
  <c r="X39" i="6"/>
  <c r="W39" i="6"/>
  <c r="V39" i="6"/>
  <c r="S39" i="6"/>
  <c r="R39" i="6"/>
  <c r="Q39" i="6"/>
  <c r="P39" i="6"/>
  <c r="O39" i="6"/>
  <c r="L39" i="6"/>
  <c r="K39" i="6"/>
  <c r="J39" i="6"/>
  <c r="I39" i="6"/>
  <c r="AE38" i="6"/>
  <c r="AD38" i="6"/>
  <c r="AC38" i="6"/>
  <c r="Y38" i="6"/>
  <c r="X38" i="6"/>
  <c r="AG37" i="6"/>
  <c r="AD37" i="6"/>
  <c r="Z37" i="6"/>
  <c r="W37" i="6"/>
  <c r="V37" i="6"/>
  <c r="S37" i="6"/>
  <c r="P37" i="6"/>
  <c r="O37" i="6"/>
  <c r="L37" i="6"/>
  <c r="I37" i="6"/>
  <c r="AE10" i="3"/>
  <c r="AE9" i="3"/>
  <c r="AE8" i="3"/>
  <c r="H41" i="6"/>
  <c r="H40" i="6"/>
  <c r="H39" i="6"/>
  <c r="H38" i="6"/>
  <c r="H37" i="6"/>
  <c r="NF39" i="2"/>
  <c r="NF38" i="2"/>
  <c r="NF37" i="2"/>
  <c r="NF36" i="2"/>
  <c r="NF35" i="2"/>
  <c r="NC39" i="2"/>
  <c r="ND39" i="2"/>
  <c r="NB39" i="2"/>
  <c r="ND38" i="2"/>
  <c r="NC38" i="2"/>
  <c r="NB38" i="2"/>
  <c r="ND37" i="2"/>
  <c r="NC37" i="2"/>
  <c r="NB37" i="2"/>
  <c r="ND35" i="2"/>
  <c r="NC35" i="2"/>
  <c r="NB35" i="2"/>
  <c r="ND36" i="2"/>
  <c r="NC36" i="2"/>
  <c r="NB36" i="2"/>
  <c r="MW35" i="2"/>
  <c r="MW39" i="2"/>
  <c r="MW38" i="2"/>
  <c r="MW37" i="2"/>
  <c r="MW36" i="2"/>
  <c r="MV39" i="2"/>
  <c r="MV38" i="2"/>
  <c r="MV37" i="2"/>
  <c r="MU36" i="2"/>
  <c r="MV36" i="2"/>
  <c r="MV35" i="2"/>
  <c r="MU39" i="2"/>
  <c r="MU38" i="2"/>
  <c r="MU37" i="2"/>
  <c r="MU35" i="2"/>
  <c r="MR39" i="2"/>
  <c r="MR38" i="2"/>
  <c r="MR37" i="2"/>
  <c r="MR36" i="2"/>
  <c r="MR35" i="2"/>
  <c r="MP36" i="2"/>
  <c r="MP39" i="2"/>
  <c r="MQ39" i="2"/>
  <c r="MQ38" i="2"/>
  <c r="MQ37" i="2"/>
  <c r="MQ36" i="2"/>
  <c r="MQ35" i="2"/>
  <c r="MP38" i="2"/>
  <c r="MP37" i="2"/>
  <c r="MP35" i="2"/>
  <c r="MO35" i="2"/>
  <c r="MO36" i="2"/>
  <c r="MO37" i="2"/>
  <c r="MO38" i="2"/>
  <c r="MO39" i="2"/>
  <c r="MN39" i="2"/>
  <c r="MN38" i="2"/>
  <c r="MN36" i="2"/>
  <c r="MN37" i="2"/>
  <c r="MN35" i="2"/>
  <c r="MK39" i="2"/>
  <c r="MK38" i="2"/>
  <c r="MK37" i="2"/>
  <c r="MK36" i="2"/>
  <c r="MK35" i="2"/>
  <c r="NF34" i="2"/>
  <c r="ND34" i="2"/>
  <c r="NC34" i="2"/>
  <c r="NB34" i="2"/>
  <c r="MW34" i="2"/>
  <c r="MV34" i="2"/>
  <c r="MU34" i="2"/>
  <c r="MR34" i="2"/>
  <c r="MQ34" i="2"/>
  <c r="MP34" i="2"/>
  <c r="MO34" i="2"/>
  <c r="MN34" i="2"/>
  <c r="MJ37" i="2"/>
  <c r="MJ36" i="2"/>
  <c r="MJ35" i="2"/>
  <c r="MJ39" i="2"/>
  <c r="MJ38" i="2"/>
  <c r="MI39" i="2"/>
  <c r="MI38" i="2"/>
  <c r="MI37" i="2"/>
  <c r="MI36" i="2"/>
  <c r="MI35" i="2"/>
  <c r="MH39" i="2"/>
  <c r="MH38" i="2"/>
  <c r="MH37" i="2"/>
  <c r="MH36" i="2"/>
  <c r="MH35" i="2"/>
  <c r="MG39" i="2"/>
  <c r="MG38" i="2"/>
  <c r="MG37" i="2"/>
  <c r="MG36" i="2"/>
  <c r="MG35" i="2"/>
  <c r="MD39" i="2"/>
  <c r="MD38" i="2"/>
  <c r="MD37" i="2"/>
  <c r="MD36" i="2"/>
  <c r="MD35" i="2"/>
  <c r="MC39" i="2"/>
  <c r="MC38" i="2"/>
  <c r="MC37" i="2"/>
  <c r="MC36" i="2"/>
  <c r="MB39" i="2"/>
  <c r="MB38" i="2"/>
  <c r="MB37" i="2"/>
  <c r="MB36" i="2"/>
  <c r="MC35" i="2"/>
  <c r="MB35" i="2"/>
  <c r="MA38" i="2"/>
  <c r="MA39" i="2"/>
  <c r="MA37" i="2"/>
  <c r="MA36" i="2"/>
  <c r="MA35" i="2"/>
  <c r="LZ39" i="2"/>
  <c r="LZ38" i="2"/>
  <c r="LZ37" i="2"/>
  <c r="LZ36" i="2"/>
  <c r="LZ35" i="2"/>
  <c r="LW39" i="2"/>
  <c r="LW38" i="2"/>
  <c r="LW37" i="2"/>
  <c r="LW36" i="2"/>
  <c r="LW35" i="2"/>
  <c r="LV39" i="2"/>
  <c r="LV38" i="2"/>
  <c r="LV37" i="2"/>
  <c r="LV36" i="2"/>
  <c r="LV35" i="2"/>
  <c r="LS39" i="2"/>
  <c r="LT39" i="2"/>
  <c r="LU39" i="2"/>
  <c r="LU38" i="2"/>
  <c r="LU37" i="2"/>
  <c r="LU36" i="2"/>
  <c r="LU35" i="2"/>
  <c r="LT38" i="2"/>
  <c r="LT37" i="2"/>
  <c r="LT36" i="2"/>
  <c r="LT35" i="2"/>
  <c r="LS38" i="2"/>
  <c r="LS37" i="2"/>
  <c r="LS36" i="2"/>
  <c r="LS35" i="2"/>
  <c r="LP35" i="2"/>
  <c r="LP39" i="2"/>
  <c r="LP38" i="2"/>
  <c r="LP37" i="2"/>
  <c r="LP36" i="2"/>
  <c r="LL37" i="2"/>
  <c r="LL39" i="2"/>
  <c r="LN37" i="2"/>
  <c r="LN39" i="2"/>
  <c r="LO37" i="2"/>
  <c r="LO38" i="2"/>
  <c r="LO39" i="2"/>
  <c r="LO36" i="2"/>
  <c r="LO35" i="2"/>
  <c r="LN38" i="2"/>
  <c r="LN36" i="2"/>
  <c r="LN35" i="2"/>
  <c r="LM39" i="2"/>
  <c r="LM38" i="2"/>
  <c r="LM37" i="2"/>
  <c r="LM35" i="2"/>
  <c r="LM36" i="2"/>
  <c r="C50" i="6" a="1"/>
  <c r="C50" i="6" s="1"/>
  <c r="C49" i="6" a="1"/>
  <c r="C49" i="6" s="1"/>
  <c r="C48" i="6" a="1"/>
  <c r="C48" i="6" s="1"/>
  <c r="C47" i="6" a="1"/>
  <c r="C47" i="6" s="1"/>
  <c r="C46" i="6" a="1"/>
  <c r="C46" i="6" s="1"/>
  <c r="C45" i="6" a="1"/>
  <c r="C45" i="6" s="1"/>
  <c r="O51" i="6"/>
  <c r="N51" i="6"/>
  <c r="M51" i="6"/>
  <c r="L51" i="6"/>
  <c r="K51" i="6"/>
  <c r="J51" i="6"/>
  <c r="I51" i="6"/>
  <c r="F51" i="6"/>
  <c r="E51" i="6"/>
  <c r="D51" i="6"/>
  <c r="O50" i="6"/>
  <c r="N50" i="6"/>
  <c r="M50" i="6"/>
  <c r="L50" i="6"/>
  <c r="K50" i="6"/>
  <c r="J50" i="6"/>
  <c r="I50" i="6"/>
  <c r="F50" i="6"/>
  <c r="E50" i="6"/>
  <c r="D50" i="6"/>
  <c r="O49" i="6"/>
  <c r="N49" i="6"/>
  <c r="M49" i="6"/>
  <c r="L49" i="6"/>
  <c r="K49" i="6"/>
  <c r="J49" i="6"/>
  <c r="I49" i="6"/>
  <c r="F49" i="6"/>
  <c r="E49" i="6"/>
  <c r="D49" i="6"/>
  <c r="O47" i="6"/>
  <c r="N47" i="6"/>
  <c r="M47" i="6"/>
  <c r="L47" i="6"/>
  <c r="K47" i="6"/>
  <c r="J47" i="6"/>
  <c r="I47" i="6"/>
  <c r="H47" i="6"/>
  <c r="F47" i="6"/>
  <c r="E47" i="6"/>
  <c r="D52" i="6"/>
  <c r="O52" i="6"/>
  <c r="N52" i="6"/>
  <c r="M52" i="6"/>
  <c r="L52" i="6"/>
  <c r="K52" i="6"/>
  <c r="J52" i="6"/>
  <c r="I52" i="6"/>
  <c r="F52" i="6"/>
  <c r="E52" i="6"/>
  <c r="D47" i="6"/>
  <c r="MJ36" i="6"/>
  <c r="MI36" i="6"/>
  <c r="MH36" i="6"/>
  <c r="MG36" i="6"/>
  <c r="MF36" i="6"/>
  <c r="MC36" i="6"/>
  <c r="MB36" i="6"/>
  <c r="MA36" i="6"/>
  <c r="LZ36" i="6"/>
  <c r="LY36" i="6"/>
  <c r="LV36" i="6"/>
  <c r="LU36" i="6"/>
  <c r="LT36" i="6"/>
  <c r="LS36" i="6"/>
  <c r="LR36" i="6"/>
  <c r="LO36" i="6"/>
  <c r="LN36" i="6"/>
  <c r="LM36" i="6"/>
  <c r="LL36" i="6"/>
  <c r="LK36" i="6"/>
  <c r="LH36" i="6"/>
  <c r="LG36" i="6"/>
  <c r="LF36" i="6"/>
  <c r="LE36" i="6"/>
  <c r="LD36" i="6"/>
  <c r="LA36" i="6"/>
  <c r="KZ36" i="6"/>
  <c r="KY36" i="6"/>
  <c r="KX36" i="6"/>
  <c r="KW36" i="6"/>
  <c r="KT36" i="6"/>
  <c r="KS36" i="6"/>
  <c r="KR36" i="6"/>
  <c r="KQ36" i="6"/>
  <c r="KP36" i="6"/>
  <c r="KM36" i="6"/>
  <c r="KL36" i="6"/>
  <c r="KK36" i="6"/>
  <c r="KJ36" i="6"/>
  <c r="KI36" i="6"/>
  <c r="KF36" i="6"/>
  <c r="KE36" i="6"/>
  <c r="KD36" i="6"/>
  <c r="KC36" i="6"/>
  <c r="KB36" i="6"/>
  <c r="JY36" i="6"/>
  <c r="JX36" i="6"/>
  <c r="JW36" i="6"/>
  <c r="JV36" i="6"/>
  <c r="JU36" i="6"/>
  <c r="JR36" i="6"/>
  <c r="JQ36" i="6"/>
  <c r="JP36" i="6"/>
  <c r="JO36" i="6"/>
  <c r="JN36" i="6"/>
  <c r="JK36" i="6"/>
  <c r="JJ36" i="6"/>
  <c r="JI36" i="6"/>
  <c r="JH36" i="6"/>
  <c r="JG36" i="6"/>
  <c r="JD36" i="6"/>
  <c r="JC36" i="6"/>
  <c r="JB36" i="6"/>
  <c r="JA36" i="6"/>
  <c r="IZ36" i="6"/>
  <c r="IW36" i="6"/>
  <c r="IV36" i="6"/>
  <c r="IU36" i="6"/>
  <c r="IT36" i="6"/>
  <c r="IS36" i="6"/>
  <c r="IP36" i="6"/>
  <c r="IO36" i="6"/>
  <c r="IN36" i="6"/>
  <c r="IM36" i="6"/>
  <c r="IL36" i="6"/>
  <c r="II36" i="6"/>
  <c r="IH36" i="6"/>
  <c r="IG36" i="6"/>
  <c r="IF36" i="6"/>
  <c r="IB36" i="6"/>
  <c r="IA36" i="6"/>
  <c r="HZ36" i="6"/>
  <c r="HY36" i="6"/>
  <c r="HX36" i="6"/>
  <c r="HU36" i="6"/>
  <c r="HT36" i="6"/>
  <c r="HS36" i="6"/>
  <c r="HR36" i="6"/>
  <c r="HQ36" i="6"/>
  <c r="HN36" i="6"/>
  <c r="HM36" i="6"/>
  <c r="HL36" i="6"/>
  <c r="HK36" i="6"/>
  <c r="HJ36" i="6"/>
  <c r="HG36" i="6"/>
  <c r="HF36" i="6"/>
  <c r="HE36" i="6"/>
  <c r="HD36" i="6"/>
  <c r="HC36" i="6"/>
  <c r="GZ36" i="6"/>
  <c r="GY36" i="6"/>
  <c r="GX36" i="6"/>
  <c r="GW36" i="6"/>
  <c r="GV36" i="6"/>
  <c r="GS36" i="6"/>
  <c r="GR36" i="6"/>
  <c r="GQ36" i="6"/>
  <c r="GP36" i="6"/>
  <c r="GO36" i="6"/>
  <c r="GL36" i="6"/>
  <c r="GK36" i="6"/>
  <c r="GJ36" i="6"/>
  <c r="GI36" i="6"/>
  <c r="GH36" i="6"/>
  <c r="GE36" i="6"/>
  <c r="GD36" i="6"/>
  <c r="GC36" i="6"/>
  <c r="GB36" i="6"/>
  <c r="GA36" i="6"/>
  <c r="FX36" i="6"/>
  <c r="FW36" i="6"/>
  <c r="FV36" i="6"/>
  <c r="FU36" i="6"/>
  <c r="FT36" i="6"/>
  <c r="FQ36" i="6"/>
  <c r="FP36" i="6"/>
  <c r="FO36" i="6"/>
  <c r="FN36" i="6"/>
  <c r="FM36" i="6"/>
  <c r="FJ36" i="6"/>
  <c r="FI36" i="6"/>
  <c r="FH36" i="6"/>
  <c r="FG36" i="6"/>
  <c r="FF36" i="6"/>
  <c r="FC36" i="6"/>
  <c r="FB36" i="6"/>
  <c r="FA36" i="6"/>
  <c r="EZ36" i="6"/>
  <c r="EY36" i="6"/>
  <c r="EV36" i="6"/>
  <c r="EU36" i="6"/>
  <c r="ET36" i="6"/>
  <c r="ES36" i="6"/>
  <c r="EO36" i="6"/>
  <c r="EN36" i="6"/>
  <c r="EM36" i="6"/>
  <c r="EL36" i="6"/>
  <c r="EK36" i="6"/>
  <c r="EH36" i="6"/>
  <c r="EG36" i="6"/>
  <c r="EF36" i="6"/>
  <c r="EE36" i="6"/>
  <c r="ED36" i="6"/>
  <c r="EA36" i="6"/>
  <c r="DZ36" i="6"/>
  <c r="DY36" i="6"/>
  <c r="DX36" i="6"/>
  <c r="DT36" i="6"/>
  <c r="DS36" i="6"/>
  <c r="DR36" i="6"/>
  <c r="DQ36" i="6"/>
  <c r="DP36" i="6"/>
  <c r="DM36" i="6"/>
  <c r="DL36" i="6"/>
  <c r="DK36" i="6"/>
  <c r="DJ36" i="6"/>
  <c r="DE36" i="6"/>
  <c r="DD36" i="6"/>
  <c r="DC36" i="6"/>
  <c r="DB36" i="6"/>
  <c r="CY36" i="6"/>
  <c r="CX36" i="6"/>
  <c r="CW36" i="6"/>
  <c r="CV36" i="6"/>
  <c r="CQ36" i="6"/>
  <c r="CP36" i="6"/>
  <c r="CO36" i="6"/>
  <c r="CN36" i="6"/>
  <c r="CK36" i="6"/>
  <c r="CJ36" i="6"/>
  <c r="CI36" i="6"/>
  <c r="CH36" i="6"/>
  <c r="CG36" i="6"/>
  <c r="CD36" i="6"/>
  <c r="CC36" i="6"/>
  <c r="CB36" i="6"/>
  <c r="CA36" i="6"/>
  <c r="BZ36" i="6"/>
  <c r="BW36" i="6"/>
  <c r="BV36" i="6"/>
  <c r="BU36" i="6"/>
  <c r="BT36" i="6"/>
  <c r="BS36" i="6"/>
  <c r="BP36" i="6"/>
  <c r="BO36" i="6"/>
  <c r="BN36" i="6"/>
  <c r="BM36" i="6"/>
  <c r="BL36" i="6"/>
  <c r="BI36" i="6"/>
  <c r="BH36" i="6"/>
  <c r="BG36" i="6"/>
  <c r="BF36" i="6"/>
  <c r="BE36" i="6"/>
  <c r="BB36" i="6"/>
  <c r="BA36" i="6"/>
  <c r="AZ36" i="6"/>
  <c r="AY36" i="6"/>
  <c r="AX36" i="6"/>
  <c r="AU36" i="6"/>
  <c r="AT36" i="6"/>
  <c r="AS36" i="6"/>
  <c r="AR36" i="6"/>
  <c r="AQ36" i="6"/>
  <c r="AN36" i="6"/>
  <c r="AM36" i="6"/>
  <c r="AL36" i="6"/>
  <c r="AK36" i="6"/>
  <c r="AJ36" i="6"/>
  <c r="AG36" i="6"/>
  <c r="AF36" i="6"/>
  <c r="AE36" i="6"/>
  <c r="AD36" i="6"/>
  <c r="AC36" i="6"/>
  <c r="Z36" i="6"/>
  <c r="Y36" i="6"/>
  <c r="X36" i="6"/>
  <c r="W36" i="6"/>
  <c r="V36" i="6"/>
  <c r="S36" i="6"/>
  <c r="R36" i="6"/>
  <c r="Q36" i="6"/>
  <c r="P36" i="6"/>
  <c r="O36" i="6"/>
  <c r="L36" i="6"/>
  <c r="K36" i="6"/>
  <c r="J36" i="6"/>
  <c r="I36" i="6"/>
  <c r="H36" i="6"/>
  <c r="LL38" i="2"/>
  <c r="LL36" i="2"/>
  <c r="LL35" i="2"/>
  <c r="LI39" i="2"/>
  <c r="LI38" i="2"/>
  <c r="LI37" i="2"/>
  <c r="LI36" i="2"/>
  <c r="LI35" i="2"/>
  <c r="LH39" i="2"/>
  <c r="LH38" i="2"/>
  <c r="LH37" i="2"/>
  <c r="LH36" i="2"/>
  <c r="LH35" i="2"/>
  <c r="LG39" i="2"/>
  <c r="LG38" i="2"/>
  <c r="LG37" i="2"/>
  <c r="LG36" i="2"/>
  <c r="LG35" i="2"/>
  <c r="LF38" i="2"/>
  <c r="LF37" i="2"/>
  <c r="LF36" i="2"/>
  <c r="LF35" i="2"/>
  <c r="LE39" i="2"/>
  <c r="LE38" i="2"/>
  <c r="LE37" i="2"/>
  <c r="LE36" i="2"/>
  <c r="LE35" i="2"/>
  <c r="LB37" i="2"/>
  <c r="LB38" i="2"/>
  <c r="LB39" i="2"/>
  <c r="LB36" i="2"/>
  <c r="LB35" i="2"/>
  <c r="LA35" i="2"/>
  <c r="LA39" i="2"/>
  <c r="LA38" i="2"/>
  <c r="LA37" i="2"/>
  <c r="LA36" i="2"/>
  <c r="KZ35" i="2"/>
  <c r="KY35" i="2"/>
  <c r="KX35" i="2"/>
  <c r="KZ39" i="2"/>
  <c r="KZ38" i="2"/>
  <c r="KZ37" i="2"/>
  <c r="KZ36" i="2"/>
  <c r="KY39" i="2"/>
  <c r="KY38" i="2"/>
  <c r="KY37" i="2"/>
  <c r="KY36" i="2"/>
  <c r="KX39" i="2"/>
  <c r="KX36" i="2"/>
  <c r="KX37" i="2"/>
  <c r="KX38" i="2"/>
  <c r="KU39" i="2"/>
  <c r="KU38" i="2"/>
  <c r="KU37" i="2"/>
  <c r="KU36" i="2"/>
  <c r="KU35" i="2"/>
  <c r="KT39" i="2"/>
  <c r="KT38" i="2"/>
  <c r="KT37" i="2"/>
  <c r="KT36" i="2"/>
  <c r="KT35" i="2"/>
  <c r="LS34" i="2"/>
  <c r="KS39" i="2"/>
  <c r="KS38" i="2"/>
  <c r="KS37" i="2"/>
  <c r="KS36" i="2"/>
  <c r="KS35" i="2"/>
  <c r="KR39" i="2"/>
  <c r="KR38" i="2"/>
  <c r="KR37" i="2"/>
  <c r="KR36" i="2"/>
  <c r="KR35" i="2"/>
  <c r="KQ35" i="2"/>
  <c r="KQ39" i="2"/>
  <c r="KQ38" i="2"/>
  <c r="KQ37" i="2"/>
  <c r="KQ36" i="2"/>
  <c r="KN35" i="2"/>
  <c r="KN39" i="2"/>
  <c r="KN38" i="2"/>
  <c r="KN37" i="2"/>
  <c r="KN36" i="2"/>
  <c r="KM39" i="2"/>
  <c r="KM38" i="2"/>
  <c r="KM37" i="2"/>
  <c r="KM36" i="2"/>
  <c r="KM35" i="2"/>
  <c r="KL35" i="2"/>
  <c r="KK35" i="2"/>
  <c r="KJ35" i="2"/>
  <c r="KG35" i="2"/>
  <c r="KF35" i="2"/>
  <c r="KE35" i="2"/>
  <c r="KD35" i="2"/>
  <c r="KL39" i="2"/>
  <c r="KL37" i="2"/>
  <c r="KL38" i="2"/>
  <c r="KL36" i="2"/>
  <c r="KK38" i="2"/>
  <c r="KK39" i="2"/>
  <c r="KK37" i="2"/>
  <c r="KK36" i="2"/>
  <c r="KJ39" i="2"/>
  <c r="KJ38" i="2"/>
  <c r="KJ37" i="2"/>
  <c r="KJ36" i="2"/>
  <c r="KG39" i="2"/>
  <c r="KG38" i="2"/>
  <c r="KG37" i="2"/>
  <c r="KG36" i="2"/>
  <c r="KF39" i="2"/>
  <c r="KF38" i="2"/>
  <c r="KF37" i="2"/>
  <c r="KF36" i="2"/>
  <c r="KE39" i="2"/>
  <c r="KE38" i="2"/>
  <c r="KE37" i="2"/>
  <c r="KE36" i="2"/>
  <c r="KD39" i="2"/>
  <c r="KD38" i="2"/>
  <c r="KD37" i="2"/>
  <c r="KD36" i="2"/>
  <c r="KC35" i="2"/>
  <c r="KC39" i="2"/>
  <c r="KC38" i="2"/>
  <c r="KC37" i="2"/>
  <c r="KC36" i="2"/>
  <c r="JZ39" i="2"/>
  <c r="JZ38" i="2"/>
  <c r="JZ37" i="2"/>
  <c r="JZ36" i="2"/>
  <c r="JZ35" i="2"/>
  <c r="JY39" i="2"/>
  <c r="JY38" i="2"/>
  <c r="JY37" i="2"/>
  <c r="JY36" i="2"/>
  <c r="JY35" i="2"/>
  <c r="JX39" i="2"/>
  <c r="JX38" i="2"/>
  <c r="JX37" i="2"/>
  <c r="JX36" i="2"/>
  <c r="JX35" i="2"/>
  <c r="JW39" i="2"/>
  <c r="JW38" i="2"/>
  <c r="JW37" i="2"/>
  <c r="JW36" i="2"/>
  <c r="JW35" i="2"/>
  <c r="JV39" i="2"/>
  <c r="JV38" i="2"/>
  <c r="JV37" i="2"/>
  <c r="JV36" i="2"/>
  <c r="JV35" i="2"/>
  <c r="JS37" i="2"/>
  <c r="JS39" i="2"/>
  <c r="JS38" i="2"/>
  <c r="JS36" i="2"/>
  <c r="JS35" i="2"/>
  <c r="JR39" i="2"/>
  <c r="JR38" i="2"/>
  <c r="JR37" i="2"/>
  <c r="JR36" i="2"/>
  <c r="JP39" i="2"/>
  <c r="JP36" i="2"/>
  <c r="JO37" i="2"/>
  <c r="JO39" i="2"/>
  <c r="JQ39" i="2"/>
  <c r="JQ38" i="2"/>
  <c r="JQ37" i="2"/>
  <c r="JQ36" i="2"/>
  <c r="JR35" i="2"/>
  <c r="JQ35" i="2"/>
  <c r="JO35" i="2"/>
  <c r="JP35" i="2"/>
  <c r="JK37" i="2"/>
  <c r="JP37" i="2"/>
  <c r="JP38" i="2"/>
  <c r="JO38" i="2"/>
  <c r="JO36" i="2"/>
  <c r="JL39" i="2"/>
  <c r="JL38" i="2"/>
  <c r="JL37" i="2"/>
  <c r="JL36" i="2"/>
  <c r="JL35" i="2"/>
  <c r="JK35" i="2"/>
  <c r="JK39" i="2"/>
  <c r="JK38" i="2"/>
  <c r="JK36" i="2"/>
  <c r="JJ39" i="2"/>
  <c r="JJ37" i="2"/>
  <c r="JJ38" i="2"/>
  <c r="JJ36" i="2"/>
  <c r="JJ35" i="2"/>
  <c r="JI35" i="2"/>
  <c r="JH35" i="2"/>
  <c r="JI36" i="2"/>
  <c r="JI37" i="2"/>
  <c r="JI39" i="2"/>
  <c r="JI38" i="2"/>
  <c r="JH36" i="2"/>
  <c r="JH37" i="2"/>
  <c r="JH39" i="2"/>
  <c r="JH38" i="2"/>
  <c r="JE39" i="2"/>
  <c r="JE38" i="2"/>
  <c r="JE37" i="2"/>
  <c r="JE36" i="2"/>
  <c r="JE35" i="2"/>
  <c r="JD39" i="2"/>
  <c r="JD38" i="2"/>
  <c r="JD37" i="2"/>
  <c r="JD36" i="2"/>
  <c r="JD35" i="2"/>
  <c r="JC39" i="2"/>
  <c r="JC38" i="2"/>
  <c r="JC37" i="2"/>
  <c r="JC36" i="2"/>
  <c r="JC35" i="2"/>
  <c r="JB39" i="2"/>
  <c r="JB38" i="2"/>
  <c r="JB37" i="2"/>
  <c r="JB36" i="2"/>
  <c r="JB35" i="2"/>
  <c r="JA39" i="2"/>
  <c r="JA38" i="2"/>
  <c r="JA37" i="2"/>
  <c r="JA36" i="2"/>
  <c r="JA35" i="2"/>
  <c r="G52" i="6" l="1"/>
  <c r="G47" i="6"/>
  <c r="D8" i="3" s="1" a="1"/>
  <c r="D8" i="3" s="1"/>
  <c r="G49" i="6"/>
  <c r="G50" i="6"/>
  <c r="G51" i="6"/>
  <c r="D53" i="6"/>
  <c r="P47" i="6"/>
  <c r="H52" i="6"/>
  <c r="D11" i="3" a="1"/>
  <c r="D11" i="3" s="1"/>
  <c r="P11" i="3" s="1"/>
  <c r="P52" i="6"/>
  <c r="E53" i="6"/>
  <c r="F53" i="6"/>
  <c r="I53" i="6"/>
  <c r="J53" i="6"/>
  <c r="K53" i="6"/>
  <c r="L53" i="6"/>
  <c r="M53" i="6"/>
  <c r="N53" i="6"/>
  <c r="O53" i="6"/>
  <c r="H49" i="6"/>
  <c r="H50" i="6"/>
  <c r="H51" i="6"/>
  <c r="IX39" i="2"/>
  <c r="IX38" i="2"/>
  <c r="IX37" i="2"/>
  <c r="IX36" i="2"/>
  <c r="IW38" i="2"/>
  <c r="IW37" i="2"/>
  <c r="IW36" i="2"/>
  <c r="IW39" i="2"/>
  <c r="IU39" i="2"/>
  <c r="IV39" i="2"/>
  <c r="IV38" i="2"/>
  <c r="IV37" i="2"/>
  <c r="IV36" i="2"/>
  <c r="IU38" i="2"/>
  <c r="IU37" i="2"/>
  <c r="IU36" i="2"/>
  <c r="IT39" i="2"/>
  <c r="IT38" i="2"/>
  <c r="IT37" i="2"/>
  <c r="IT36" i="2"/>
  <c r="IX35" i="2"/>
  <c r="IV35" i="2"/>
  <c r="IW35" i="2"/>
  <c r="IU35" i="2"/>
  <c r="IT35" i="2"/>
  <c r="IQ39" i="2"/>
  <c r="IQ38" i="2"/>
  <c r="IQ37" i="2"/>
  <c r="IQ36" i="2"/>
  <c r="IP39" i="2"/>
  <c r="IP38" i="2"/>
  <c r="IP37" i="2"/>
  <c r="IP36" i="2"/>
  <c r="C43" i="2" a="1"/>
  <c r="C44" i="2" a="1"/>
  <c r="C45" i="2" a="1"/>
  <c r="C46" i="2" a="1"/>
  <c r="C47" i="2" a="1"/>
  <c r="C48" i="2" a="1"/>
  <c r="D7" i="3" l="1" a="1"/>
  <c r="D7" i="3" s="1"/>
  <c r="P51" i="6"/>
  <c r="D10" i="3" a="1"/>
  <c r="D10" i="3" s="1"/>
  <c r="P10" i="3" s="1"/>
  <c r="P50" i="6"/>
  <c r="D9" i="3" a="1"/>
  <c r="D9" i="3" s="1"/>
  <c r="P9" i="3" s="1"/>
  <c r="P8" i="3"/>
  <c r="G53" i="6"/>
  <c r="P49" i="6"/>
  <c r="H53" i="6"/>
  <c r="P53" i="6"/>
  <c r="C43" i="2"/>
  <c r="C48" i="2"/>
  <c r="C47" i="2"/>
  <c r="C46" i="2"/>
  <c r="C45" i="2"/>
  <c r="C44" i="2"/>
  <c r="D14" i="3" l="1"/>
  <c r="P7" i="3"/>
  <c r="P12" i="3" s="1"/>
  <c r="G14" i="3"/>
  <c r="J14" i="3"/>
  <c r="M14" i="3"/>
  <c r="IO39" i="2"/>
  <c r="IO38" i="2"/>
  <c r="IO37" i="2"/>
  <c r="IO36" i="2"/>
  <c r="IN39" i="2"/>
  <c r="IN38" i="2"/>
  <c r="IN37" i="2"/>
  <c r="IN36" i="2"/>
  <c r="IJ39" i="2"/>
  <c r="IJ38" i="2"/>
  <c r="IJ37" i="2"/>
  <c r="IJ36" i="2"/>
  <c r="II39" i="2"/>
  <c r="II38" i="2"/>
  <c r="II37" i="2"/>
  <c r="II36" i="2"/>
  <c r="IM39" i="2"/>
  <c r="IM38" i="2"/>
  <c r="IM37" i="2"/>
  <c r="IM36" i="2"/>
  <c r="IQ35" i="2"/>
  <c r="IP35" i="2"/>
  <c r="IO35" i="2"/>
  <c r="IN35" i="2"/>
  <c r="IM35" i="2"/>
  <c r="IH39" i="2"/>
  <c r="IH37" i="2"/>
  <c r="IH36" i="2"/>
  <c r="IH35" i="2"/>
  <c r="II35" i="2"/>
  <c r="IJ35" i="2"/>
  <c r="IG35" i="2"/>
  <c r="IG39" i="2"/>
  <c r="IG38" i="2"/>
  <c r="IG37" i="2"/>
  <c r="IG36" i="2"/>
  <c r="IC39" i="2"/>
  <c r="IC36" i="2"/>
  <c r="IC37" i="2"/>
  <c r="IC38" i="2"/>
  <c r="IB39" i="2"/>
  <c r="IB38" i="2"/>
  <c r="IB37" i="2"/>
  <c r="IB36" i="2"/>
  <c r="IA39" i="2"/>
  <c r="IA38" i="2"/>
  <c r="IA37" i="2"/>
  <c r="IA36" i="2"/>
  <c r="HZ37" i="2"/>
  <c r="HZ39" i="2"/>
  <c r="HZ38" i="2"/>
  <c r="HZ36" i="2"/>
  <c r="HY37" i="2"/>
  <c r="HY36" i="2"/>
  <c r="HY39" i="2"/>
  <c r="HY38" i="2"/>
  <c r="IC35" i="2"/>
  <c r="IB35" i="2"/>
  <c r="IA35" i="2"/>
  <c r="HZ35" i="2"/>
  <c r="HY35" i="2"/>
  <c r="HV39" i="2"/>
  <c r="HV38" i="2"/>
  <c r="HV37" i="2"/>
  <c r="HV36" i="2"/>
  <c r="HU39" i="2"/>
  <c r="HU38" i="2"/>
  <c r="HU37" i="2"/>
  <c r="HU36" i="2"/>
  <c r="HT39" i="2"/>
  <c r="HT38" i="2"/>
  <c r="HT37" i="2"/>
  <c r="HT36" i="2"/>
  <c r="HS39" i="2"/>
  <c r="HS38" i="2"/>
  <c r="HS37" i="2"/>
  <c r="HS36" i="2"/>
  <c r="HR39" i="2"/>
  <c r="HR38" i="2"/>
  <c r="HR37" i="2"/>
  <c r="HS35" i="2"/>
  <c r="HT35" i="2"/>
  <c r="HU35" i="2"/>
  <c r="HV35" i="2"/>
  <c r="HR35" i="2"/>
  <c r="HR36" i="2"/>
  <c r="HO36" i="2"/>
  <c r="HO37" i="2"/>
  <c r="HO38" i="2"/>
  <c r="HO39" i="2"/>
  <c r="HN39" i="2"/>
  <c r="HN38" i="2"/>
  <c r="HN37" i="2"/>
  <c r="HN36" i="2"/>
  <c r="HN34" i="2"/>
  <c r="HM39" i="2"/>
  <c r="HM38" i="2"/>
  <c r="HM37" i="2"/>
  <c r="HM36" i="2"/>
  <c r="HL39" i="2"/>
  <c r="HL38" i="2"/>
  <c r="HL37" i="2"/>
  <c r="HL36" i="2"/>
  <c r="HL35" i="2"/>
  <c r="HM35" i="2"/>
  <c r="HN35" i="2"/>
  <c r="HO35" i="2"/>
  <c r="HK39" i="2"/>
  <c r="HK37" i="2"/>
  <c r="HK36" i="2"/>
  <c r="HK35" i="2"/>
  <c r="HK38" i="2"/>
  <c r="HH39" i="2"/>
  <c r="HG39" i="2"/>
  <c r="HF39" i="2"/>
  <c r="HE39" i="2"/>
  <c r="HD39" i="2"/>
  <c r="HH37" i="2"/>
  <c r="HH36" i="2"/>
  <c r="HE36" i="2"/>
  <c r="HH35" i="2"/>
  <c r="HG35" i="2"/>
  <c r="HF35" i="2"/>
  <c r="HE35" i="2"/>
  <c r="HD35" i="2"/>
  <c r="HE37" i="2"/>
  <c r="HF37" i="2"/>
  <c r="HG37" i="2"/>
  <c r="HF36" i="2"/>
  <c r="HG36" i="2"/>
  <c r="HD36" i="2"/>
  <c r="HD37" i="2"/>
  <c r="GY39" i="2"/>
  <c r="GY36" i="2"/>
  <c r="GZ36" i="2"/>
  <c r="HA36" i="2"/>
  <c r="HA39" i="2"/>
  <c r="GZ39" i="2"/>
  <c r="GY37" i="2"/>
  <c r="GZ37" i="2"/>
  <c r="HA37" i="2"/>
  <c r="GX37" i="2"/>
  <c r="GW38" i="2"/>
  <c r="GW37" i="2"/>
  <c r="GW36" i="2"/>
  <c r="GW35" i="2"/>
  <c r="GT37" i="2"/>
  <c r="GW39" i="2"/>
  <c r="GT36" i="2"/>
  <c r="GX36" i="2"/>
  <c r="GX39" i="2"/>
  <c r="GX35" i="2"/>
  <c r="GY35" i="2"/>
  <c r="GZ35" i="2"/>
  <c r="HA35" i="2"/>
  <c r="GQ37" i="2"/>
  <c r="GR37" i="2"/>
  <c r="GS37" i="2"/>
  <c r="GQ38" i="2"/>
  <c r="GR38" i="2"/>
  <c r="GS38" i="2"/>
  <c r="GT38" i="2"/>
  <c r="GP38" i="2"/>
  <c r="GP37" i="2"/>
  <c r="GP35" i="2"/>
  <c r="GM35" i="2"/>
  <c r="GK35" i="2"/>
  <c r="GJ35" i="2"/>
  <c r="GI35" i="2"/>
  <c r="GT39" i="2"/>
  <c r="GQ35" i="2"/>
  <c r="GR35" i="2"/>
  <c r="GS35" i="2"/>
  <c r="GT35" i="2"/>
  <c r="GF35" i="2"/>
  <c r="GB35" i="2"/>
  <c r="GC35" i="2"/>
  <c r="GD35" i="2"/>
  <c r="GE35" i="2"/>
  <c r="GL35" i="2"/>
  <c r="GP36" i="2"/>
  <c r="GK39" i="2"/>
  <c r="GM37" i="2"/>
  <c r="GM38" i="2"/>
  <c r="GB39" i="2"/>
  <c r="HH38" i="2"/>
  <c r="HG38" i="2"/>
  <c r="HF38" i="2"/>
  <c r="HE38" i="2"/>
  <c r="HD38" i="2"/>
  <c r="HA38" i="2"/>
  <c r="GZ38" i="2"/>
  <c r="GY38" i="2"/>
  <c r="GX38" i="2"/>
  <c r="GS39" i="2"/>
  <c r="GR39" i="2"/>
  <c r="GQ39" i="2"/>
  <c r="GP39" i="2"/>
  <c r="GS36" i="2"/>
  <c r="GR36" i="2"/>
  <c r="GQ36" i="2"/>
  <c r="GM39" i="2"/>
  <c r="GL39" i="2"/>
  <c r="GJ39" i="2"/>
  <c r="GI39" i="2"/>
  <c r="GL38" i="2"/>
  <c r="GK38" i="2"/>
  <c r="GJ38" i="2"/>
  <c r="GI38" i="2"/>
  <c r="GL37" i="2"/>
  <c r="GK37" i="2"/>
  <c r="GJ37" i="2"/>
  <c r="GI37" i="2"/>
  <c r="GM36" i="2"/>
  <c r="GL36" i="2"/>
  <c r="GK36" i="2"/>
  <c r="GJ36" i="2"/>
  <c r="GI36" i="2"/>
  <c r="K50" i="2"/>
  <c r="GC36" i="2"/>
  <c r="GD36" i="2"/>
  <c r="GE36" i="2"/>
  <c r="GF36" i="2"/>
  <c r="GC37" i="2"/>
  <c r="GD37" i="2"/>
  <c r="GE37" i="2"/>
  <c r="GF37" i="2"/>
  <c r="GC38" i="2"/>
  <c r="GD38" i="2"/>
  <c r="GE38" i="2"/>
  <c r="GF38" i="2"/>
  <c r="GC39" i="2"/>
  <c r="GD39" i="2"/>
  <c r="GE39" i="2"/>
  <c r="GF39" i="2"/>
  <c r="FX37" i="2"/>
  <c r="FY36" i="2"/>
  <c r="FY35" i="2"/>
  <c r="FY38" i="2"/>
  <c r="FW37" i="2"/>
  <c r="FY37" i="2"/>
  <c r="FV37" i="2"/>
  <c r="FU38" i="2"/>
  <c r="FR36" i="2"/>
  <c r="FQ36" i="2"/>
  <c r="FP36" i="2"/>
  <c r="FO36" i="2"/>
  <c r="GB38" i="2"/>
  <c r="GB37" i="2"/>
  <c r="GB36" i="2"/>
  <c r="FY39" i="2"/>
  <c r="FX39" i="2"/>
  <c r="FW39" i="2"/>
  <c r="FV39" i="2"/>
  <c r="FU39" i="2"/>
  <c r="FX38" i="2"/>
  <c r="FW38" i="2"/>
  <c r="FV38" i="2"/>
  <c r="FU37" i="2"/>
  <c r="FX36" i="2"/>
  <c r="FW36" i="2"/>
  <c r="FV36" i="2"/>
  <c r="FU36" i="2"/>
  <c r="FX35" i="2"/>
  <c r="FW35" i="2"/>
  <c r="FV35" i="2"/>
  <c r="FU35" i="2"/>
  <c r="FP35" i="2"/>
  <c r="FQ35" i="2"/>
  <c r="FR35" i="2"/>
  <c r="FP37" i="2"/>
  <c r="FQ37" i="2"/>
  <c r="FR37" i="2"/>
  <c r="FP38" i="2"/>
  <c r="FQ38" i="2"/>
  <c r="FR38" i="2"/>
  <c r="FP39" i="2"/>
  <c r="FQ39" i="2"/>
  <c r="FR39" i="2"/>
  <c r="FO39" i="2"/>
  <c r="FO38" i="2"/>
  <c r="FO37" i="2"/>
  <c r="FO35" i="2"/>
  <c r="FN39" i="2"/>
  <c r="FN38" i="2"/>
  <c r="FN37" i="2"/>
  <c r="FN36" i="2"/>
  <c r="FN35" i="2"/>
  <c r="FK39" i="2"/>
  <c r="FK38" i="2"/>
  <c r="FK37" i="2"/>
  <c r="FK36" i="2"/>
  <c r="FK35" i="2"/>
  <c r="FJ39" i="2"/>
  <c r="FJ38" i="2"/>
  <c r="FJ37" i="2"/>
  <c r="FJ36" i="2"/>
  <c r="FJ35" i="2"/>
  <c r="FI39" i="2"/>
  <c r="FI38" i="2"/>
  <c r="FI37" i="2"/>
  <c r="FI36" i="2"/>
  <c r="FI35" i="2"/>
  <c r="FG39" i="2"/>
  <c r="FG38" i="2"/>
  <c r="FG37" i="2"/>
  <c r="FH39" i="2"/>
  <c r="FH38" i="2"/>
  <c r="FH37" i="2"/>
  <c r="FH36" i="2"/>
  <c r="FH35" i="2"/>
  <c r="FG35" i="2"/>
  <c r="FG36" i="2"/>
  <c r="FD39" i="2"/>
  <c r="FD36" i="2"/>
  <c r="FD35" i="2"/>
  <c r="FB39" i="2"/>
  <c r="FB38" i="2"/>
  <c r="FB37" i="2"/>
  <c r="FB35" i="2"/>
  <c r="FB36" i="2"/>
  <c r="FA38" i="2"/>
  <c r="FA37" i="2"/>
  <c r="FA36" i="2"/>
  <c r="FC35" i="2"/>
  <c r="FA35" i="2"/>
  <c r="FA39" i="2"/>
  <c r="EZ39" i="2"/>
  <c r="EZ37" i="2"/>
  <c r="EZ38" i="2"/>
  <c r="FD38" i="2"/>
  <c r="FD37" i="2"/>
  <c r="FD34" i="2"/>
  <c r="EZ36" i="2"/>
  <c r="EZ35" i="2"/>
  <c r="MK34" i="2"/>
  <c r="MJ34" i="2"/>
  <c r="MI34" i="2"/>
  <c r="MH34" i="2"/>
  <c r="MG34" i="2"/>
  <c r="P49" i="2"/>
  <c r="P48" i="2"/>
  <c r="P47" i="2"/>
  <c r="P45" i="2"/>
  <c r="MD34" i="2"/>
  <c r="MC34" i="2"/>
  <c r="MB34" i="2"/>
  <c r="MA34" i="2"/>
  <c r="LZ34" i="2"/>
  <c r="LW34" i="2"/>
  <c r="LV34" i="2"/>
  <c r="LU34" i="2"/>
  <c r="LT34" i="2"/>
  <c r="LP34" i="2"/>
  <c r="LO34" i="2"/>
  <c r="LN34" i="2"/>
  <c r="LM34" i="2"/>
  <c r="LL34" i="2"/>
  <c r="LF39" i="2"/>
  <c r="LI34" i="2"/>
  <c r="LH34" i="2"/>
  <c r="LG34" i="2"/>
  <c r="LF34" i="2"/>
  <c r="LE34" i="2"/>
  <c r="O49" i="2"/>
  <c r="O48" i="2"/>
  <c r="O47" i="2"/>
  <c r="O45" i="2"/>
  <c r="LB34" i="2"/>
  <c r="LA34" i="2"/>
  <c r="KZ34" i="2"/>
  <c r="KY34" i="2"/>
  <c r="KX34" i="2"/>
  <c r="KU34" i="2"/>
  <c r="KT34" i="2"/>
  <c r="KS34" i="2"/>
  <c r="KR34" i="2"/>
  <c r="KQ34" i="2"/>
  <c r="KN34" i="2"/>
  <c r="KM34" i="2"/>
  <c r="KL34" i="2"/>
  <c r="KK34" i="2"/>
  <c r="KJ34" i="2"/>
  <c r="KG34" i="2"/>
  <c r="KF34" i="2"/>
  <c r="KE34" i="2"/>
  <c r="KD34" i="2"/>
  <c r="KC34" i="2"/>
  <c r="JZ34" i="2"/>
  <c r="JY34" i="2"/>
  <c r="JX34" i="2"/>
  <c r="JW34" i="2"/>
  <c r="JV34" i="2"/>
  <c r="N49" i="2"/>
  <c r="N48" i="2"/>
  <c r="N47" i="2"/>
  <c r="N45" i="2"/>
  <c r="JS34" i="2"/>
  <c r="JR34" i="2"/>
  <c r="JQ34" i="2"/>
  <c r="JP34" i="2"/>
  <c r="JO34" i="2"/>
  <c r="JL34" i="2"/>
  <c r="JK34" i="2"/>
  <c r="JJ34" i="2"/>
  <c r="JI34" i="2"/>
  <c r="JH34" i="2"/>
  <c r="JE34" i="2"/>
  <c r="JD34" i="2"/>
  <c r="JC34" i="2"/>
  <c r="JB34" i="2"/>
  <c r="JA34" i="2"/>
  <c r="IX34" i="2"/>
  <c r="IW34" i="2"/>
  <c r="IV34" i="2"/>
  <c r="IU34" i="2"/>
  <c r="IT34" i="2"/>
  <c r="M49" i="2"/>
  <c r="M48" i="2"/>
  <c r="M47" i="2"/>
  <c r="M45" i="2"/>
  <c r="IQ34" i="2"/>
  <c r="IP34" i="2"/>
  <c r="IO34" i="2"/>
  <c r="IN34" i="2"/>
  <c r="IM34" i="2"/>
  <c r="IH38" i="2"/>
  <c r="IJ34" i="2"/>
  <c r="II34" i="2"/>
  <c r="IH34" i="2"/>
  <c r="IG34" i="2"/>
  <c r="IC34" i="2"/>
  <c r="IB34" i="2"/>
  <c r="IA34" i="2"/>
  <c r="HZ34" i="2"/>
  <c r="HY34" i="2"/>
  <c r="HV34" i="2"/>
  <c r="HU34" i="2"/>
  <c r="HT34" i="2"/>
  <c r="HS34" i="2"/>
  <c r="HR34" i="2"/>
  <c r="HO34" i="2"/>
  <c r="HM34" i="2"/>
  <c r="HL34" i="2"/>
  <c r="HK34" i="2"/>
  <c r="HH34" i="2"/>
  <c r="HG34" i="2"/>
  <c r="HF34" i="2"/>
  <c r="HE34" i="2"/>
  <c r="HD34" i="2"/>
  <c r="HA34" i="2"/>
  <c r="GZ34" i="2"/>
  <c r="GY34" i="2"/>
  <c r="GX34" i="2"/>
  <c r="GW34" i="2"/>
  <c r="GT34" i="2"/>
  <c r="GS34" i="2"/>
  <c r="GR34" i="2"/>
  <c r="GQ34" i="2"/>
  <c r="GP34" i="2"/>
  <c r="GM34" i="2"/>
  <c r="GL34" i="2"/>
  <c r="GK34" i="2"/>
  <c r="GJ34" i="2"/>
  <c r="GI34" i="2"/>
  <c r="GF34" i="2"/>
  <c r="GE34" i="2"/>
  <c r="GD34" i="2"/>
  <c r="GC34" i="2"/>
  <c r="GB34" i="2"/>
  <c r="FY34" i="2"/>
  <c r="FX34" i="2"/>
  <c r="FW34" i="2"/>
  <c r="FV34" i="2"/>
  <c r="FU34" i="2"/>
  <c r="FR34" i="2"/>
  <c r="FK34" i="2"/>
  <c r="FQ34" i="2"/>
  <c r="FP34" i="2"/>
  <c r="FO34" i="2"/>
  <c r="FN34" i="2"/>
  <c r="FJ34" i="2"/>
  <c r="FI34" i="2"/>
  <c r="FH34" i="2"/>
  <c r="FG34" i="2"/>
  <c r="FC39" i="2"/>
  <c r="FC38" i="2"/>
  <c r="FC37" i="2"/>
  <c r="FC36" i="2"/>
  <c r="FC34" i="2"/>
  <c r="FB34" i="2"/>
  <c r="FA34" i="2"/>
  <c r="EZ34" i="2"/>
  <c r="EU36" i="2"/>
  <c r="ET39" i="2"/>
  <c r="ET36" i="2"/>
  <c r="ET35" i="2"/>
  <c r="EU34" i="2"/>
  <c r="EV34" i="2"/>
  <c r="EW34" i="2"/>
  <c r="EU35" i="2"/>
  <c r="EV35" i="2"/>
  <c r="EW35" i="2"/>
  <c r="EV36" i="2"/>
  <c r="EW36" i="2"/>
  <c r="EU37" i="2"/>
  <c r="EV37" i="2"/>
  <c r="EW37" i="2"/>
  <c r="EU38" i="2"/>
  <c r="EV38" i="2"/>
  <c r="EW38" i="2"/>
  <c r="EU39" i="2"/>
  <c r="EV39" i="2"/>
  <c r="EW39" i="2"/>
  <c r="ET38" i="2"/>
  <c r="J48" i="2" s="1"/>
  <c r="ET37" i="2"/>
  <c r="J47" i="2" s="1"/>
  <c r="ET34" i="2"/>
  <c r="EP39" i="2"/>
  <c r="EP36" i="2"/>
  <c r="EP35" i="2"/>
  <c r="EO39" i="2"/>
  <c r="EN36" i="2"/>
  <c r="EM36" i="2"/>
  <c r="EM35" i="2"/>
  <c r="EN35" i="2"/>
  <c r="EO35" i="2"/>
  <c r="EL35" i="2"/>
  <c r="EF35" i="2"/>
  <c r="EG35" i="2"/>
  <c r="EH35" i="2"/>
  <c r="EI35" i="2"/>
  <c r="EE35" i="2"/>
  <c r="EB35" i="2"/>
  <c r="EI39" i="2"/>
  <c r="EL39" i="2"/>
  <c r="EM39" i="2"/>
  <c r="EN39" i="2"/>
  <c r="EL36" i="2"/>
  <c r="EP34" i="2"/>
  <c r="EP37" i="2"/>
  <c r="EP38" i="2"/>
  <c r="EM34" i="2"/>
  <c r="EN34" i="2"/>
  <c r="EO34" i="2"/>
  <c r="EO36" i="2"/>
  <c r="EM37" i="2"/>
  <c r="EN37" i="2"/>
  <c r="EO37" i="2"/>
  <c r="EM38" i="2"/>
  <c r="EN38" i="2"/>
  <c r="EO38" i="2"/>
  <c r="EL38" i="2"/>
  <c r="EL37" i="2"/>
  <c r="EL34" i="2"/>
  <c r="DZ35" i="2"/>
  <c r="EA35" i="2"/>
  <c r="DY35" i="2"/>
  <c r="DU35" i="2"/>
  <c r="DT35" i="2"/>
  <c r="EE36" i="2"/>
  <c r="EF34" i="2"/>
  <c r="EG34" i="2"/>
  <c r="EH34" i="2"/>
  <c r="EI34" i="2"/>
  <c r="EF36" i="2"/>
  <c r="EG36" i="2"/>
  <c r="EH36" i="2"/>
  <c r="EI36" i="2"/>
  <c r="EF37" i="2"/>
  <c r="EG37" i="2"/>
  <c r="EH37" i="2"/>
  <c r="EI37" i="2"/>
  <c r="EF38" i="2"/>
  <c r="EG38" i="2"/>
  <c r="EH38" i="2"/>
  <c r="EI38" i="2"/>
  <c r="EF39" i="2"/>
  <c r="EG39" i="2"/>
  <c r="EH39" i="2"/>
  <c r="EE39" i="2"/>
  <c r="EE38" i="2"/>
  <c r="EE37" i="2"/>
  <c r="EE34" i="2"/>
  <c r="EB36" i="2"/>
  <c r="EA36" i="2"/>
  <c r="EA37" i="2"/>
  <c r="EB38" i="2"/>
  <c r="EA38" i="2"/>
  <c r="DZ36" i="2"/>
  <c r="DY38" i="2"/>
  <c r="DY36" i="2"/>
  <c r="DZ38" i="2"/>
  <c r="DZ34" i="2"/>
  <c r="EA34" i="2"/>
  <c r="EB34" i="2"/>
  <c r="DZ37" i="2"/>
  <c r="EB37" i="2"/>
  <c r="DZ39" i="2"/>
  <c r="EA39" i="2"/>
  <c r="EB39" i="2"/>
  <c r="DY39" i="2"/>
  <c r="DY37" i="2"/>
  <c r="DY34" i="2"/>
  <c r="DQ39" i="2"/>
  <c r="DR37" i="2"/>
  <c r="DS36" i="2"/>
  <c r="DT36" i="2"/>
  <c r="DU36" i="2"/>
  <c r="DR36" i="2"/>
  <c r="DS35" i="2"/>
  <c r="DR35" i="2"/>
  <c r="DQ35" i="2"/>
  <c r="DQ37" i="2"/>
  <c r="DQ36" i="2"/>
  <c r="DN39" i="2"/>
  <c r="DN37" i="2"/>
  <c r="DM36" i="2"/>
  <c r="DN36" i="2"/>
  <c r="DQ34" i="2"/>
  <c r="DR34" i="2"/>
  <c r="DS34" i="2"/>
  <c r="DT34" i="2"/>
  <c r="DU34" i="2"/>
  <c r="DN35" i="2"/>
  <c r="DM35" i="2"/>
  <c r="DL36" i="2"/>
  <c r="DL35" i="2"/>
  <c r="DN34" i="2"/>
  <c r="DM34" i="2"/>
  <c r="DL34" i="2"/>
  <c r="DK34" i="2"/>
  <c r="DK35" i="2"/>
  <c r="DK36" i="2"/>
  <c r="DF35" i="2"/>
  <c r="DF36" i="2"/>
  <c r="DE34" i="2"/>
  <c r="DF34" i="2"/>
  <c r="DD36" i="2"/>
  <c r="DC36" i="2"/>
  <c r="DD39" i="2"/>
  <c r="DC39" i="2"/>
  <c r="DE36" i="2"/>
  <c r="DE35" i="2"/>
  <c r="DC34" i="2"/>
  <c r="DD34" i="2"/>
  <c r="DD35" i="2"/>
  <c r="DD37" i="2"/>
  <c r="DD38" i="2"/>
  <c r="DC38" i="2"/>
  <c r="DC37" i="2"/>
  <c r="DC35" i="2"/>
  <c r="CZ39" i="2"/>
  <c r="CZ36" i="2"/>
  <c r="CS39" i="2"/>
  <c r="CZ35" i="2"/>
  <c r="CX35" i="2"/>
  <c r="CY35" i="2"/>
  <c r="CX36" i="2"/>
  <c r="CY36" i="2"/>
  <c r="CX39" i="2"/>
  <c r="CY39" i="2"/>
  <c r="CV39" i="2"/>
  <c r="CV36" i="2"/>
  <c r="CW39" i="2"/>
  <c r="CW36" i="2"/>
  <c r="CW35" i="2"/>
  <c r="CV35" i="2"/>
  <c r="CQ35" i="2"/>
  <c r="CQ36" i="2"/>
  <c r="CQ38" i="2"/>
  <c r="CQ37" i="2"/>
  <c r="CP38" i="2"/>
  <c r="CP37" i="2"/>
  <c r="CP35" i="2"/>
  <c r="CR36" i="2"/>
  <c r="CP36" i="2"/>
  <c r="CO36" i="2"/>
  <c r="DU39" i="2"/>
  <c r="DT39" i="2"/>
  <c r="DS39" i="2"/>
  <c r="DR39" i="2"/>
  <c r="DU38" i="2"/>
  <c r="DT38" i="2"/>
  <c r="DS38" i="2"/>
  <c r="DR38" i="2"/>
  <c r="DQ38" i="2"/>
  <c r="DU37" i="2"/>
  <c r="DT37" i="2"/>
  <c r="DS37" i="2"/>
  <c r="DM39" i="2"/>
  <c r="DL39" i="2"/>
  <c r="DK39" i="2"/>
  <c r="DN38" i="2"/>
  <c r="DM38" i="2"/>
  <c r="DL38" i="2"/>
  <c r="DK38" i="2"/>
  <c r="DM37" i="2"/>
  <c r="DL37" i="2"/>
  <c r="DK37" i="2"/>
  <c r="DF39" i="2"/>
  <c r="DE39" i="2"/>
  <c r="DF38" i="2"/>
  <c r="DE38" i="2"/>
  <c r="DF37" i="2"/>
  <c r="DE37" i="2"/>
  <c r="CW37" i="2"/>
  <c r="CX37" i="2"/>
  <c r="CY37" i="2"/>
  <c r="CZ37" i="2"/>
  <c r="CW38" i="2"/>
  <c r="CX38" i="2"/>
  <c r="CY38" i="2"/>
  <c r="CZ38" i="2"/>
  <c r="CV38" i="2"/>
  <c r="CV37" i="2"/>
  <c r="CR35" i="2"/>
  <c r="CS35" i="2"/>
  <c r="CO39" i="2"/>
  <c r="CO35" i="2"/>
  <c r="CM34" i="2"/>
  <c r="CN34" i="2"/>
  <c r="CO34" i="2"/>
  <c r="CP34" i="2"/>
  <c r="CQ34" i="2"/>
  <c r="CR34" i="2"/>
  <c r="CS34" i="2"/>
  <c r="CV34" i="2"/>
  <c r="CW34" i="2"/>
  <c r="CX34" i="2"/>
  <c r="CY34" i="2"/>
  <c r="CZ34" i="2"/>
  <c r="CS36" i="2"/>
  <c r="CO37" i="2"/>
  <c r="CR37" i="2"/>
  <c r="CS37" i="2"/>
  <c r="CO38" i="2"/>
  <c r="CR38" i="2"/>
  <c r="CS38" i="2"/>
  <c r="CP39" i="2"/>
  <c r="CQ39" i="2"/>
  <c r="CR39" i="2"/>
  <c r="CL36" i="2"/>
  <c r="CL35" i="2"/>
  <c r="CK36" i="2"/>
  <c r="CK37" i="2"/>
  <c r="CK35" i="2"/>
  <c r="CK39" i="2"/>
  <c r="CK38" i="2"/>
  <c r="CJ39" i="2"/>
  <c r="CJ36" i="2"/>
  <c r="CI36" i="2"/>
  <c r="CJ38" i="2"/>
  <c r="CL38" i="2"/>
  <c r="CI38" i="2"/>
  <c r="CH38" i="2"/>
  <c r="CH37" i="2"/>
  <c r="CH36" i="2"/>
  <c r="CE38" i="2"/>
  <c r="CE36" i="2"/>
  <c r="CE37" i="2"/>
  <c r="CB39" i="2"/>
  <c r="CC39" i="2"/>
  <c r="CD39" i="2"/>
  <c r="CE39" i="2"/>
  <c r="CA39" i="2"/>
  <c r="CD36" i="2"/>
  <c r="CE35" i="2"/>
  <c r="CD35" i="2"/>
  <c r="CD38" i="2"/>
  <c r="CD37" i="2"/>
  <c r="CC37" i="2"/>
  <c r="CC36" i="2"/>
  <c r="CB38" i="2"/>
  <c r="CA37" i="2"/>
  <c r="CB37" i="2"/>
  <c r="CB36" i="2"/>
  <c r="CL34" i="2"/>
  <c r="CK34" i="2"/>
  <c r="CJ34" i="2"/>
  <c r="CI34" i="2"/>
  <c r="CH34" i="2"/>
  <c r="CE34" i="2"/>
  <c r="CD34" i="2"/>
  <c r="CC34" i="2"/>
  <c r="CB34" i="2"/>
  <c r="CA34" i="2"/>
  <c r="CA38" i="2"/>
  <c r="CA36" i="2"/>
  <c r="BX39" i="2"/>
  <c r="BX36" i="2"/>
  <c r="BW36" i="2"/>
  <c r="BV39" i="2"/>
  <c r="BV37" i="2"/>
  <c r="BU37" i="2"/>
  <c r="BU36" i="2"/>
  <c r="BT35" i="2"/>
  <c r="BT37" i="2"/>
  <c r="BT36" i="2"/>
  <c r="CL39" i="2"/>
  <c r="CI39" i="2"/>
  <c r="CH39" i="2"/>
  <c r="BU39" i="2"/>
  <c r="BW39" i="2"/>
  <c r="BT39" i="2"/>
  <c r="BQ39" i="2"/>
  <c r="BQ36" i="2"/>
  <c r="BP39" i="2"/>
  <c r="BP35" i="2"/>
  <c r="BN35" i="2"/>
  <c r="BX34" i="2"/>
  <c r="BW34" i="2"/>
  <c r="BV34" i="2"/>
  <c r="BU34" i="2"/>
  <c r="BT34" i="2"/>
  <c r="BQ34" i="2"/>
  <c r="BP34" i="2"/>
  <c r="BO34" i="2"/>
  <c r="BN34" i="2"/>
  <c r="BM34" i="2"/>
  <c r="CJ35" i="2"/>
  <c r="CI35" i="2"/>
  <c r="CH35" i="2"/>
  <c r="CC35" i="2"/>
  <c r="CB35" i="2"/>
  <c r="CA35" i="2"/>
  <c r="BU35" i="2"/>
  <c r="BV35" i="2"/>
  <c r="BW35" i="2"/>
  <c r="BX35" i="2"/>
  <c r="BO35" i="2"/>
  <c r="BQ35" i="2"/>
  <c r="BM35" i="2"/>
  <c r="G50" i="2" s="1"/>
  <c r="BP36" i="2"/>
  <c r="BO36" i="2"/>
  <c r="BP38" i="2"/>
  <c r="BQ38" i="2"/>
  <c r="BO39" i="2"/>
  <c r="BO38" i="2"/>
  <c r="BN36" i="2"/>
  <c r="BN37" i="2"/>
  <c r="BO37" i="2"/>
  <c r="BP37" i="2"/>
  <c r="BQ37" i="2"/>
  <c r="BN38" i="2"/>
  <c r="BN39" i="2"/>
  <c r="BM39" i="2"/>
  <c r="BM38" i="2"/>
  <c r="BM36" i="2"/>
  <c r="CL37" i="2"/>
  <c r="CJ37" i="2"/>
  <c r="CI37" i="2"/>
  <c r="CC38" i="2"/>
  <c r="BX38" i="2"/>
  <c r="BW38" i="2"/>
  <c r="BV38" i="2"/>
  <c r="BU38" i="2"/>
  <c r="BT38" i="2"/>
  <c r="BX37" i="2"/>
  <c r="BW37" i="2"/>
  <c r="BV36" i="2"/>
  <c r="BM37" i="2"/>
  <c r="G47" i="2" s="1"/>
  <c r="AE40" i="3"/>
  <c r="AE41" i="3"/>
  <c r="AE39" i="3"/>
  <c r="BJ35" i="2"/>
  <c r="BJ37" i="2"/>
  <c r="BJ39" i="2"/>
  <c r="BI37" i="2"/>
  <c r="BI35" i="2"/>
  <c r="BH39" i="2"/>
  <c r="BH37" i="2"/>
  <c r="BH35" i="2"/>
  <c r="BG35" i="2"/>
  <c r="BG37" i="2"/>
  <c r="BF39" i="2"/>
  <c r="BF37" i="2"/>
  <c r="BF35" i="2"/>
  <c r="BC35" i="2"/>
  <c r="BA35" i="2"/>
  <c r="BB35" i="2"/>
  <c r="AZ35" i="2"/>
  <c r="BC39" i="2"/>
  <c r="BB36" i="2"/>
  <c r="BA36" i="2"/>
  <c r="BA39" i="2"/>
  <c r="AZ39" i="2"/>
  <c r="AZ36" i="2"/>
  <c r="AY36" i="2"/>
  <c r="AU36" i="2"/>
  <c r="AS36" i="2"/>
  <c r="AS37" i="2"/>
  <c r="AS38" i="2"/>
  <c r="AR37" i="2"/>
  <c r="AR38" i="2"/>
  <c r="AM37" i="2"/>
  <c r="AN37" i="2"/>
  <c r="AO37" i="2"/>
  <c r="AL37" i="2"/>
  <c r="AK37" i="2"/>
  <c r="AK36" i="2"/>
  <c r="AO38" i="2"/>
  <c r="BI39" i="2"/>
  <c r="BG39" i="2"/>
  <c r="BJ38" i="2"/>
  <c r="BI38" i="2"/>
  <c r="BH38" i="2"/>
  <c r="BG38" i="2"/>
  <c r="BF38" i="2"/>
  <c r="BJ36" i="2"/>
  <c r="BI36" i="2"/>
  <c r="BH36" i="2"/>
  <c r="BG36" i="2"/>
  <c r="BF36" i="2"/>
  <c r="BB39" i="2"/>
  <c r="AY39" i="2"/>
  <c r="BC38" i="2"/>
  <c r="BB38" i="2"/>
  <c r="BA38" i="2"/>
  <c r="AZ38" i="2"/>
  <c r="AY38" i="2"/>
  <c r="BC37" i="2"/>
  <c r="BB37" i="2"/>
  <c r="BA37" i="2"/>
  <c r="AZ37" i="2"/>
  <c r="AY37" i="2"/>
  <c r="BC36" i="2"/>
  <c r="AY35" i="2"/>
  <c r="AV39" i="2"/>
  <c r="AU39" i="2"/>
  <c r="AT39" i="2"/>
  <c r="AS39" i="2"/>
  <c r="AR39" i="2"/>
  <c r="AV38" i="2"/>
  <c r="AU38" i="2"/>
  <c r="AT38" i="2"/>
  <c r="AV37" i="2"/>
  <c r="AU37" i="2"/>
  <c r="AT37" i="2"/>
  <c r="AV36" i="2"/>
  <c r="AT36" i="2"/>
  <c r="AR36" i="2"/>
  <c r="AV35" i="2"/>
  <c r="AU35" i="2"/>
  <c r="AT35" i="2"/>
  <c r="AS35" i="2"/>
  <c r="AR35" i="2"/>
  <c r="AL35" i="2"/>
  <c r="AM35" i="2"/>
  <c r="AN35" i="2"/>
  <c r="AO35" i="2"/>
  <c r="AL36" i="2"/>
  <c r="AM36" i="2"/>
  <c r="AN36" i="2"/>
  <c r="AO36" i="2"/>
  <c r="AL38" i="2"/>
  <c r="AM38" i="2"/>
  <c r="AN38" i="2"/>
  <c r="AL39" i="2"/>
  <c r="AM39" i="2"/>
  <c r="AN39" i="2"/>
  <c r="AO39" i="2"/>
  <c r="F47" i="2"/>
  <c r="F45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AK35" i="2"/>
  <c r="F50" i="2" s="1"/>
  <c r="AK38" i="2"/>
  <c r="F48" i="2" s="1"/>
  <c r="AK39" i="2"/>
  <c r="F49" i="2" s="1"/>
  <c r="AF39" i="2"/>
  <c r="AG39" i="2"/>
  <c r="AH36" i="2"/>
  <c r="AH37" i="2"/>
  <c r="AG35" i="2"/>
  <c r="AG37" i="2"/>
  <c r="AG38" i="2"/>
  <c r="AG36" i="2"/>
  <c r="AF37" i="2"/>
  <c r="AF36" i="2"/>
  <c r="AE37" i="2"/>
  <c r="AE38" i="2"/>
  <c r="AE36" i="2"/>
  <c r="AD37" i="2"/>
  <c r="AD38" i="2"/>
  <c r="AD36" i="2"/>
  <c r="AA38" i="2"/>
  <c r="AA37" i="2"/>
  <c r="AA36" i="2"/>
  <c r="Z37" i="2"/>
  <c r="Z36" i="2"/>
  <c r="Z35" i="2"/>
  <c r="Y37" i="2"/>
  <c r="Y36" i="2"/>
  <c r="X36" i="2"/>
  <c r="X37" i="2"/>
  <c r="W37" i="2"/>
  <c r="W36" i="2"/>
  <c r="T37" i="2"/>
  <c r="T36" i="2"/>
  <c r="S37" i="2"/>
  <c r="S36" i="2"/>
  <c r="R38" i="2"/>
  <c r="R37" i="2"/>
  <c r="R36" i="2"/>
  <c r="Q36" i="2"/>
  <c r="P36" i="2"/>
  <c r="Q37" i="2"/>
  <c r="Q35" i="2"/>
  <c r="P37" i="2"/>
  <c r="M38" i="2"/>
  <c r="M37" i="2"/>
  <c r="M36" i="2"/>
  <c r="L37" i="2"/>
  <c r="L36" i="2"/>
  <c r="K36" i="2"/>
  <c r="J36" i="2"/>
  <c r="K37" i="2"/>
  <c r="J37" i="2"/>
  <c r="I36" i="2"/>
  <c r="I37" i="2"/>
  <c r="AH39" i="2"/>
  <c r="AE39" i="2"/>
  <c r="AD39" i="2"/>
  <c r="AH38" i="2"/>
  <c r="AF38" i="2"/>
  <c r="AH35" i="2"/>
  <c r="AF35" i="2"/>
  <c r="AE35" i="2"/>
  <c r="AD35" i="2"/>
  <c r="AA39" i="2"/>
  <c r="Z39" i="2"/>
  <c r="Y39" i="2"/>
  <c r="X39" i="2"/>
  <c r="W39" i="2"/>
  <c r="Z38" i="2"/>
  <c r="Y38" i="2"/>
  <c r="X38" i="2"/>
  <c r="W38" i="2"/>
  <c r="AA35" i="2"/>
  <c r="Y35" i="2"/>
  <c r="X35" i="2"/>
  <c r="W35" i="2"/>
  <c r="R35" i="2"/>
  <c r="S35" i="2"/>
  <c r="T35" i="2"/>
  <c r="Q38" i="2"/>
  <c r="S38" i="2"/>
  <c r="T38" i="2"/>
  <c r="Q39" i="2"/>
  <c r="R39" i="2"/>
  <c r="S39" i="2"/>
  <c r="T39" i="2"/>
  <c r="P39" i="2"/>
  <c r="P38" i="2"/>
  <c r="P35" i="2"/>
  <c r="K39" i="2"/>
  <c r="L39" i="2"/>
  <c r="M39" i="2"/>
  <c r="K38" i="2"/>
  <c r="L38" i="2"/>
  <c r="J39" i="2"/>
  <c r="J38" i="2"/>
  <c r="K35" i="2"/>
  <c r="L35" i="2"/>
  <c r="M35" i="2"/>
  <c r="J35" i="2"/>
  <c r="I39" i="2"/>
  <c r="I38" i="2"/>
  <c r="I35" i="2"/>
  <c r="F37" i="2"/>
  <c r="F36" i="2"/>
  <c r="F35" i="2"/>
  <c r="F39" i="2"/>
  <c r="F38" i="2"/>
  <c r="E36" i="2"/>
  <c r="E35" i="2"/>
  <c r="E45" i="2" s="1"/>
  <c r="E34" i="2"/>
  <c r="AH34" i="2"/>
  <c r="F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E71" i="3"/>
  <c r="AE70" i="3"/>
  <c r="AE69" i="3"/>
  <c r="D72" i="3" a="1"/>
  <c r="D72" i="3" s="1"/>
  <c r="P72" i="3" s="1"/>
  <c r="D69" i="3" a="1"/>
  <c r="O68" i="3"/>
  <c r="N68" i="3"/>
  <c r="M68" i="3"/>
  <c r="M75" i="3" s="1"/>
  <c r="L68" i="3"/>
  <c r="K68" i="3"/>
  <c r="J68" i="3"/>
  <c r="J75" i="3" s="1"/>
  <c r="I68" i="3"/>
  <c r="H68" i="3"/>
  <c r="E39" i="2"/>
  <c r="E38" i="2"/>
  <c r="E37" i="2"/>
  <c r="E49" i="2"/>
  <c r="E48" i="2"/>
  <c r="E50" i="2"/>
  <c r="E47" i="2"/>
  <c r="F51" i="2"/>
  <c r="LA41" i="1"/>
  <c r="KZ41" i="1"/>
  <c r="LA40" i="1"/>
  <c r="KZ40" i="1"/>
  <c r="KZ39" i="1"/>
  <c r="KZ38" i="1"/>
  <c r="LA37" i="1"/>
  <c r="KZ37" i="1"/>
  <c r="LA39" i="1"/>
  <c r="KW37" i="1"/>
  <c r="KW41" i="1"/>
  <c r="KW39" i="1"/>
  <c r="KT39" i="1"/>
  <c r="KS39" i="1"/>
  <c r="LA38" i="1"/>
  <c r="KW38" i="1"/>
  <c r="KT38" i="1"/>
  <c r="KS38" i="1"/>
  <c r="KS37" i="1"/>
  <c r="KM39" i="1"/>
  <c r="KN39" i="1"/>
  <c r="KO39" i="1"/>
  <c r="KP39" i="1"/>
  <c r="KL40" i="1"/>
  <c r="KL39" i="1"/>
  <c r="KT41" i="1"/>
  <c r="KS41" i="1"/>
  <c r="KM40" i="1"/>
  <c r="KN40" i="1"/>
  <c r="KO40" i="1"/>
  <c r="KP40" i="1"/>
  <c r="KP38" i="1"/>
  <c r="KO38" i="1"/>
  <c r="KL38" i="1"/>
  <c r="KL37" i="1"/>
  <c r="KM37" i="1"/>
  <c r="KN37" i="1"/>
  <c r="KO37" i="1"/>
  <c r="KP37" i="1"/>
  <c r="KT37" i="1"/>
  <c r="KS40" i="1"/>
  <c r="KT40" i="1"/>
  <c r="KW40" i="1"/>
  <c r="KM38" i="1"/>
  <c r="KN38" i="1"/>
  <c r="KL41" i="1"/>
  <c r="KM41" i="1"/>
  <c r="KN41" i="1"/>
  <c r="KO41" i="1"/>
  <c r="KP41" i="1"/>
  <c r="KI41" i="1"/>
  <c r="KI37" i="1"/>
  <c r="KI38" i="1"/>
  <c r="KH41" i="1"/>
  <c r="KH40" i="1"/>
  <c r="KH39" i="1"/>
  <c r="KH38" i="1"/>
  <c r="KG37" i="1"/>
  <c r="KG40" i="1"/>
  <c r="KG41" i="1"/>
  <c r="KF39" i="1"/>
  <c r="KG39" i="1"/>
  <c r="KG38" i="1"/>
  <c r="KH37" i="1"/>
  <c r="KF37" i="1"/>
  <c r="KF40" i="1"/>
  <c r="KF38" i="1"/>
  <c r="KE39" i="1"/>
  <c r="KE38" i="1"/>
  <c r="KE40" i="1"/>
  <c r="KE37" i="1"/>
  <c r="KF41" i="1"/>
  <c r="KE41" i="1"/>
  <c r="KI40" i="1"/>
  <c r="KI39" i="1"/>
  <c r="KB41" i="1"/>
  <c r="KB38" i="1"/>
  <c r="KB39" i="1"/>
  <c r="KB40" i="1"/>
  <c r="KA38" i="1"/>
  <c r="KA37" i="1"/>
  <c r="KA39" i="1"/>
  <c r="JZ41" i="1"/>
  <c r="JZ40" i="1"/>
  <c r="JZ37" i="1"/>
  <c r="JZ39" i="1"/>
  <c r="JZ38" i="1"/>
  <c r="D34" i="2"/>
  <c r="BO41" i="1"/>
  <c r="BL41" i="1"/>
  <c r="BK41" i="1"/>
  <c r="BJ41" i="1"/>
  <c r="BI41" i="1"/>
  <c r="BH41" i="1"/>
  <c r="BE41" i="1"/>
  <c r="BD41" i="1"/>
  <c r="BC41" i="1"/>
  <c r="BB41" i="1"/>
  <c r="BA41" i="1"/>
  <c r="AX41" i="1"/>
  <c r="AW41" i="1"/>
  <c r="AV41" i="1"/>
  <c r="AU41" i="1"/>
  <c r="AT41" i="1"/>
  <c r="AQ41" i="1"/>
  <c r="AP41" i="1"/>
  <c r="AO41" i="1"/>
  <c r="AN41" i="1"/>
  <c r="JY39" i="1"/>
  <c r="JX39" i="1"/>
  <c r="JG39" i="1"/>
  <c r="JF39" i="1"/>
  <c r="JE39" i="1"/>
  <c r="JN39" i="1"/>
  <c r="JM39" i="1"/>
  <c r="JL39" i="1"/>
  <c r="JK39" i="1"/>
  <c r="JU39" i="1"/>
  <c r="JT39" i="1"/>
  <c r="JS39" i="1"/>
  <c r="JR39" i="1"/>
  <c r="JQ39" i="1"/>
  <c r="IX37" i="1"/>
  <c r="IY37" i="1"/>
  <c r="IZ37" i="1"/>
  <c r="JC37" i="1"/>
  <c r="JD37" i="1"/>
  <c r="JE37" i="1"/>
  <c r="JF37" i="1"/>
  <c r="JG37" i="1"/>
  <c r="JJ37" i="1"/>
  <c r="JK37" i="1"/>
  <c r="JL37" i="1"/>
  <c r="JM37" i="1"/>
  <c r="JN37" i="1"/>
  <c r="JQ37" i="1"/>
  <c r="JR37" i="1"/>
  <c r="JS37" i="1"/>
  <c r="JT37" i="1"/>
  <c r="JU37" i="1"/>
  <c r="JX37" i="1"/>
  <c r="JY37" i="1"/>
  <c r="KB37" i="1"/>
  <c r="IW37" i="1"/>
  <c r="P52" i="1"/>
  <c r="P49" i="1"/>
  <c r="JY38" i="1"/>
  <c r="KA41" i="1"/>
  <c r="JY41" i="1"/>
  <c r="KA40" i="1"/>
  <c r="JY40" i="1"/>
  <c r="JX38" i="1"/>
  <c r="P47" i="1" s="1"/>
  <c r="JX41" i="1"/>
  <c r="P51" i="1" s="1"/>
  <c r="JX40" i="1"/>
  <c r="P50" i="1" s="1"/>
  <c r="JU38" i="1"/>
  <c r="JT38" i="1"/>
  <c r="GK41" i="1"/>
  <c r="GL41" i="1"/>
  <c r="GM41" i="1"/>
  <c r="GN41" i="1"/>
  <c r="GO41" i="1"/>
  <c r="GR41" i="1"/>
  <c r="GS41" i="1"/>
  <c r="GT41" i="1"/>
  <c r="GU41" i="1"/>
  <c r="GV41" i="1"/>
  <c r="GY41" i="1"/>
  <c r="GZ41" i="1"/>
  <c r="HA41" i="1"/>
  <c r="HB41" i="1"/>
  <c r="HC41" i="1"/>
  <c r="HF41" i="1"/>
  <c r="HG41" i="1"/>
  <c r="HH41" i="1"/>
  <c r="HI41" i="1"/>
  <c r="HJ41" i="1"/>
  <c r="HM41" i="1"/>
  <c r="HN41" i="1"/>
  <c r="HO41" i="1"/>
  <c r="HP41" i="1"/>
  <c r="HQ41" i="1"/>
  <c r="HT41" i="1"/>
  <c r="HU41" i="1"/>
  <c r="HV41" i="1"/>
  <c r="HW41" i="1"/>
  <c r="HX41" i="1"/>
  <c r="IA41" i="1"/>
  <c r="IB41" i="1"/>
  <c r="IC41" i="1"/>
  <c r="ID41" i="1"/>
  <c r="IE41" i="1"/>
  <c r="IH41" i="1"/>
  <c r="II41" i="1"/>
  <c r="IJ41" i="1"/>
  <c r="IK41" i="1"/>
  <c r="IL41" i="1"/>
  <c r="IO41" i="1"/>
  <c r="IP41" i="1"/>
  <c r="IQ41" i="1"/>
  <c r="IR41" i="1"/>
  <c r="IS41" i="1"/>
  <c r="JS38" i="1"/>
  <c r="JU41" i="1"/>
  <c r="JT41" i="1"/>
  <c r="JU40" i="1"/>
  <c r="JT40" i="1"/>
  <c r="JS40" i="1"/>
  <c r="JR38" i="1"/>
  <c r="JQ38" i="1"/>
  <c r="JR40" i="1"/>
  <c r="JQ40" i="1"/>
  <c r="JQ41" i="1"/>
  <c r="JR41" i="1"/>
  <c r="JS41" i="1"/>
  <c r="JO36" i="1"/>
  <c r="JP36" i="1"/>
  <c r="JN41" i="1"/>
  <c r="JM41" i="1"/>
  <c r="JL41" i="1"/>
  <c r="JN40" i="1"/>
  <c r="JN38" i="1"/>
  <c r="JM38" i="1"/>
  <c r="JL38" i="1"/>
  <c r="JJ41" i="1"/>
  <c r="JK41" i="1"/>
  <c r="JK38" i="1"/>
  <c r="JJ39" i="1"/>
  <c r="JJ38" i="1"/>
  <c r="JM40" i="1"/>
  <c r="JL40" i="1"/>
  <c r="JK40" i="1"/>
  <c r="JJ40" i="1"/>
  <c r="JG40" i="1"/>
  <c r="JF40" i="1"/>
  <c r="JE40" i="1"/>
  <c r="JD40" i="1"/>
  <c r="JG38" i="1"/>
  <c r="JF38" i="1"/>
  <c r="JE38" i="1"/>
  <c r="JG41" i="1"/>
  <c r="JF41" i="1"/>
  <c r="JE41" i="1"/>
  <c r="JD41" i="1"/>
  <c r="JC41" i="1"/>
  <c r="JC40" i="1"/>
  <c r="JC39" i="1"/>
  <c r="JC38" i="1"/>
  <c r="JD39" i="1"/>
  <c r="JD38" i="1"/>
  <c r="IZ41" i="1"/>
  <c r="IZ40" i="1"/>
  <c r="IZ39" i="1"/>
  <c r="IZ38" i="1"/>
  <c r="IY41" i="1"/>
  <c r="IX41" i="1"/>
  <c r="IY40" i="1"/>
  <c r="IX40" i="1"/>
  <c r="IY39" i="1"/>
  <c r="IX39" i="1"/>
  <c r="IY38" i="1"/>
  <c r="IX38" i="1"/>
  <c r="IW41" i="1"/>
  <c r="IW40" i="1"/>
  <c r="IW39" i="1"/>
  <c r="IW38" i="1"/>
  <c r="IV41" i="1"/>
  <c r="IV38" i="1"/>
  <c r="IV37" i="1"/>
  <c r="IV40" i="1"/>
  <c r="IV39" i="1"/>
  <c r="JC36" i="1"/>
  <c r="JD36" i="1"/>
  <c r="JE36" i="1"/>
  <c r="JF36" i="1"/>
  <c r="JG36" i="1"/>
  <c r="JJ36" i="1"/>
  <c r="JK36" i="1"/>
  <c r="JL36" i="1"/>
  <c r="JM36" i="1"/>
  <c r="JN36" i="1"/>
  <c r="JQ36" i="1"/>
  <c r="JR36" i="1"/>
  <c r="JS36" i="1"/>
  <c r="JT36" i="1"/>
  <c r="JU36" i="1"/>
  <c r="JX36" i="1"/>
  <c r="JY36" i="1"/>
  <c r="JZ36" i="1"/>
  <c r="KA36" i="1"/>
  <c r="KB36" i="1"/>
  <c r="KE36" i="1"/>
  <c r="KF36" i="1"/>
  <c r="KG36" i="1"/>
  <c r="KH36" i="1"/>
  <c r="KI36" i="1"/>
  <c r="KL36" i="1"/>
  <c r="KM36" i="1"/>
  <c r="KN36" i="1"/>
  <c r="KO36" i="1"/>
  <c r="KP36" i="1"/>
  <c r="KS36" i="1"/>
  <c r="KT36" i="1"/>
  <c r="KW36" i="1"/>
  <c r="KZ36" i="1"/>
  <c r="LA36" i="1"/>
  <c r="IV36" i="1"/>
  <c r="IY36" i="1"/>
  <c r="IZ36" i="1"/>
  <c r="IX36" i="1"/>
  <c r="IW36" i="1"/>
  <c r="IS37" i="1"/>
  <c r="O52" i="1" s="1"/>
  <c r="IO36" i="1"/>
  <c r="IP36" i="1"/>
  <c r="IQ36" i="1"/>
  <c r="IR36" i="1"/>
  <c r="IS36" i="1"/>
  <c r="IP40" i="1"/>
  <c r="IQ40" i="1"/>
  <c r="IR40" i="1"/>
  <c r="IS40" i="1"/>
  <c r="O50" i="1" s="1"/>
  <c r="IO40" i="1"/>
  <c r="IP37" i="1"/>
  <c r="IQ37" i="1"/>
  <c r="IR37" i="1"/>
  <c r="IO37" i="1"/>
  <c r="IO38" i="1"/>
  <c r="IP38" i="1"/>
  <c r="IQ38" i="1"/>
  <c r="IR38" i="1"/>
  <c r="IS38" i="1"/>
  <c r="O47" i="1" s="1"/>
  <c r="IO39" i="1"/>
  <c r="IP39" i="1"/>
  <c r="IQ39" i="1"/>
  <c r="IR39" i="1"/>
  <c r="IS39" i="1"/>
  <c r="O49" i="1" s="1"/>
  <c r="O51" i="1"/>
  <c r="IL38" i="1"/>
  <c r="IK37" i="1"/>
  <c r="IL37" i="1"/>
  <c r="IJ37" i="1"/>
  <c r="II37" i="1"/>
  <c r="IH37" i="1"/>
  <c r="IH36" i="1"/>
  <c r="II36" i="1"/>
  <c r="IJ36" i="1"/>
  <c r="IK36" i="1"/>
  <c r="IL36" i="1"/>
  <c r="IA36" i="1"/>
  <c r="IB36" i="1"/>
  <c r="IC36" i="1"/>
  <c r="ID36" i="1"/>
  <c r="IE36" i="1"/>
  <c r="E51" i="2"/>
  <c r="IB37" i="1"/>
  <c r="IC37" i="1"/>
  <c r="ID37" i="1"/>
  <c r="IE37" i="1"/>
  <c r="IA37" i="1"/>
  <c r="IA38" i="1"/>
  <c r="IB38" i="1"/>
  <c r="IC38" i="1"/>
  <c r="ID38" i="1"/>
  <c r="IE38" i="1"/>
  <c r="IH38" i="1"/>
  <c r="II38" i="1"/>
  <c r="IJ38" i="1"/>
  <c r="IK38" i="1"/>
  <c r="IA39" i="1"/>
  <c r="IB39" i="1"/>
  <c r="IC39" i="1"/>
  <c r="ID39" i="1"/>
  <c r="IE39" i="1"/>
  <c r="IH39" i="1"/>
  <c r="II39" i="1"/>
  <c r="IJ39" i="1"/>
  <c r="IK39" i="1"/>
  <c r="IL39" i="1"/>
  <c r="IA40" i="1"/>
  <c r="IB40" i="1"/>
  <c r="IC40" i="1"/>
  <c r="ID40" i="1"/>
  <c r="IE40" i="1"/>
  <c r="IH40" i="1"/>
  <c r="II40" i="1"/>
  <c r="IJ40" i="1"/>
  <c r="IK40" i="1"/>
  <c r="IL40" i="1"/>
  <c r="HU37" i="1"/>
  <c r="HX37" i="1"/>
  <c r="HT40" i="1"/>
  <c r="HT38" i="1"/>
  <c r="N51" i="1"/>
  <c r="HM40" i="1"/>
  <c r="HM39" i="1"/>
  <c r="HM38" i="1"/>
  <c r="HM37" i="1"/>
  <c r="HH37" i="1"/>
  <c r="HI37" i="1"/>
  <c r="HJ37" i="1"/>
  <c r="HN37" i="1"/>
  <c r="HO37" i="1"/>
  <c r="HP37" i="1"/>
  <c r="HQ37" i="1"/>
  <c r="HG37" i="1"/>
  <c r="HO38" i="1"/>
  <c r="HN38" i="1"/>
  <c r="HJ40" i="1"/>
  <c r="HH38" i="1"/>
  <c r="HJ38" i="1"/>
  <c r="HI38" i="1"/>
  <c r="HG38" i="1"/>
  <c r="GY39" i="1"/>
  <c r="HC39" i="1"/>
  <c r="HB39" i="1"/>
  <c r="HA39" i="1"/>
  <c r="HJ39" i="1"/>
  <c r="HI39" i="1"/>
  <c r="HH39" i="1"/>
  <c r="HG39" i="1"/>
  <c r="HF39" i="1"/>
  <c r="HF38" i="1"/>
  <c r="GZ38" i="1"/>
  <c r="GZ39" i="1"/>
  <c r="HF36" i="1"/>
  <c r="HG36" i="1"/>
  <c r="HH36" i="1"/>
  <c r="HI36" i="1"/>
  <c r="HJ36" i="1"/>
  <c r="HM36" i="1"/>
  <c r="HN36" i="1"/>
  <c r="HO36" i="1"/>
  <c r="HP36" i="1"/>
  <c r="HQ36" i="1"/>
  <c r="HT36" i="1"/>
  <c r="HU36" i="1"/>
  <c r="HV36" i="1"/>
  <c r="HW36" i="1"/>
  <c r="HX36" i="1"/>
  <c r="HF37" i="1"/>
  <c r="HT37" i="1"/>
  <c r="HV37" i="1"/>
  <c r="HW37" i="1"/>
  <c r="HP38" i="1"/>
  <c r="HQ38" i="1"/>
  <c r="HU38" i="1"/>
  <c r="HV38" i="1"/>
  <c r="HW38" i="1"/>
  <c r="HX38" i="1"/>
  <c r="HN39" i="1"/>
  <c r="HO39" i="1"/>
  <c r="HP39" i="1"/>
  <c r="HQ39" i="1"/>
  <c r="HT39" i="1"/>
  <c r="HU39" i="1"/>
  <c r="HV39" i="1"/>
  <c r="HW39" i="1"/>
  <c r="HX39" i="1"/>
  <c r="HF40" i="1"/>
  <c r="HG40" i="1"/>
  <c r="HH40" i="1"/>
  <c r="HI40" i="1"/>
  <c r="HN40" i="1"/>
  <c r="HO40" i="1"/>
  <c r="HP40" i="1"/>
  <c r="HQ40" i="1"/>
  <c r="HU40" i="1"/>
  <c r="HV40" i="1"/>
  <c r="HW40" i="1"/>
  <c r="HX40" i="1"/>
  <c r="GV38" i="1"/>
  <c r="GU38" i="1"/>
  <c r="GR36" i="1"/>
  <c r="GS36" i="1"/>
  <c r="GT36" i="1"/>
  <c r="GU36" i="1"/>
  <c r="GV36" i="1"/>
  <c r="GY36" i="1"/>
  <c r="GZ36" i="1"/>
  <c r="HA36" i="1"/>
  <c r="HB36" i="1"/>
  <c r="HC36" i="1"/>
  <c r="GS37" i="1"/>
  <c r="GT37" i="1"/>
  <c r="GU37" i="1"/>
  <c r="GV37" i="1"/>
  <c r="GR37" i="1"/>
  <c r="GS38" i="1"/>
  <c r="GT38" i="1"/>
  <c r="GR38" i="1"/>
  <c r="GY37" i="1"/>
  <c r="GZ37" i="1"/>
  <c r="HA37" i="1"/>
  <c r="HB37" i="1"/>
  <c r="HC37" i="1"/>
  <c r="GY38" i="1"/>
  <c r="HA38" i="1"/>
  <c r="HB38" i="1"/>
  <c r="HC38" i="1"/>
  <c r="GR39" i="1"/>
  <c r="GS39" i="1"/>
  <c r="GT39" i="1"/>
  <c r="GU39" i="1"/>
  <c r="GV39" i="1"/>
  <c r="GR40" i="1"/>
  <c r="GS40" i="1"/>
  <c r="GT40" i="1"/>
  <c r="GU40" i="1"/>
  <c r="GV40" i="1"/>
  <c r="GY40" i="1"/>
  <c r="GZ40" i="1"/>
  <c r="HA40" i="1"/>
  <c r="HB40" i="1"/>
  <c r="HC40" i="1"/>
  <c r="GL40" i="1"/>
  <c r="GL39" i="1"/>
  <c r="GL38" i="1"/>
  <c r="GL37" i="1"/>
  <c r="GK37" i="1"/>
  <c r="GK39" i="1"/>
  <c r="GM39" i="1"/>
  <c r="GM40" i="1"/>
  <c r="GH38" i="1"/>
  <c r="GF40" i="1"/>
  <c r="GF39" i="1"/>
  <c r="GF37" i="1"/>
  <c r="GG37" i="1"/>
  <c r="GH37" i="1"/>
  <c r="GE37" i="1"/>
  <c r="GM38" i="1"/>
  <c r="GN38" i="1"/>
  <c r="GO38" i="1"/>
  <c r="GK38" i="1"/>
  <c r="M47" i="1" s="1"/>
  <c r="GE41" i="1"/>
  <c r="GF38" i="1"/>
  <c r="GG38" i="1"/>
  <c r="GE38" i="1"/>
  <c r="GE36" i="1"/>
  <c r="GF36" i="1"/>
  <c r="GG36" i="1"/>
  <c r="GH36" i="1"/>
  <c r="GK36" i="1"/>
  <c r="GL36" i="1"/>
  <c r="GM36" i="1"/>
  <c r="GN36" i="1"/>
  <c r="GO36" i="1"/>
  <c r="GM37" i="1"/>
  <c r="GN37" i="1"/>
  <c r="GO37" i="1"/>
  <c r="GE39" i="1"/>
  <c r="GG39" i="1"/>
  <c r="GH39" i="1"/>
  <c r="GN39" i="1"/>
  <c r="GO39" i="1"/>
  <c r="GE40" i="1"/>
  <c r="GG40" i="1"/>
  <c r="GH40" i="1"/>
  <c r="GK40" i="1"/>
  <c r="GN40" i="1"/>
  <c r="GO40" i="1"/>
  <c r="GF41" i="1"/>
  <c r="GG41" i="1"/>
  <c r="GH41" i="1"/>
  <c r="GA38" i="1"/>
  <c r="FX38" i="1"/>
  <c r="FX37" i="1"/>
  <c r="FW37" i="1"/>
  <c r="GA40" i="1"/>
  <c r="FZ40" i="1"/>
  <c r="FY40" i="1"/>
  <c r="FX40" i="1"/>
  <c r="FW40" i="1"/>
  <c r="FW38" i="1"/>
  <c r="FT40" i="1"/>
  <c r="FS40" i="1"/>
  <c r="FT38" i="1"/>
  <c r="FR40" i="1"/>
  <c r="FR37" i="1"/>
  <c r="FR39" i="1"/>
  <c r="FR38" i="1"/>
  <c r="FS38" i="1"/>
  <c r="FT37" i="1"/>
  <c r="FS37" i="1"/>
  <c r="FQ37" i="1"/>
  <c r="FQ38" i="1"/>
  <c r="FQ40" i="1"/>
  <c r="FP36" i="1"/>
  <c r="FQ36" i="1"/>
  <c r="FR36" i="1"/>
  <c r="FS36" i="1"/>
  <c r="FT36" i="1"/>
  <c r="FW36" i="1"/>
  <c r="FX36" i="1"/>
  <c r="FY36" i="1"/>
  <c r="FZ36" i="1"/>
  <c r="GA36" i="1"/>
  <c r="FP41" i="1"/>
  <c r="FP40" i="1"/>
  <c r="FP39" i="1"/>
  <c r="FP38" i="1"/>
  <c r="FP37" i="1"/>
  <c r="GA41" i="1"/>
  <c r="FZ41" i="1"/>
  <c r="FY41" i="1"/>
  <c r="FX41" i="1"/>
  <c r="FW41" i="1"/>
  <c r="GA39" i="1"/>
  <c r="FZ39" i="1"/>
  <c r="FY39" i="1"/>
  <c r="FX39" i="1"/>
  <c r="FW39" i="1"/>
  <c r="FZ38" i="1"/>
  <c r="FY38" i="1"/>
  <c r="GA37" i="1"/>
  <c r="FZ37" i="1"/>
  <c r="FY37" i="1"/>
  <c r="FT41" i="1"/>
  <c r="FS41" i="1"/>
  <c r="FR41" i="1"/>
  <c r="FQ41" i="1"/>
  <c r="FT39" i="1"/>
  <c r="FS39" i="1"/>
  <c r="FQ39" i="1"/>
  <c r="FM37" i="1"/>
  <c r="FL37" i="1"/>
  <c r="FK37" i="1"/>
  <c r="FM41" i="1"/>
  <c r="FM40" i="1"/>
  <c r="FM38" i="1"/>
  <c r="FL38" i="1"/>
  <c r="FL41" i="1"/>
  <c r="FL40" i="1"/>
  <c r="FK41" i="1"/>
  <c r="FK40" i="1"/>
  <c r="FK38" i="1"/>
  <c r="FI41" i="1"/>
  <c r="FJ41" i="1"/>
  <c r="FJ39" i="1"/>
  <c r="FJ40" i="1"/>
  <c r="FJ37" i="1"/>
  <c r="FJ38" i="1"/>
  <c r="FI38" i="1"/>
  <c r="FI36" i="1"/>
  <c r="FJ36" i="1"/>
  <c r="FK36" i="1"/>
  <c r="FL36" i="1"/>
  <c r="FM36" i="1"/>
  <c r="FF41" i="1"/>
  <c r="FE41" i="1"/>
  <c r="FD41" i="1"/>
  <c r="FC41" i="1"/>
  <c r="FI39" i="1"/>
  <c r="FI40" i="1"/>
  <c r="FI37" i="1"/>
  <c r="FM39" i="1"/>
  <c r="FL39" i="1"/>
  <c r="FK39" i="1"/>
  <c r="FE38" i="1"/>
  <c r="FF37" i="1"/>
  <c r="FF38" i="1"/>
  <c r="FF39" i="1"/>
  <c r="FD38" i="1"/>
  <c r="FC38" i="1"/>
  <c r="FC37" i="1"/>
  <c r="FB41" i="1"/>
  <c r="FF40" i="1"/>
  <c r="FE40" i="1"/>
  <c r="L50" i="1" s="1"/>
  <c r="FB38" i="1"/>
  <c r="FD40" i="1"/>
  <c r="FC40" i="1"/>
  <c r="FB40" i="1"/>
  <c r="FE39" i="1"/>
  <c r="L49" i="1" s="1"/>
  <c r="FD39" i="1"/>
  <c r="FC39" i="1"/>
  <c r="FB39" i="1"/>
  <c r="FE37" i="1"/>
  <c r="L52" i="1" s="1"/>
  <c r="FD37" i="1"/>
  <c r="FB37" i="1"/>
  <c r="FB36" i="1"/>
  <c r="FC36" i="1"/>
  <c r="FD36" i="1"/>
  <c r="FE36" i="1"/>
  <c r="FF36" i="1"/>
  <c r="EY36" i="1"/>
  <c r="EX36" i="1"/>
  <c r="EW36" i="1"/>
  <c r="EV36" i="1"/>
  <c r="EU36" i="1"/>
  <c r="EX38" i="1"/>
  <c r="EY38" i="1"/>
  <c r="EY39" i="1"/>
  <c r="EY37" i="1"/>
  <c r="EX41" i="1"/>
  <c r="EV38" i="1"/>
  <c r="EW38" i="1"/>
  <c r="EU38" i="1"/>
  <c r="EU41" i="1"/>
  <c r="EP41" i="1"/>
  <c r="EO41" i="1"/>
  <c r="ER36" i="1"/>
  <c r="EQ40" i="1"/>
  <c r="ER41" i="1"/>
  <c r="ER40" i="1"/>
  <c r="ER38" i="1"/>
  <c r="EP38" i="1"/>
  <c r="EN40" i="1"/>
  <c r="EN39" i="1"/>
  <c r="EQ36" i="1"/>
  <c r="EP36" i="1"/>
  <c r="EO36" i="1"/>
  <c r="EN36" i="1"/>
  <c r="EO38" i="1"/>
  <c r="EY41" i="1"/>
  <c r="EW41" i="1"/>
  <c r="EV41" i="1"/>
  <c r="EY40" i="1"/>
  <c r="EX40" i="1"/>
  <c r="EW40" i="1"/>
  <c r="EV40" i="1"/>
  <c r="EU40" i="1"/>
  <c r="EX39" i="1"/>
  <c r="EW39" i="1"/>
  <c r="EV39" i="1"/>
  <c r="EU39" i="1"/>
  <c r="EX37" i="1"/>
  <c r="EW37" i="1"/>
  <c r="EV37" i="1"/>
  <c r="EU37" i="1"/>
  <c r="EQ41" i="1"/>
  <c r="EN41" i="1"/>
  <c r="EP40" i="1"/>
  <c r="EO40" i="1"/>
  <c r="ER39" i="1"/>
  <c r="EQ39" i="1"/>
  <c r="EP39" i="1"/>
  <c r="EO39" i="1"/>
  <c r="EQ38" i="1"/>
  <c r="EN38" i="1"/>
  <c r="ER37" i="1"/>
  <c r="EQ37" i="1"/>
  <c r="EP37" i="1"/>
  <c r="EO37" i="1"/>
  <c r="EN37" i="1"/>
  <c r="EC38" i="1"/>
  <c r="ED38" i="1"/>
  <c r="EH38" i="1"/>
  <c r="EI38" i="1"/>
  <c r="EJ38" i="1"/>
  <c r="EK38" i="1"/>
  <c r="EG38" i="1"/>
  <c r="EG40" i="1"/>
  <c r="EG39" i="1"/>
  <c r="EJ41" i="1"/>
  <c r="EI41" i="1"/>
  <c r="EH41" i="1"/>
  <c r="EG41" i="1"/>
  <c r="EK41" i="1"/>
  <c r="EK40" i="1"/>
  <c r="EJ40" i="1"/>
  <c r="EI40" i="1"/>
  <c r="EH40" i="1"/>
  <c r="EK39" i="1"/>
  <c r="EJ39" i="1"/>
  <c r="EI39" i="1"/>
  <c r="EH39" i="1"/>
  <c r="EK37" i="1"/>
  <c r="EJ37" i="1"/>
  <c r="EI37" i="1"/>
  <c r="EH37" i="1"/>
  <c r="EG37" i="1"/>
  <c r="EK36" i="1"/>
  <c r="EJ36" i="1"/>
  <c r="EI36" i="1"/>
  <c r="EH36" i="1"/>
  <c r="EG36" i="1"/>
  <c r="EB38" i="1"/>
  <c r="EA38" i="1"/>
  <c r="ED41" i="1"/>
  <c r="EC41" i="1"/>
  <c r="EB41" i="1"/>
  <c r="EA41" i="1"/>
  <c r="DZ41" i="1"/>
  <c r="K51" i="1" s="1"/>
  <c r="DZ40" i="1"/>
  <c r="DZ38" i="1"/>
  <c r="K47" i="1" s="1"/>
  <c r="DZ37" i="1"/>
  <c r="DW39" i="1"/>
  <c r="DW41" i="1"/>
  <c r="EA36" i="1"/>
  <c r="ED36" i="1"/>
  <c r="EC36" i="1"/>
  <c r="EB36" i="1"/>
  <c r="DZ36" i="1"/>
  <c r="EC37" i="1"/>
  <c r="EC39" i="1"/>
  <c r="ED37" i="1"/>
  <c r="ED40" i="1"/>
  <c r="EC40" i="1"/>
  <c r="EB40" i="1"/>
  <c r="EA40" i="1"/>
  <c r="ED39" i="1"/>
  <c r="EB39" i="1"/>
  <c r="EA39" i="1"/>
  <c r="DZ39" i="1"/>
  <c r="K49" i="1" s="1"/>
  <c r="EB37" i="1"/>
  <c r="EA37" i="1"/>
  <c r="DW38" i="1"/>
  <c r="DW37" i="1"/>
  <c r="DV37" i="1"/>
  <c r="DV41" i="1"/>
  <c r="DV39" i="1"/>
  <c r="DT41" i="1"/>
  <c r="DU41" i="1"/>
  <c r="DS41" i="1"/>
  <c r="DU39" i="1"/>
  <c r="DU40" i="1"/>
  <c r="DS39" i="1"/>
  <c r="DS38" i="1"/>
  <c r="DO38" i="1"/>
  <c r="DP38" i="1"/>
  <c r="DW36" i="1"/>
  <c r="DV36" i="1"/>
  <c r="DU36" i="1"/>
  <c r="DT36" i="1"/>
  <c r="DS36" i="1"/>
  <c r="DN38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CY36" i="1"/>
  <c r="CZ36" i="1"/>
  <c r="DA36" i="1"/>
  <c r="DB36" i="1"/>
  <c r="CV36" i="1"/>
  <c r="CW36" i="1"/>
  <c r="CX36" i="1"/>
  <c r="DM38" i="1"/>
  <c r="O38" i="1"/>
  <c r="L38" i="1"/>
  <c r="M38" i="1"/>
  <c r="N38" i="1"/>
  <c r="H38" i="1"/>
  <c r="T41" i="1"/>
  <c r="U41" i="1"/>
  <c r="V41" i="1"/>
  <c r="S41" i="1"/>
  <c r="L41" i="1"/>
  <c r="M41" i="1"/>
  <c r="N41" i="1"/>
  <c r="O41" i="1"/>
  <c r="K41" i="1"/>
  <c r="E41" i="1"/>
  <c r="F41" i="1"/>
  <c r="G41" i="1"/>
  <c r="H41" i="1"/>
  <c r="D41" i="1"/>
  <c r="DL38" i="1"/>
  <c r="DP40" i="1"/>
  <c r="DL40" i="1"/>
  <c r="DO39" i="1"/>
  <c r="DO41" i="1"/>
  <c r="DI41" i="1"/>
  <c r="DI38" i="1"/>
  <c r="DH38" i="1"/>
  <c r="DE38" i="1"/>
  <c r="DF38" i="1"/>
  <c r="DG38" i="1"/>
  <c r="DI40" i="1"/>
  <c r="DG41" i="1"/>
  <c r="DF41" i="1"/>
  <c r="DG39" i="1"/>
  <c r="DH41" i="1"/>
  <c r="DH40" i="1"/>
  <c r="DI39" i="1"/>
  <c r="DH39" i="1"/>
  <c r="BX38" i="1"/>
  <c r="BY38" i="1"/>
  <c r="BZ38" i="1"/>
  <c r="DL41" i="1"/>
  <c r="DM41" i="1"/>
  <c r="DN41" i="1"/>
  <c r="DP41" i="1"/>
  <c r="DE41" i="1"/>
  <c r="CY41" i="1"/>
  <c r="CZ41" i="1"/>
  <c r="DA41" i="1"/>
  <c r="DB41" i="1"/>
  <c r="CX41" i="1"/>
  <c r="CR41" i="1"/>
  <c r="CK41" i="1"/>
  <c r="CL41" i="1"/>
  <c r="CM41" i="1"/>
  <c r="CN41" i="1"/>
  <c r="CJ41" i="1"/>
  <c r="CD41" i="1"/>
  <c r="CE41" i="1"/>
  <c r="CF41" i="1"/>
  <c r="CG41" i="1"/>
  <c r="CC41" i="1"/>
  <c r="BX41" i="1"/>
  <c r="BY41" i="1"/>
  <c r="BZ41" i="1"/>
  <c r="BW41" i="1"/>
  <c r="BP41" i="1"/>
  <c r="BQ41" i="1"/>
  <c r="BR41" i="1"/>
  <c r="BS41" i="1"/>
  <c r="Z40" i="1"/>
  <c r="AA40" i="1"/>
  <c r="AB40" i="1"/>
  <c r="AC40" i="1"/>
  <c r="Y40" i="1"/>
  <c r="S40" i="1"/>
  <c r="T40" i="1"/>
  <c r="U40" i="1"/>
  <c r="V40" i="1"/>
  <c r="R40" i="1"/>
  <c r="DE40" i="1"/>
  <c r="DE39" i="1"/>
  <c r="CX38" i="1"/>
  <c r="CY38" i="1"/>
  <c r="CY39" i="1"/>
  <c r="CX39" i="1"/>
  <c r="DA38" i="1"/>
  <c r="DB37" i="1"/>
  <c r="CZ38" i="1"/>
  <c r="DB40" i="1"/>
  <c r="DA40" i="1"/>
  <c r="CZ40" i="1"/>
  <c r="CY40" i="1"/>
  <c r="CR38" i="1"/>
  <c r="CT37" i="1"/>
  <c r="CU37" i="1"/>
  <c r="CX37" i="1"/>
  <c r="CX40" i="1"/>
  <c r="DW40" i="1"/>
  <c r="DV40" i="1"/>
  <c r="DT40" i="1"/>
  <c r="DS40" i="1"/>
  <c r="DT39" i="1"/>
  <c r="DV38" i="1"/>
  <c r="DU38" i="1"/>
  <c r="DT38" i="1"/>
  <c r="DU37" i="1"/>
  <c r="DT37" i="1"/>
  <c r="DS37" i="1"/>
  <c r="DO40" i="1"/>
  <c r="DN40" i="1"/>
  <c r="DM40" i="1"/>
  <c r="DP39" i="1"/>
  <c r="DN39" i="1"/>
  <c r="DM39" i="1"/>
  <c r="DL39" i="1"/>
  <c r="DP37" i="1"/>
  <c r="DO37" i="1"/>
  <c r="DN37" i="1"/>
  <c r="DM37" i="1"/>
  <c r="DL37" i="1"/>
  <c r="DG40" i="1"/>
  <c r="DF40" i="1"/>
  <c r="J50" i="1"/>
  <c r="DF39" i="1"/>
  <c r="DI37" i="1"/>
  <c r="DH37" i="1"/>
  <c r="DG37" i="1"/>
  <c r="DF37" i="1"/>
  <c r="DE37" i="1"/>
  <c r="CY37" i="1"/>
  <c r="CZ37" i="1"/>
  <c r="DA37" i="1"/>
  <c r="DB38" i="1"/>
  <c r="CZ39" i="1"/>
  <c r="DA39" i="1"/>
  <c r="DB39" i="1"/>
  <c r="J49" i="1"/>
  <c r="J51" i="1"/>
  <c r="CR37" i="1"/>
  <c r="CS38" i="1"/>
  <c r="CS40" i="1"/>
  <c r="CR39" i="1"/>
  <c r="CO36" i="1"/>
  <c r="CP36" i="1"/>
  <c r="CQ36" i="1"/>
  <c r="CS41" i="1"/>
  <c r="CU39" i="1"/>
  <c r="CU38" i="1"/>
  <c r="CT38" i="1"/>
  <c r="CT40" i="1"/>
  <c r="CU40" i="1"/>
  <c r="CS39" i="1"/>
  <c r="CT39" i="1"/>
  <c r="CR40" i="1"/>
  <c r="CS37" i="1"/>
  <c r="CN39" i="1"/>
  <c r="CL38" i="1"/>
  <c r="CK37" i="1"/>
  <c r="CL37" i="1"/>
  <c r="CJ37" i="1"/>
  <c r="CK40" i="1"/>
  <c r="CM37" i="1"/>
  <c r="CN37" i="1"/>
  <c r="CK39" i="1"/>
  <c r="CJ39" i="1"/>
  <c r="CK38" i="1"/>
  <c r="CM38" i="1"/>
  <c r="CN38" i="1"/>
  <c r="CJ38" i="1"/>
  <c r="D38" i="1"/>
  <c r="E38" i="1"/>
  <c r="F38" i="1"/>
  <c r="G38" i="1"/>
  <c r="K38" i="1"/>
  <c r="R38" i="1"/>
  <c r="S38" i="1"/>
  <c r="T38" i="1"/>
  <c r="U38" i="1"/>
  <c r="V38" i="1"/>
  <c r="Y38" i="1"/>
  <c r="Z38" i="1"/>
  <c r="AA38" i="1"/>
  <c r="AB38" i="1"/>
  <c r="AC38" i="1"/>
  <c r="AF38" i="1"/>
  <c r="AG38" i="1"/>
  <c r="AH38" i="1"/>
  <c r="AI38" i="1"/>
  <c r="AN38" i="1"/>
  <c r="AO38" i="1"/>
  <c r="AP38" i="1"/>
  <c r="AQ38" i="1"/>
  <c r="AT38" i="1"/>
  <c r="AU38" i="1"/>
  <c r="AV38" i="1"/>
  <c r="AW38" i="1"/>
  <c r="AX38" i="1"/>
  <c r="BA38" i="1"/>
  <c r="BB38" i="1"/>
  <c r="BC38" i="1"/>
  <c r="BD38" i="1"/>
  <c r="BE38" i="1"/>
  <c r="BH38" i="1"/>
  <c r="BI38" i="1"/>
  <c r="BJ38" i="1"/>
  <c r="BK38" i="1"/>
  <c r="BL38" i="1"/>
  <c r="BO38" i="1"/>
  <c r="BP38" i="1"/>
  <c r="BQ38" i="1"/>
  <c r="BR38" i="1"/>
  <c r="BS38" i="1"/>
  <c r="BW38" i="1"/>
  <c r="CC38" i="1"/>
  <c r="CD38" i="1"/>
  <c r="CE38" i="1"/>
  <c r="CF38" i="1"/>
  <c r="CG38" i="1"/>
  <c r="CJ40" i="1"/>
  <c r="CD37" i="1"/>
  <c r="CH36" i="1"/>
  <c r="CI36" i="1"/>
  <c r="Y41" i="1"/>
  <c r="F53" i="1"/>
  <c r="O53" i="1"/>
  <c r="P53" i="1"/>
  <c r="E53" i="1"/>
  <c r="BS37" i="1"/>
  <c r="BR37" i="1"/>
  <c r="BQ37" i="1"/>
  <c r="BP37" i="1"/>
  <c r="BO37" i="1"/>
  <c r="BL37" i="1"/>
  <c r="BK37" i="1"/>
  <c r="BJ37" i="1"/>
  <c r="BI37" i="1"/>
  <c r="BH37" i="1"/>
  <c r="BE37" i="1"/>
  <c r="BD37" i="1"/>
  <c r="BC37" i="1"/>
  <c r="BB37" i="1"/>
  <c r="BA37" i="1"/>
  <c r="AX37" i="1"/>
  <c r="AW37" i="1"/>
  <c r="AV37" i="1"/>
  <c r="AU37" i="1"/>
  <c r="AT37" i="1"/>
  <c r="AQ37" i="1"/>
  <c r="AP37" i="1"/>
  <c r="AO37" i="1"/>
  <c r="AN37" i="1"/>
  <c r="H52" i="1" s="1"/>
  <c r="AI37" i="1"/>
  <c r="AH37" i="1"/>
  <c r="AG37" i="1"/>
  <c r="AF37" i="1"/>
  <c r="AC37" i="1"/>
  <c r="AB37" i="1"/>
  <c r="AA37" i="1"/>
  <c r="Z37" i="1"/>
  <c r="Y37" i="1"/>
  <c r="R37" i="1"/>
  <c r="S37" i="1"/>
  <c r="T37" i="1"/>
  <c r="U37" i="1"/>
  <c r="V37" i="1"/>
  <c r="K37" i="1"/>
  <c r="L37" i="1"/>
  <c r="M37" i="1"/>
  <c r="N37" i="1"/>
  <c r="O37" i="1"/>
  <c r="H37" i="1"/>
  <c r="G52" i="1" s="1"/>
  <c r="G37" i="1"/>
  <c r="E37" i="1"/>
  <c r="F37" i="1"/>
  <c r="D37" i="1"/>
  <c r="BX37" i="1"/>
  <c r="BY37" i="1"/>
  <c r="BZ37" i="1"/>
  <c r="BW37" i="1"/>
  <c r="CF37" i="1"/>
  <c r="CE37" i="1"/>
  <c r="CG37" i="1"/>
  <c r="CC37" i="1"/>
  <c r="CT41" i="1"/>
  <c r="CU41" i="1"/>
  <c r="CL39" i="1"/>
  <c r="CM39" i="1"/>
  <c r="CL40" i="1"/>
  <c r="CM40" i="1"/>
  <c r="CN40" i="1"/>
  <c r="CG40" i="1"/>
  <c r="CG39" i="1"/>
  <c r="CU36" i="1"/>
  <c r="CT36" i="1"/>
  <c r="CS36" i="1"/>
  <c r="CR36" i="1"/>
  <c r="CN36" i="1"/>
  <c r="CM36" i="1"/>
  <c r="CL36" i="1"/>
  <c r="CK36" i="1"/>
  <c r="CJ36" i="1"/>
  <c r="CF40" i="1"/>
  <c r="CF39" i="1"/>
  <c r="CE40" i="1"/>
  <c r="CE39" i="1"/>
  <c r="AX39" i="1"/>
  <c r="AW39" i="1"/>
  <c r="AV39" i="1"/>
  <c r="CD40" i="1"/>
  <c r="CD39" i="1"/>
  <c r="BY40" i="1"/>
  <c r="BZ40" i="1"/>
  <c r="BZ39" i="1"/>
  <c r="CC40" i="1"/>
  <c r="CC39" i="1"/>
  <c r="CG36" i="1"/>
  <c r="CF36" i="1"/>
  <c r="CE36" i="1"/>
  <c r="CD36" i="1"/>
  <c r="CC36" i="1"/>
  <c r="BX40" i="1"/>
  <c r="BY39" i="1"/>
  <c r="BX39" i="1"/>
  <c r="BW40" i="1"/>
  <c r="BW39" i="1"/>
  <c r="CB36" i="1"/>
  <c r="CA36" i="1"/>
  <c r="BZ36" i="1"/>
  <c r="BY36" i="1"/>
  <c r="BX36" i="1"/>
  <c r="BW36" i="1"/>
  <c r="BV36" i="1"/>
  <c r="BU36" i="1"/>
  <c r="BT36" i="1"/>
  <c r="BC40" i="1"/>
  <c r="BD40" i="1"/>
  <c r="BE40" i="1"/>
  <c r="BB40" i="1"/>
  <c r="BC39" i="1"/>
  <c r="BD39" i="1"/>
  <c r="BE39" i="1"/>
  <c r="BB39" i="1"/>
  <c r="BA40" i="1"/>
  <c r="BA39" i="1"/>
  <c r="BI39" i="1"/>
  <c r="BJ39" i="1"/>
  <c r="BK39" i="1"/>
  <c r="BL39" i="1"/>
  <c r="BH39" i="1"/>
  <c r="BI40" i="1"/>
  <c r="BJ40" i="1"/>
  <c r="BK40" i="1"/>
  <c r="BL40" i="1"/>
  <c r="BH40" i="1"/>
  <c r="AU40" i="1"/>
  <c r="AV40" i="1"/>
  <c r="AW40" i="1"/>
  <c r="AX40" i="1"/>
  <c r="AO39" i="1"/>
  <c r="AP39" i="1"/>
  <c r="AQ39" i="1"/>
  <c r="AN39" i="1"/>
  <c r="AO40" i="1"/>
  <c r="AP40" i="1"/>
  <c r="AQ40" i="1"/>
  <c r="BP40" i="1"/>
  <c r="BQ40" i="1"/>
  <c r="BR40" i="1"/>
  <c r="BS40" i="1"/>
  <c r="BP39" i="1"/>
  <c r="BQ39" i="1"/>
  <c r="BR39" i="1"/>
  <c r="BS39" i="1"/>
  <c r="BO40" i="1"/>
  <c r="BO39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T40" i="1"/>
  <c r="AS36" i="1"/>
  <c r="AR36" i="1"/>
  <c r="AT36" i="1"/>
  <c r="AU36" i="1"/>
  <c r="AV36" i="1"/>
  <c r="AW36" i="1"/>
  <c r="AX36" i="1"/>
  <c r="AT39" i="1"/>
  <c r="AU39" i="1"/>
  <c r="AF36" i="1"/>
  <c r="AG36" i="1"/>
  <c r="AH36" i="1"/>
  <c r="AI36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Q36" i="1"/>
  <c r="AP36" i="1"/>
  <c r="AO36" i="1"/>
  <c r="H51" i="1"/>
  <c r="AN40" i="1"/>
  <c r="H50" i="1" s="1"/>
  <c r="H47" i="1"/>
  <c r="AN36" i="1"/>
  <c r="AE36" i="1"/>
  <c r="AD36" i="1"/>
  <c r="AB41" i="1"/>
  <c r="AB36" i="1"/>
  <c r="X36" i="1"/>
  <c r="W36" i="1"/>
  <c r="Q36" i="1"/>
  <c r="P36" i="1"/>
  <c r="J36" i="1"/>
  <c r="I36" i="1"/>
  <c r="R36" i="1"/>
  <c r="S36" i="1"/>
  <c r="T36" i="1"/>
  <c r="U36" i="1"/>
  <c r="V36" i="1"/>
  <c r="Y36" i="1"/>
  <c r="Z36" i="1"/>
  <c r="AA36" i="1"/>
  <c r="AC36" i="1"/>
  <c r="L36" i="1"/>
  <c r="M36" i="1"/>
  <c r="N36" i="1"/>
  <c r="O36" i="1"/>
  <c r="K36" i="1"/>
  <c r="G36" i="1"/>
  <c r="H36" i="1"/>
  <c r="F36" i="1"/>
  <c r="AA41" i="1"/>
  <c r="AC41" i="1"/>
  <c r="AC39" i="1"/>
  <c r="AB39" i="1"/>
  <c r="Y39" i="1"/>
  <c r="Z39" i="1"/>
  <c r="AA39" i="1"/>
  <c r="Z41" i="1"/>
  <c r="S39" i="1"/>
  <c r="R39" i="1"/>
  <c r="R41" i="1"/>
  <c r="L39" i="1"/>
  <c r="M39" i="1"/>
  <c r="N39" i="1"/>
  <c r="O39" i="1"/>
  <c r="K39" i="1"/>
  <c r="H39" i="1"/>
  <c r="G39" i="1"/>
  <c r="F39" i="1"/>
  <c r="E39" i="1"/>
  <c r="D39" i="1"/>
  <c r="V39" i="1"/>
  <c r="U39" i="1"/>
  <c r="T39" i="1"/>
  <c r="L40" i="1"/>
  <c r="M40" i="1"/>
  <c r="N40" i="1"/>
  <c r="O40" i="1"/>
  <c r="K40" i="1"/>
  <c r="E40" i="1"/>
  <c r="F40" i="1"/>
  <c r="G40" i="1"/>
  <c r="H40" i="1"/>
  <c r="G50" i="1" s="1"/>
  <c r="D40" i="1"/>
  <c r="G51" i="1"/>
  <c r="G47" i="1"/>
  <c r="C9" i="4" l="1"/>
  <c r="C5" i="4"/>
  <c r="C8" i="4"/>
  <c r="C7" i="4"/>
  <c r="C6" i="4"/>
  <c r="C4" i="4"/>
  <c r="P50" i="2"/>
  <c r="P51" i="2" s="1"/>
  <c r="O50" i="2"/>
  <c r="O51" i="2" s="1"/>
  <c r="N50" i="2"/>
  <c r="N51" i="2" s="1"/>
  <c r="M50" i="2"/>
  <c r="M51" i="2" s="1"/>
  <c r="K45" i="2"/>
  <c r="L48" i="2"/>
  <c r="L50" i="2"/>
  <c r="L45" i="2"/>
  <c r="L47" i="2"/>
  <c r="L49" i="2"/>
  <c r="K49" i="2"/>
  <c r="K48" i="2"/>
  <c r="K47" i="2"/>
  <c r="K51" i="2"/>
  <c r="J50" i="2"/>
  <c r="J45" i="2"/>
  <c r="J49" i="2"/>
  <c r="I49" i="2"/>
  <c r="H45" i="2"/>
  <c r="I50" i="2"/>
  <c r="I47" i="2"/>
  <c r="I48" i="2"/>
  <c r="I45" i="2"/>
  <c r="I51" i="2" s="1"/>
  <c r="H49" i="2"/>
  <c r="H48" i="2"/>
  <c r="H47" i="2"/>
  <c r="H50" i="2"/>
  <c r="G45" i="2"/>
  <c r="G48" i="2"/>
  <c r="Q48" i="2" s="1"/>
  <c r="G49" i="2"/>
  <c r="Q49" i="2" s="1"/>
  <c r="Q45" i="2"/>
  <c r="D38" i="3" a="1"/>
  <c r="D38" i="3" s="1"/>
  <c r="P38" i="3" s="1"/>
  <c r="Q50" i="2"/>
  <c r="D39" i="3" a="1"/>
  <c r="G75" i="3"/>
  <c r="P68" i="3"/>
  <c r="P71" i="3"/>
  <c r="P70" i="3"/>
  <c r="D69" i="3"/>
  <c r="P69" i="3" s="1"/>
  <c r="M50" i="1"/>
  <c r="M49" i="1"/>
  <c r="M51" i="1"/>
  <c r="M52" i="1"/>
  <c r="N50" i="1"/>
  <c r="N49" i="1"/>
  <c r="N47" i="1"/>
  <c r="N52" i="1"/>
  <c r="L51" i="1"/>
  <c r="L47" i="1"/>
  <c r="L53" i="1" s="1"/>
  <c r="K52" i="1"/>
  <c r="K50" i="1"/>
  <c r="K53" i="1" s="1"/>
  <c r="I52" i="1"/>
  <c r="I47" i="1"/>
  <c r="J47" i="1"/>
  <c r="J52" i="1"/>
  <c r="I49" i="1"/>
  <c r="I50" i="1"/>
  <c r="I51" i="1"/>
  <c r="G49" i="1"/>
  <c r="H49" i="1"/>
  <c r="H53" i="1" s="1"/>
  <c r="C10" i="4" l="1"/>
  <c r="H4" i="4" s="1"/>
  <c r="L51" i="2"/>
  <c r="J51" i="2"/>
  <c r="P42" i="3"/>
  <c r="P41" i="3"/>
  <c r="P40" i="3"/>
  <c r="H51" i="2"/>
  <c r="Q47" i="2"/>
  <c r="G51" i="2"/>
  <c r="D39" i="3"/>
  <c r="M45" i="3"/>
  <c r="J45" i="3"/>
  <c r="G45" i="3"/>
  <c r="P73" i="3"/>
  <c r="G53" i="1"/>
  <c r="Q49" i="1"/>
  <c r="Q47" i="1"/>
  <c r="N53" i="1"/>
  <c r="M53" i="1"/>
  <c r="J53" i="1"/>
  <c r="Q52" i="1"/>
  <c r="I53" i="1"/>
  <c r="Q51" i="1"/>
  <c r="Q50" i="1"/>
  <c r="D45" i="3" l="1"/>
  <c r="P39" i="3"/>
  <c r="P43" i="3" s="1"/>
  <c r="Q51" i="2"/>
  <c r="Q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 Smith</author>
    <author>Shane Visagie</author>
    <author>Jack Mumford</author>
    <author>Amy Rawle</author>
    <author>Amber Baker</author>
  </authors>
  <commentList>
    <comment ref="R3" authorId="0" shapeId="0" xr:uid="{17079117-2A0C-4196-BE1D-FC78AA372D1C}">
      <text>
        <r>
          <rPr>
            <sz val="11"/>
            <color theme="1"/>
            <rFont val="Aptos Narrow"/>
            <family val="2"/>
            <scheme val="minor"/>
          </rPr>
          <t>ITIL V4 Foundation</t>
        </r>
      </text>
    </comment>
    <comment ref="S3" authorId="0" shapeId="0" xr:uid="{AA58B439-AC61-447A-BCD5-F6019D50DC0C}">
      <text>
        <r>
          <rPr>
            <sz val="11"/>
            <color theme="1"/>
            <rFont val="Aptos Narrow"/>
            <family val="2"/>
            <scheme val="minor"/>
          </rPr>
          <t>ITIL V4 Foundation</t>
        </r>
      </text>
    </comment>
    <comment ref="Z3" authorId="1" shapeId="0" xr:uid="{224D1553-F484-4102-A09D-CE4A21809640}">
      <text>
        <r>
          <rPr>
            <sz val="11"/>
            <color theme="1"/>
            <rFont val="Aptos Narrow"/>
            <family val="2"/>
            <scheme val="minor"/>
          </rPr>
          <t>Shane Visagie:
HalfDay due to daughter hospital appointment</t>
        </r>
      </text>
    </comment>
    <comment ref="AB3" authorId="1" shapeId="0" xr:uid="{39BF60DB-FD08-41C6-9B8F-E904D498AEDB}">
      <text>
        <r>
          <rPr>
            <sz val="11"/>
            <color theme="1"/>
            <rFont val="Aptos Narrow"/>
            <family val="2"/>
            <scheme val="minor"/>
          </rPr>
          <t>Shane Visagie:
Building 5x Phones</t>
        </r>
      </text>
    </comment>
    <comment ref="AT3" authorId="2" shapeId="0" xr:uid="{37E7043D-5128-4319-9A14-402ED2D20507}">
      <text>
        <r>
          <rPr>
            <sz val="11"/>
            <color theme="1"/>
            <rFont val="Aptos Narrow"/>
            <family val="2"/>
            <scheme val="minor"/>
          </rPr>
          <t>WFH - ill</t>
        </r>
      </text>
    </comment>
    <comment ref="AV3" authorId="2" shapeId="0" xr:uid="{F2262C85-72B2-403D-8F60-C390005738C1}">
      <text>
        <r>
          <rPr>
            <sz val="11"/>
            <color theme="1"/>
            <rFont val="Aptos Narrow"/>
            <family val="2"/>
            <scheme val="minor"/>
          </rPr>
          <t>Started later - drs appointment</t>
        </r>
      </text>
    </comment>
    <comment ref="BH3" authorId="2" shapeId="0" xr:uid="{551694C4-BBF4-4DC0-AF70-7085084B596A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I3" authorId="2" shapeId="0" xr:uid="{4CAA448B-1632-48F4-82C4-E19BA2F2FBDD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J3" authorId="2" shapeId="0" xr:uid="{83811978-D4C1-4123-A1EA-3FF44710D156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K3" authorId="2" shapeId="0" xr:uid="{E1AAA7AC-F369-4EFF-91AD-F89ECF0A006D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L3" authorId="2" shapeId="0" xr:uid="{CE47645F-3F04-40A9-B8AC-3C0CD4380CF1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O3" authorId="2" shapeId="0" xr:uid="{17465B1C-3DE2-4CA0-A65F-9B88503E9097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P3" authorId="2" shapeId="0" xr:uid="{C835611B-1BD3-4781-BB35-5C406D3754BA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Q3" authorId="1" shapeId="0" xr:uid="{75BCE92B-FC40-4266-BBD4-3453A55CCA44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R3" authorId="1" shapeId="0" xr:uid="{B54D716D-E64F-4429-89B2-FD1D66CF1D22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S3" authorId="1" shapeId="0" xr:uid="{2C1F18D9-D124-484A-AFDA-958DF5745774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W3" authorId="1" shapeId="0" xr:uid="{7AD241B1-E8E8-4CF1-9104-DF72CF541BE0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X3" authorId="1" shapeId="0" xr:uid="{B27898DD-9399-45D4-8F2B-13D03C1949FE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Y3" authorId="1" shapeId="0" xr:uid="{20F77C5C-530E-44AF-A5EC-EF39F17A0D3B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Z3" authorId="1" shapeId="0" xr:uid="{7439408D-30D1-42FC-A769-7A04A734EB5B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CC3" authorId="1" shapeId="0" xr:uid="{091A0F27-1947-4977-AAB6-8C446B44C12E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CD3" authorId="1" shapeId="0" xr:uid="{43BC94A2-D0A2-4164-9D15-B337BA4579EC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EV3" authorId="1" shapeId="0" xr:uid="{B57E54E5-90B2-423B-AE26-0A0C42C8A718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HV3" authorId="1" shapeId="0" xr:uid="{595E6FBB-D1F4-4826-AEFB-E88C0EDFC362}">
      <text>
        <r>
          <rPr>
            <sz val="11"/>
            <color theme="1"/>
            <rFont val="Aptos Narrow"/>
            <family val="2"/>
            <scheme val="minor"/>
          </rPr>
          <t>Shane Visagie:
WFH - House Mortgage valuation</t>
        </r>
      </text>
    </comment>
    <comment ref="KE3" authorId="2" shapeId="0" xr:uid="{9F78BF34-71ED-409E-903F-36353A09C8C1}">
      <text>
        <r>
          <rPr>
            <sz val="11"/>
            <color theme="1"/>
            <rFont val="Aptos Narrow"/>
            <family val="2"/>
            <scheme val="minor"/>
          </rPr>
          <t>Jack Mumford:
WFH - Sick</t>
        </r>
      </text>
    </comment>
    <comment ref="KM3" authorId="1" shapeId="0" xr:uid="{E4853EB5-ABF6-49D9-84F3-2A05D9B3F915}">
      <text>
        <r>
          <rPr>
            <sz val="11"/>
            <color theme="1"/>
            <rFont val="Aptos Narrow"/>
            <family val="2"/>
            <scheme val="minor"/>
          </rPr>
          <t>Shane Visagie:
WFH Morning and back in afternoon - Ella doctors appointment at 10:30</t>
        </r>
      </text>
    </comment>
    <comment ref="KT3" authorId="1" shapeId="0" xr:uid="{56395E6B-A7B0-4FA1-950E-B758D11DB6DC}">
      <text>
        <r>
          <rPr>
            <sz val="11"/>
            <color theme="1"/>
            <rFont val="Aptos Narrow"/>
            <family val="2"/>
            <scheme val="minor"/>
          </rPr>
          <t>Shane Visagie:
Working Morning, Off Afternoon</t>
        </r>
      </text>
    </comment>
    <comment ref="D4" authorId="0" shapeId="0" xr:uid="{C44C7BE0-1CC6-42F4-82AA-E896E1C45AB1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ITIL</t>
        </r>
      </text>
    </comment>
    <comment ref="E4" authorId="0" shapeId="0" xr:uid="{61600B76-FC80-43BA-83E8-9C3AEE6ED4A0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ITIL</t>
        </r>
      </text>
    </comment>
    <comment ref="G4" authorId="0" shapeId="0" xr:uid="{980F75C9-1FD6-4689-B3FD-E6CFB7B2EA38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ITIL PASSED</t>
        </r>
      </text>
    </comment>
    <comment ref="K4" authorId="0" shapeId="0" xr:uid="{60CE9AF7-3C41-4F8B-B732-7394E460D4E2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Allied Telasis Training
Required for sales to get significant discount.
Ben L doing this from a project perspective
Jacob doing training from a support perspective.</t>
        </r>
      </text>
    </comment>
    <comment ref="L4" authorId="0" shapeId="0" xr:uid="{C04516A0-79AE-4EF0-A047-17EA3F415136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Allied Telasis Training
Required for sales to get significant discount.
Ben L doing this from a project perspective
Jacob doing training from a support perspective.
</t>
        </r>
      </text>
    </comment>
    <comment ref="N4" authorId="0" shapeId="0" xr:uid="{52567B80-F75F-4417-8201-9D6A75BAC557}">
      <text>
        <r>
          <rPr>
            <sz val="11"/>
            <color theme="1"/>
            <rFont val="Aptos Narrow"/>
            <family val="2"/>
            <scheme val="minor"/>
          </rPr>
          <t>Karl Smith:
Allied Telesis at 10:30 Passed</t>
        </r>
      </text>
    </comment>
    <comment ref="R4" authorId="0" shapeId="0" xr:uid="{6693F511-C64B-4415-A61E-02A08A8AF37E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LPS Clapham 
Working with Nayan for the only two days Nayan has available due to being on the Yondr project. </t>
        </r>
      </text>
    </comment>
    <comment ref="S4" authorId="0" shapeId="0" xr:uid="{782DBC84-7292-4AB5-8F8D-1BCF1A2675C4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LPS Clapham 
Working with Nayan for the only two days Nayan has available due to being on the Yondr project. </t>
        </r>
      </text>
    </comment>
    <comment ref="T4" authorId="0" shapeId="0" xr:uid="{FC417200-AFF5-4F22-8659-541E5CC711AE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Allied Telasis Training
Required for sales to get significant discount.
Ben L doing this from a project perspective
Jacob doing training from a support perspective.</t>
        </r>
      </text>
    </comment>
    <comment ref="U4" authorId="0" shapeId="0" xr:uid="{98F2DB26-73CD-4852-AA4B-999B07FB7E49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Allied Telasis Training
Required for sales to get significant discount.
Ben L doing this from a project perspective
Jacob doing training from a support perspective.</t>
        </r>
      </text>
    </comment>
    <comment ref="V4" authorId="0" shapeId="0" xr:uid="{115F65EF-A15E-470F-A428-9E9A47C8D1D7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Allied Telasis Training
Required for sales to get significant discount.
Ben L doing this from a project perspective
Jacob doing training from a support perspective.</t>
        </r>
      </text>
    </comment>
    <comment ref="Y4" authorId="0" shapeId="0" xr:uid="{D4263A08-5C69-48E2-9B1D-6B2EB360AE10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LPS Clapham 
Working with Nayan for the only two days Nayan has available due to being on the Yondr project. </t>
        </r>
      </text>
    </comment>
    <comment ref="Z4" authorId="0" shapeId="0" xr:uid="{74426974-A960-48BF-84EF-91AADC626588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LPS Clapham 
Working with Nayan for the only two days Nayan has available due to being on the Yondr project. </t>
        </r>
      </text>
    </comment>
    <comment ref="AA4" authorId="0" shapeId="0" xr:uid="{15BCEFBF-1CAD-4CA8-9837-F1DAC4D8C0BA}">
      <text>
        <r>
          <rPr>
            <b/>
            <sz val="9"/>
            <color indexed="81"/>
            <rFont val="Tahoma"/>
            <charset val="1"/>
          </rPr>
          <t>Karl Smith:</t>
        </r>
        <r>
          <rPr>
            <sz val="9"/>
            <color indexed="81"/>
            <rFont val="Tahoma"/>
            <charset val="1"/>
          </rPr>
          <t xml:space="preserve">
LPS Clapham 
Working with Nayan for the only two days Nayan has available due to being on the Yondr project. </t>
        </r>
      </text>
    </comment>
    <comment ref="AB4" authorId="1" shapeId="0" xr:uid="{7F9EF465-C3A2-4676-AE5E-E4B88D5C0A7B}">
      <text>
        <r>
          <rPr>
            <sz val="11"/>
            <color theme="1"/>
            <rFont val="Aptos Narrow"/>
            <family val="2"/>
            <scheme val="minor"/>
          </rPr>
          <t>Shane Visagie:
Allied Telesis</t>
        </r>
      </text>
    </comment>
    <comment ref="AC4" authorId="1" shapeId="0" xr:uid="{28D253ED-5D51-426C-BD7A-568C2D1BACE5}">
      <text>
        <r>
          <rPr>
            <sz val="11"/>
            <color theme="1"/>
            <rFont val="Aptos Narrow"/>
            <family val="2"/>
            <scheme val="minor"/>
          </rPr>
          <t>Shane Visagie:
Allied Telesis Exam</t>
        </r>
      </text>
    </comment>
    <comment ref="AH4" authorId="0" shapeId="0" xr:uid="{803BDF95-1813-4A45-B8D4-A207F5CF83D3}">
      <text>
        <r>
          <rPr>
            <sz val="11"/>
            <color theme="1"/>
            <rFont val="Aptos Narrow"/>
            <family val="2"/>
            <scheme val="minor"/>
          </rPr>
          <t>Karl Smith:
Working at Dronfield with ben L configuring the WYP switches</t>
        </r>
      </text>
    </comment>
    <comment ref="AI4" authorId="0" shapeId="0" xr:uid="{4405284B-D6F1-44D8-B249-376C4993641B}">
      <text>
        <r>
          <rPr>
            <sz val="11"/>
            <color theme="1"/>
            <rFont val="Aptos Narrow"/>
            <family val="2"/>
            <scheme val="minor"/>
          </rPr>
          <t>Karl Smith:
Working at Dronfield configuring the WYP switches</t>
        </r>
      </text>
    </comment>
    <comment ref="AN4" authorId="0" shapeId="0" xr:uid="{D83FBF2C-960E-4BA6-B346-9235975FE065}">
      <text>
        <r>
          <rPr>
            <sz val="11"/>
            <color theme="1"/>
            <rFont val="Aptos Narrow"/>
            <family val="2"/>
            <scheme val="minor"/>
          </rPr>
          <t xml:space="preserve">Project stuff in the morning
</t>
        </r>
      </text>
    </comment>
    <comment ref="AO4" authorId="0" shapeId="0" xr:uid="{9E9FBD64-F01D-4E91-A165-25256227AB7A}">
      <text>
        <r>
          <rPr>
            <sz val="11"/>
            <color theme="1"/>
            <rFont val="Aptos Narrow"/>
            <family val="2"/>
            <scheme val="minor"/>
          </rPr>
          <t>Project stuff all day</t>
        </r>
      </text>
    </comment>
    <comment ref="AT4" authorId="2" shapeId="0" xr:uid="{DE73DF37-CE36-4F9C-8B71-E0B5564071D9}">
      <text>
        <r>
          <rPr>
            <sz val="11"/>
            <color theme="1"/>
            <rFont val="Aptos Narrow"/>
            <family val="2"/>
            <scheme val="minor"/>
          </rPr>
          <t>WYP</t>
        </r>
      </text>
    </comment>
    <comment ref="AU4" authorId="1" shapeId="0" xr:uid="{EC62E037-B5A7-4EB8-86BC-FC8EB84F77DA}">
      <text>
        <r>
          <rPr>
            <sz val="11"/>
            <color theme="1"/>
            <rFont val="Aptos Narrow"/>
            <family val="2"/>
            <scheme val="minor"/>
          </rPr>
          <t>Shane Visagie:
Radnor small works network project
Various project meetings</t>
        </r>
      </text>
    </comment>
    <comment ref="AV4" authorId="1" shapeId="0" xr:uid="{5655EF8A-A2F5-48F3-A19B-71833E379688}">
      <text>
        <r>
          <rPr>
            <sz val="11"/>
            <color theme="1"/>
            <rFont val="Aptos Narrow"/>
            <family val="2"/>
            <scheme val="minor"/>
          </rPr>
          <t>FKE - Switches</t>
        </r>
      </text>
    </comment>
    <comment ref="AW4" authorId="1" shapeId="0" xr:uid="{DF619BEB-B05E-481A-A527-450BA8002EDF}">
      <text>
        <r>
          <rPr>
            <sz val="11"/>
            <color theme="1"/>
            <rFont val="Aptos Narrow"/>
            <family val="2"/>
            <scheme val="minor"/>
          </rPr>
          <t>Shane Visagie:
FKQ and WYP - Switches</t>
        </r>
      </text>
    </comment>
    <comment ref="AX4" authorId="1" shapeId="0" xr:uid="{39991FDB-7E3D-4D8B-A48F-2D67B55895BF}">
      <text>
        <r>
          <rPr>
            <sz val="11"/>
            <color theme="1"/>
            <rFont val="Aptos Narrow"/>
            <family val="2"/>
            <scheme val="minor"/>
          </rPr>
          <t>Shane Visagie:
FKQ - Switches</t>
        </r>
      </text>
    </comment>
    <comment ref="BA4" authorId="1" shapeId="0" xr:uid="{AE8C533E-11A5-471A-8F55-06C76DF008B6}">
      <text>
        <r>
          <rPr>
            <sz val="11"/>
            <color theme="1"/>
            <rFont val="Aptos Narrow"/>
            <family val="2"/>
            <scheme val="minor"/>
          </rPr>
          <t>Shane Visagie:
FKQ - Switches</t>
        </r>
      </text>
    </comment>
    <comment ref="BC4" authorId="1" shapeId="0" xr:uid="{7A2315FE-8A46-440E-A7B6-D083EDB7CBDC}">
      <text>
        <r>
          <rPr>
            <sz val="11"/>
            <color theme="1"/>
            <rFont val="Aptos Narrow"/>
            <family val="2"/>
            <scheme val="minor"/>
          </rPr>
          <t>Shane Visagie:
WYP - Switch Information</t>
        </r>
      </text>
    </comment>
    <comment ref="BD4" authorId="1" shapeId="0" xr:uid="{341436E7-F208-4094-9912-8B336487C608}">
      <text>
        <r>
          <rPr>
            <sz val="11"/>
            <color theme="1"/>
            <rFont val="Aptos Narrow"/>
            <family val="2"/>
            <scheme val="minor"/>
          </rPr>
          <t>Shane Visagie:
WYP - Switch Information</t>
        </r>
      </text>
    </comment>
    <comment ref="BE4" authorId="1" shapeId="0" xr:uid="{5640AF0C-E7E0-46EA-B48A-F96D89250056}">
      <text>
        <r>
          <rPr>
            <sz val="11"/>
            <color theme="1"/>
            <rFont val="Aptos Narrow"/>
            <family val="2"/>
            <scheme val="minor"/>
          </rPr>
          <t>Shane Visagie:
WYP - Switch Information</t>
        </r>
      </text>
    </comment>
    <comment ref="BH4" authorId="1" shapeId="0" xr:uid="{60AB479E-01BE-408F-8AF9-B451C83EF252}">
      <text>
        <r>
          <rPr>
            <sz val="11"/>
            <color theme="1"/>
            <rFont val="Aptos Narrow"/>
            <family val="2"/>
            <scheme val="minor"/>
          </rPr>
          <t xml:space="preserve">WYP
</t>
        </r>
      </text>
    </comment>
    <comment ref="CL4" authorId="1" shapeId="0" xr:uid="{F7E1782F-7A24-4A43-B20C-1F24C650E9EF}">
      <text>
        <r>
          <rPr>
            <sz val="11"/>
            <color theme="1"/>
            <rFont val="Aptos Narrow"/>
            <family val="2"/>
            <scheme val="minor"/>
          </rPr>
          <t xml:space="preserve">WYP
</t>
        </r>
      </text>
    </comment>
    <comment ref="EO4" authorId="1" shapeId="0" xr:uid="{85DFF854-8532-4617-8C4E-D4FEDE91D652}">
      <text>
        <r>
          <rPr>
            <sz val="11"/>
            <color theme="1"/>
            <rFont val="Aptos Narrow"/>
            <family val="2"/>
            <scheme val="minor"/>
          </rPr>
          <t>Shane Visagie:
Station Hill Switches</t>
        </r>
      </text>
    </comment>
    <comment ref="EP4" authorId="1" shapeId="0" xr:uid="{B97E2FB1-9CB7-4701-A010-AB229A8EF451}">
      <text>
        <r>
          <rPr>
            <sz val="11"/>
            <color theme="1"/>
            <rFont val="Aptos Narrow"/>
            <family val="2"/>
            <scheme val="minor"/>
          </rPr>
          <t>Shane Visagie:
Station Hill Switches</t>
        </r>
      </text>
    </comment>
    <comment ref="EV4" authorId="1" shapeId="0" xr:uid="{E9F03534-EE7E-4435-A15F-263E719396B0}">
      <text>
        <r>
          <rPr>
            <sz val="11"/>
            <color theme="1"/>
            <rFont val="Aptos Narrow"/>
            <family val="2"/>
            <scheme val="minor"/>
          </rPr>
          <t>Shane Visagie:
Station Hill Switches</t>
        </r>
      </text>
    </comment>
    <comment ref="FR4" authorId="1" shapeId="0" xr:uid="{A0712DB8-B32D-4778-9BFC-B9D756903626}">
      <text>
        <r>
          <rPr>
            <sz val="11"/>
            <color theme="1"/>
            <rFont val="Aptos Narrow"/>
            <family val="2"/>
            <scheme val="minor"/>
          </rPr>
          <t xml:space="preserve">Jack Mumford:
WYP norminton
</t>
        </r>
      </text>
    </comment>
    <comment ref="FS4" authorId="1" shapeId="0" xr:uid="{711EA2BE-EA28-4AAD-BDD3-3E67853596A6}">
      <text>
        <r>
          <rPr>
            <sz val="11"/>
            <color theme="1"/>
            <rFont val="Aptos Narrow"/>
            <family val="2"/>
            <scheme val="minor"/>
          </rPr>
          <t xml:space="preserve">Jack Mumford:
WYP norminton
</t>
        </r>
      </text>
    </comment>
    <comment ref="GZ4" authorId="1" shapeId="0" xr:uid="{782B6FA5-815B-4017-9B65-D45385C0CF20}">
      <text>
        <r>
          <rPr>
            <sz val="11"/>
            <color theme="1"/>
            <rFont val="Aptos Narrow"/>
            <family val="2"/>
            <scheme val="minor"/>
          </rPr>
          <t xml:space="preserve">Station Hill Project 
</t>
        </r>
      </text>
    </comment>
    <comment ref="HC4" authorId="2" shapeId="0" xr:uid="{57001662-24DD-401C-B0EB-F45EE75628BE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HQ4" authorId="1" shapeId="0" xr:uid="{A4A27818-4700-4854-9700-886F4472CF54}">
      <text>
        <r>
          <rPr>
            <sz val="11"/>
            <color theme="1"/>
            <rFont val="Aptos Narrow"/>
            <family val="2"/>
            <scheme val="minor"/>
          </rPr>
          <t>Shane Visagie:
WFH Writing CCNP</t>
        </r>
      </text>
    </comment>
    <comment ref="IC4" authorId="1" shapeId="0" xr:uid="{D4F75651-36A1-424B-A13C-6AA4CE422AEE}">
      <text>
        <r>
          <rPr>
            <sz val="11"/>
            <color theme="1"/>
            <rFont val="Aptos Narrow"/>
            <family val="2"/>
            <scheme val="minor"/>
          </rPr>
          <t>Shane Visagie:
Chest Pains</t>
        </r>
      </text>
    </comment>
    <comment ref="ID4" authorId="1" shapeId="0" xr:uid="{1E8A9DFA-09E3-4159-9F71-C4C06B600C8E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IE4" authorId="1" shapeId="0" xr:uid="{31255AA7-05B7-4FBF-A7FE-278DD737A924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KL4" authorId="1" shapeId="0" xr:uid="{293B4359-2C6D-4FAD-A541-3A1F24718FCB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M4" authorId="1" shapeId="0" xr:uid="{34BCABAE-93D2-40DA-ABE6-D117ABE1D12E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N4" authorId="1" shapeId="0" xr:uid="{5C200702-D174-4E9A-A587-A985DE2242F7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O4" authorId="1" shapeId="0" xr:uid="{7224E787-DFD7-4FC2-B599-DAC0C24B3AF5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P4" authorId="1" shapeId="0" xr:uid="{76A1259A-7361-4524-B043-38DC9A63EC1D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D5" authorId="0" shapeId="0" xr:uid="{B73F9EB7-D17D-48F2-A2BC-43FC5423B9DB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E5" authorId="0" shapeId="0" xr:uid="{9FC9D985-A128-43E0-B35D-65E68614936E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F5" authorId="0" shapeId="0" xr:uid="{C0699816-B85E-442E-BE77-95E30CBD158B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G5" authorId="0" shapeId="0" xr:uid="{EDE0DEC4-423A-41D0-B739-F8A3D090A817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AA5" authorId="1" shapeId="0" xr:uid="{C670C5C4-33F7-41C1-9735-02F72D0CEDA5}">
      <text>
        <r>
          <rPr>
            <sz val="11"/>
            <color theme="1"/>
            <rFont val="Aptos Narrow"/>
            <family val="2"/>
            <scheme val="minor"/>
          </rPr>
          <t>Shane Visagie:
Completing 3 builds for internal and 1 for Simpson</t>
        </r>
      </text>
    </comment>
    <comment ref="AB5" authorId="1" shapeId="0" xr:uid="{06D45F6A-72E9-4BD6-87FB-7A828ACF6DB3}">
      <text>
        <r>
          <rPr>
            <sz val="11"/>
            <color theme="1"/>
            <rFont val="Aptos Narrow"/>
            <family val="2"/>
            <scheme val="minor"/>
          </rPr>
          <t>Shane Visagie:
Completing 3 builds for internal and 1 for Simpson</t>
        </r>
      </text>
    </comment>
    <comment ref="AQ5" authorId="2" shapeId="0" xr:uid="{91AA0022-5E01-484A-88DC-DC4DAD19C877}">
      <text>
        <r>
          <rPr>
            <sz val="11"/>
            <color theme="1"/>
            <rFont val="Aptos Narrow"/>
            <family val="2"/>
            <scheme val="minor"/>
          </rPr>
          <t>Late starting - car garage appointment</t>
        </r>
      </text>
    </comment>
    <comment ref="CL5" authorId="2" shapeId="0" xr:uid="{9F3023A8-FD3D-465F-AD93-0779D4E37D33}">
      <text>
        <r>
          <rPr>
            <sz val="11"/>
            <color theme="1"/>
            <rFont val="Aptos Narrow"/>
            <family val="2"/>
            <scheme val="minor"/>
          </rPr>
          <t>Jack Mumford:
Working From Home - Ill</t>
        </r>
      </text>
    </comment>
    <comment ref="CM5" authorId="2" shapeId="0" xr:uid="{B6461F9E-C3E4-4E41-BEC2-22EAE5C25B18}">
      <text>
        <r>
          <rPr>
            <sz val="11"/>
            <color theme="1"/>
            <rFont val="Aptos Narrow"/>
            <family val="2"/>
            <scheme val="minor"/>
          </rPr>
          <t>Jack Mumford:
Working From Home - Ill</t>
        </r>
      </text>
    </comment>
    <comment ref="EV5" authorId="1" shapeId="0" xr:uid="{5E8B8857-2F2D-4461-BE75-6DDB7B7777A7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IR5" authorId="1" shapeId="0" xr:uid="{414990F3-94B1-4618-A275-11EC13428C0F}">
      <text>
        <r>
          <rPr>
            <sz val="11"/>
            <color theme="1"/>
            <rFont val="Aptos Narrow"/>
            <family val="2"/>
            <scheme val="minor"/>
          </rPr>
          <t>Shane Visagie:
WFH - Sick</t>
        </r>
      </text>
    </comment>
    <comment ref="IS5" authorId="2" shapeId="0" xr:uid="{ABFCD805-C72E-4024-8C0F-7391A79A91B9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IV5" authorId="1" shapeId="0" xr:uid="{52FEDE07-6402-44C5-B607-A084CCF3CD93}">
      <text>
        <r>
          <rPr>
            <sz val="11"/>
            <color theme="1"/>
            <rFont val="Aptos Narrow"/>
            <family val="2"/>
            <scheme val="minor"/>
          </rPr>
          <t xml:space="preserve">JAM: Dan messaged stating Ashtma was bad due to cold.
</t>
        </r>
      </text>
    </comment>
    <comment ref="JE5" authorId="1" shapeId="0" xr:uid="{627999F6-C96D-4C38-841E-65B4773FE2F7}">
      <text>
        <r>
          <rPr>
            <sz val="11"/>
            <color theme="1"/>
            <rFont val="Aptos Narrow"/>
            <family val="2"/>
            <scheme val="minor"/>
          </rPr>
          <t>Shane Visagie:
WFH - Oil change on car</t>
        </r>
      </text>
    </comment>
    <comment ref="JX5" authorId="1" shapeId="0" xr:uid="{26D81A40-C991-47A1-93F5-F25E1B88D84D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KL5" authorId="1" shapeId="0" xr:uid="{D58AB0F3-676A-4413-B38B-B545B829CF76}">
      <text>
        <r>
          <rPr>
            <sz val="11"/>
            <color theme="1"/>
            <rFont val="Aptos Narrow"/>
            <family val="2"/>
            <scheme val="minor"/>
          </rPr>
          <t>Shane Visagie:
WFH - Vaccination - 11:40</t>
        </r>
      </text>
    </comment>
    <comment ref="KW5" authorId="1" shapeId="0" xr:uid="{5ADBD43E-0915-4796-891E-29D1AC22C317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N6" authorId="1" shapeId="0" xr:uid="{8966CA37-A888-429E-BF7B-2FEB02D5A6A0}">
      <text>
        <r>
          <rPr>
            <sz val="11"/>
            <color theme="1"/>
            <rFont val="Aptos Narrow"/>
            <family val="2"/>
            <scheme val="minor"/>
          </rPr>
          <t>Shane Visagie:
Dentist App at 15:30</t>
        </r>
      </text>
    </comment>
    <comment ref="AP6" authorId="2" shapeId="0" xr:uid="{164E0A8C-EA95-4A4D-86E3-546C2D658DDA}">
      <text>
        <r>
          <rPr>
            <sz val="11"/>
            <color theme="1"/>
            <rFont val="Aptos Narrow"/>
            <family val="2"/>
            <scheme val="minor"/>
          </rPr>
          <t>WFH</t>
        </r>
      </text>
    </comment>
    <comment ref="AW6" authorId="2" shapeId="0" xr:uid="{000F8220-DE04-4EB2-907E-A9A2EC8F146D}">
      <text>
        <r>
          <rPr>
            <sz val="11"/>
            <color theme="1"/>
            <rFont val="Aptos Narrow"/>
            <family val="2"/>
            <scheme val="minor"/>
          </rPr>
          <t>WFH</t>
        </r>
      </text>
    </comment>
    <comment ref="G7" authorId="2" shapeId="0" xr:uid="{1E6CFBED-9598-44A0-90E2-4B17664A26F2}">
      <text>
        <r>
          <rPr>
            <sz val="11"/>
            <color theme="1"/>
            <rFont val="Aptos Narrow"/>
            <family val="2"/>
            <scheme val="minor"/>
          </rPr>
          <t>Jack Mumford:
James visited Allstone this day</t>
        </r>
      </text>
    </comment>
    <comment ref="L7" authorId="1" shapeId="0" xr:uid="{5D37232D-AF2D-4130-BD2C-68DB196C2F02}">
      <text>
        <r>
          <rPr>
            <sz val="11"/>
            <color theme="1"/>
            <rFont val="Aptos Narrow"/>
            <family val="2"/>
            <scheme val="minor"/>
          </rPr>
          <t>Shane Visagie:
At GHC for 3rd line duties</t>
        </r>
      </text>
    </comment>
    <comment ref="R7" authorId="0" shapeId="0" xr:uid="{3D191BC7-A3E3-44AA-849C-010B06A731A0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S7" authorId="0" shapeId="0" xr:uid="{BE9FB767-5D4E-4B80-8311-142308CF4A7D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Y7" authorId="2" shapeId="0" xr:uid="{2A5156EA-4DF4-4939-9D39-CFBDA726CE91}">
      <text>
        <r>
          <rPr>
            <sz val="11"/>
            <color theme="1"/>
            <rFont val="Aptos Narrow"/>
            <family val="2"/>
            <scheme val="minor"/>
          </rPr>
          <t>Jack Mumford:
Banked server day</t>
        </r>
      </text>
    </comment>
    <comment ref="AA7" authorId="2" shapeId="0" xr:uid="{D19A2C14-811A-42AE-A491-762C9A460A27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AB7" authorId="2" shapeId="0" xr:uid="{99355F57-5F55-489F-B725-AF8100C5066D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AN7" authorId="2" shapeId="0" xr:uid="{FACC4FFE-5E1F-449F-AA6C-D5E120A27D8C}">
      <text>
        <r>
          <rPr>
            <sz val="11"/>
            <color theme="1"/>
            <rFont val="Aptos Narrow"/>
            <family val="2"/>
            <scheme val="minor"/>
          </rPr>
          <t xml:space="preserve">Jack Mumford:
ITIL Exam &amp; WFH
</t>
        </r>
      </text>
    </comment>
    <comment ref="BH7" authorId="2" shapeId="0" xr:uid="{D9C739BA-4190-43CD-A456-A32783C1C146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I7" authorId="2" shapeId="0" xr:uid="{F756A48B-6215-4495-9904-639D7AA57592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J7" authorId="2" shapeId="0" xr:uid="{1E18E21D-2919-4804-BAEA-088452A6825C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K7" authorId="2" shapeId="0" xr:uid="{6DAF87FE-972F-49A1-9DE3-AF12E9E451DA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L7" authorId="2" shapeId="0" xr:uid="{E437DA7A-0146-49BD-A399-F55DCA96A734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FT7" authorId="2" shapeId="0" xr:uid="{61827593-9452-4D14-A73C-EA330BB57362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HC7" authorId="2" shapeId="0" xr:uid="{A140411B-626E-41BD-B3AF-D18D6423E7A5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HO7" authorId="2" shapeId="0" xr:uid="{9A844124-BA9A-4BB9-B878-3A703BBD3F45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IH7" authorId="1" shapeId="0" xr:uid="{2D0C7DF3-3968-45A7-A9AB-B201417E223B}">
      <text>
        <r>
          <rPr>
            <sz val="11"/>
            <color theme="1"/>
            <rFont val="Aptos Narrow"/>
            <family val="2"/>
            <scheme val="minor"/>
          </rPr>
          <t>Shane Visagie:
Halfday, will be in from 13:00</t>
        </r>
      </text>
    </comment>
    <comment ref="IK7" authorId="1" shapeId="0" xr:uid="{5518B855-3F31-4212-943E-85D94022A044}">
      <text>
        <r>
          <rPr>
            <sz val="11"/>
            <color theme="1"/>
            <rFont val="Aptos Narrow"/>
            <family val="2"/>
            <scheme val="minor"/>
          </rPr>
          <t>Shane Visagie:
WFH - Car being worked on and taking dog to vet on lunch</t>
        </r>
      </text>
    </comment>
    <comment ref="IP7" authorId="1" shapeId="0" xr:uid="{4567811B-1CF3-4706-8ECD-A8C6E15DAFAF}">
      <text>
        <r>
          <rPr>
            <sz val="11"/>
            <color theme="1"/>
            <rFont val="Aptos Narrow"/>
            <family val="2"/>
            <scheme val="minor"/>
          </rPr>
          <t>Shane Visagie:
WFH - Sick</t>
        </r>
      </text>
    </comment>
    <comment ref="IQ7" authorId="1" shapeId="0" xr:uid="{F288B7C6-442D-41A1-B778-51D5EAFB7335}">
      <text>
        <r>
          <rPr>
            <sz val="11"/>
            <color theme="1"/>
            <rFont val="Aptos Narrow"/>
            <family val="2"/>
            <scheme val="minor"/>
          </rPr>
          <t>Shane Visagie:
WFH - Sick</t>
        </r>
      </text>
    </comment>
    <comment ref="KS7" authorId="1" shapeId="0" xr:uid="{FEB3C82D-5B39-4587-8A74-27C16796FA7A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T8" authorId="2" shapeId="0" xr:uid="{26EA3070-7ABD-4197-BDE7-1F3C2F1B4EA1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U8" authorId="2" shapeId="0" xr:uid="{809577C8-3CC0-46E5-ACEC-91C896952223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Y8" authorId="2" shapeId="0" xr:uid="{1FF10098-F23F-4AAA-932C-5B24A525AE8D}">
      <text>
        <r>
          <rPr>
            <sz val="11"/>
            <color theme="1"/>
            <rFont val="Aptos Narrow"/>
            <family val="2"/>
            <scheme val="minor"/>
          </rPr>
          <t xml:space="preserve">Jack Mumford:
Onsite Installing VPNs
</t>
        </r>
      </text>
    </comment>
    <comment ref="AA8" authorId="0" shapeId="0" xr:uid="{B70A2ECE-5423-415D-A235-A0F20B3D850E}">
      <text>
        <r>
          <rPr>
            <sz val="11"/>
            <color theme="1"/>
            <rFont val="Aptos Narrow"/>
            <family val="2"/>
            <scheme val="minor"/>
          </rPr>
          <t>Karl Smith:
T-Neilsen SharePoint Project</t>
        </r>
      </text>
    </comment>
    <comment ref="AC8" authorId="0" shapeId="0" xr:uid="{8234B038-25EF-488F-BC7A-CF1B0049A464}">
      <text>
        <r>
          <rPr>
            <sz val="11"/>
            <color theme="1"/>
            <rFont val="Aptos Narrow"/>
            <family val="2"/>
            <scheme val="minor"/>
          </rPr>
          <t>Karl Smith:
T-Neilsen SharePoint Project</t>
        </r>
      </text>
    </comment>
    <comment ref="AO8" authorId="0" shapeId="0" xr:uid="{5634DDD7-8C8D-4D1E-A2C8-49AB46596F49}">
      <text>
        <r>
          <rPr>
            <sz val="11"/>
            <color theme="1"/>
            <rFont val="Aptos Narrow"/>
            <family val="2"/>
            <scheme val="minor"/>
          </rPr>
          <t>At T Nielson for the morning</t>
        </r>
      </text>
    </comment>
    <comment ref="BA8" authorId="2" shapeId="0" xr:uid="{19F69933-ABD5-4D62-B27C-BBCD89E331A1}">
      <text>
        <r>
          <rPr>
            <sz val="11"/>
            <color theme="1"/>
            <rFont val="Aptos Narrow"/>
            <family val="2"/>
            <scheme val="minor"/>
          </rPr>
          <t>Two hours delayed due to Veeam course starting late</t>
        </r>
      </text>
    </comment>
    <comment ref="BI8" authorId="2" shapeId="0" xr:uid="{0DBD2E7C-42F0-45B8-8CFE-D148F45CE6C3}">
      <text>
        <r>
          <rPr>
            <sz val="11"/>
            <color theme="1"/>
            <rFont val="Aptos Narrow"/>
            <family val="2"/>
            <scheme val="minor"/>
          </rPr>
          <t>Jack Mumford:
Working From Home</t>
        </r>
      </text>
    </comment>
    <comment ref="DA8" authorId="1" shapeId="0" xr:uid="{3FAF549A-264F-4184-B818-19529F2D73AF}">
      <text>
        <r>
          <rPr>
            <sz val="11"/>
            <color theme="1"/>
            <rFont val="Aptos Narrow"/>
            <family val="2"/>
            <scheme val="minor"/>
          </rPr>
          <t>Shane Visagie:
Visiting VSOC with Udit</t>
        </r>
      </text>
    </comment>
    <comment ref="DO8" authorId="1" shapeId="0" xr:uid="{0E6640DB-A29C-46A2-8947-2D8AFC0ADC1F}">
      <text>
        <r>
          <rPr>
            <sz val="11"/>
            <color theme="1"/>
            <rFont val="Aptos Narrow"/>
            <family val="2"/>
            <scheme val="minor"/>
          </rPr>
          <t>Shane Visagie:
Visiting VSOC</t>
        </r>
      </text>
    </comment>
    <comment ref="EX8" authorId="2" shapeId="0" xr:uid="{696325F1-A3A0-4F6A-A75C-07B4ECDB5335}">
      <text>
        <r>
          <rPr>
            <sz val="11"/>
            <color theme="1"/>
            <rFont val="Aptos Narrow"/>
            <family val="2"/>
            <scheme val="minor"/>
          </rPr>
          <t>SRM Training</t>
        </r>
      </text>
    </comment>
    <comment ref="EY8" authorId="2" shapeId="0" xr:uid="{791F0A20-B7CF-43CE-A149-784EB6C66D0E}">
      <text>
        <r>
          <rPr>
            <sz val="11"/>
            <color theme="1"/>
            <rFont val="Aptos Narrow"/>
            <family val="2"/>
            <scheme val="minor"/>
          </rPr>
          <t>SRM Training</t>
        </r>
      </text>
    </comment>
    <comment ref="HC8" authorId="2" shapeId="0" xr:uid="{3B1381AA-863F-42E1-81DB-58A413FE893B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HN8" authorId="1" shapeId="0" xr:uid="{AD1EB2AF-6234-4F29-8E33-EFAD95D16AF5}">
      <text>
        <r>
          <rPr>
            <sz val="11"/>
            <color theme="1"/>
            <rFont val="Aptos Narrow"/>
            <family val="2"/>
            <scheme val="minor"/>
          </rPr>
          <t>Shane Visagie:
Funeral</t>
        </r>
      </text>
    </comment>
    <comment ref="ID8" authorId="1" shapeId="0" xr:uid="{5AE24666-2471-4E63-9001-2D27E1D94785}">
      <text>
        <r>
          <rPr>
            <sz val="11"/>
            <color theme="1"/>
            <rFont val="Aptos Narrow"/>
            <family val="2"/>
            <scheme val="minor"/>
          </rPr>
          <t>Shane Visagie:
WFH - Sick</t>
        </r>
      </text>
    </comment>
    <comment ref="JM8" authorId="1" shapeId="0" xr:uid="{B44A90D6-7EAE-4A5A-B9AD-97D58849B8AB}">
      <text>
        <r>
          <rPr>
            <sz val="11"/>
            <color theme="1"/>
            <rFont val="Aptos Narrow"/>
            <family val="2"/>
            <scheme val="minor"/>
          </rPr>
          <t>Shane Visagie:
WFH - Car service</t>
        </r>
      </text>
    </comment>
    <comment ref="KA8" authorId="1" shapeId="0" xr:uid="{9A40EE40-5B30-4DD4-BA78-015A09D06144}">
      <text>
        <r>
          <rPr>
            <sz val="11"/>
            <color theme="1"/>
            <rFont val="Aptos Narrow"/>
            <family val="2"/>
            <scheme val="minor"/>
          </rPr>
          <t>Shane Visagie:
WFH for morning, dental hygienist at 11:00am</t>
        </r>
      </text>
    </comment>
    <comment ref="KE8" authorId="2" shapeId="0" xr:uid="{B5742DAF-1DB6-4A4A-B695-2F23C752502E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F8" authorId="2" shapeId="0" xr:uid="{5D95D43F-1332-4F2B-A63E-072293B315E1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G8" authorId="2" shapeId="0" xr:uid="{B4EA815D-B070-4DCC-A3BD-7619AA2985EC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H8" authorId="2" shapeId="0" xr:uid="{A6616A1D-4F06-4EE9-B9F5-1F5F6618B4D0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L8" authorId="1" shapeId="0" xr:uid="{546491D8-B611-4895-B3FC-BD952D87BE65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M8" authorId="1" shapeId="0" xr:uid="{681CA1A6-370E-4589-AB90-B44637847565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N8" authorId="1" shapeId="0" xr:uid="{C314EB64-CCEA-4065-9226-78EEA807708D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O8" authorId="1" shapeId="0" xr:uid="{B8BE3781-E70A-4F8D-8550-321989D654F3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P8" authorId="1" shapeId="0" xr:uid="{F7A1A63F-28DB-4763-A8D4-D6DD043047B1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T9" authorId="2" shapeId="0" xr:uid="{FBBB43FD-AEF8-4ADF-A0E6-80F6C75BFE2A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U9" authorId="2" shapeId="0" xr:uid="{BF4E04CF-C63A-4C30-A234-62FFBE96D667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V9" authorId="2" shapeId="0" xr:uid="{8D8DA0C6-4A4D-4F74-9EDD-26E26FE38F20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W9" authorId="2" shapeId="0" xr:uid="{584D9398-A238-4500-8354-CD3511079F8E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X9" authorId="2" shapeId="0" xr:uid="{1AAF8CFB-532D-4533-B364-A492B2C274E1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A9" authorId="2" shapeId="0" xr:uid="{6E19B516-AE74-48AD-92C5-BD62AE4BDFE3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B9" authorId="2" shapeId="0" xr:uid="{3460D36B-193C-439A-8692-52B4B806C671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C9" authorId="2" shapeId="0" xr:uid="{AF222709-D41F-4380-9719-661AB1D3F650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D9" authorId="2" shapeId="0" xr:uid="{91E4229A-F919-4CA5-BF98-E1CDCBEC526A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E9" authorId="2" shapeId="0" xr:uid="{A14AF10A-E89F-4D07-B2D7-7A11113D1767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H9" authorId="2" shapeId="0" xr:uid="{39FABB52-7851-4BEA-93B3-26CB24D5FCB6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I9" authorId="2" shapeId="0" xr:uid="{348E4475-E367-42AE-81C0-5A850C6FE798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J9" authorId="2" shapeId="0" xr:uid="{8B926C85-C07A-4805-98E1-E2D41EF22F00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K9" authorId="2" shapeId="0" xr:uid="{7FF32EE7-201A-437B-8A1B-096AB966E899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L9" authorId="2" shapeId="0" xr:uid="{332917FC-2E2E-486E-B015-94A4088C7A1F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EV9" authorId="1" shapeId="0" xr:uid="{63B1EF64-44FC-4E53-8CB6-D0A3CDE9D458}">
      <text>
        <r>
          <rPr>
            <sz val="11"/>
            <color theme="1"/>
            <rFont val="Aptos Narrow"/>
            <family val="2"/>
            <scheme val="minor"/>
          </rPr>
          <t>Jack Mumford:
Station Hill</t>
        </r>
      </text>
    </comment>
    <comment ref="EW9" authorId="1" shapeId="0" xr:uid="{FAE03A5E-F75C-4386-93B8-76CF8C7CF7B2}">
      <text>
        <r>
          <rPr>
            <sz val="11"/>
            <color theme="1"/>
            <rFont val="Aptos Narrow"/>
            <family val="2"/>
            <scheme val="minor"/>
          </rPr>
          <t>Jack Mumford:
Station Hill/Yondr</t>
        </r>
      </text>
    </comment>
    <comment ref="EX9" authorId="2" shapeId="0" xr:uid="{7E2BBE56-C2D1-41BC-B675-10CE3851E9C3}">
      <text>
        <r>
          <rPr>
            <sz val="11"/>
            <color theme="1"/>
            <rFont val="Aptos Narrow"/>
            <family val="2"/>
            <scheme val="minor"/>
          </rPr>
          <t>SRM Training</t>
        </r>
      </text>
    </comment>
    <comment ref="EY9" authorId="2" shapeId="0" xr:uid="{E27F29B2-07AB-4BC0-A7FB-D85CABB5827F}">
      <text>
        <r>
          <rPr>
            <sz val="11"/>
            <color theme="1"/>
            <rFont val="Aptos Narrow"/>
            <family val="2"/>
            <scheme val="minor"/>
          </rPr>
          <t>SRM Training</t>
        </r>
      </text>
    </comment>
    <comment ref="FC9" authorId="1" shapeId="0" xr:uid="{8F4AB954-4BDF-4773-9A6A-B91CAFEF5352}">
      <text>
        <r>
          <rPr>
            <sz val="11"/>
            <color theme="1"/>
            <rFont val="Aptos Narrow"/>
            <family val="2"/>
            <scheme val="minor"/>
          </rPr>
          <t>Jack Mumford:
Station Hill docs, the afternoon travelling to Yondr.</t>
        </r>
      </text>
    </comment>
    <comment ref="FD9" authorId="1" shapeId="0" xr:uid="{4B86CF51-F2D7-4BC6-ADF6-6AC217A6ED5F}">
      <text>
        <r>
          <rPr>
            <sz val="11"/>
            <color theme="1"/>
            <rFont val="Aptos Narrow"/>
            <family val="2"/>
            <scheme val="minor"/>
          </rPr>
          <t>Jack Mumford:
Yondr</t>
        </r>
      </text>
    </comment>
    <comment ref="FE9" authorId="1" shapeId="0" xr:uid="{000A0859-74D0-4763-9C47-664E9B36D999}">
      <text>
        <r>
          <rPr>
            <sz val="11"/>
            <color theme="1"/>
            <rFont val="Aptos Narrow"/>
            <family val="2"/>
            <scheme val="minor"/>
          </rPr>
          <t>Jack Mumford:
Yondr</t>
        </r>
      </text>
    </comment>
    <comment ref="FF9" authorId="1" shapeId="0" xr:uid="{E8B937D6-C575-42E3-9063-E30276F0B41C}">
      <text>
        <r>
          <rPr>
            <sz val="11"/>
            <color theme="1"/>
            <rFont val="Aptos Narrow"/>
            <family val="2"/>
            <scheme val="minor"/>
          </rPr>
          <t>Jack Mumford:
Yondr</t>
        </r>
      </text>
    </comment>
    <comment ref="FI9" authorId="1" shapeId="0" xr:uid="{080F7EB9-1947-430B-B871-60C479180332}">
      <text>
        <r>
          <rPr>
            <sz val="11"/>
            <color theme="1"/>
            <rFont val="Aptos Narrow"/>
            <family val="2"/>
            <scheme val="minor"/>
          </rPr>
          <t>Jack Mumford:
Yondr</t>
        </r>
      </text>
    </comment>
    <comment ref="FJ9" authorId="2" shapeId="0" xr:uid="{16EB0FF0-EB83-401B-B14B-35403D6B0A10}">
      <text>
        <r>
          <rPr>
            <sz val="11"/>
            <color theme="1"/>
            <rFont val="Aptos Narrow"/>
            <family val="2"/>
            <scheme val="minor"/>
          </rPr>
          <t>Jack Mumford:
Ben in Gloucester</t>
        </r>
      </text>
    </comment>
    <comment ref="FK9" authorId="2" shapeId="0" xr:uid="{A589F8F7-E44C-443A-B75B-CB0ADAB97080}">
      <text>
        <r>
          <rPr>
            <sz val="11"/>
            <color theme="1"/>
            <rFont val="Aptos Narrow"/>
            <family val="2"/>
            <scheme val="minor"/>
          </rPr>
          <t>Jack Mumford:
Ben in Gloucester</t>
        </r>
      </text>
    </comment>
    <comment ref="GE9" authorId="2" shapeId="0" xr:uid="{B1148926-898C-4F06-8AF1-DBC36EF204F4}">
      <text>
        <r>
          <rPr>
            <sz val="11"/>
            <color theme="1"/>
            <rFont val="Aptos Narrow"/>
            <family val="2"/>
            <scheme val="minor"/>
          </rPr>
          <t>Jack Mumford:
VSOC Documentation</t>
        </r>
      </text>
    </comment>
    <comment ref="GF9" authorId="2" shapeId="0" xr:uid="{4626FA2F-13C2-4092-A0C2-DF0D79B566BA}">
      <text>
        <r>
          <rPr>
            <sz val="11"/>
            <color theme="1"/>
            <rFont val="Aptos Narrow"/>
            <family val="2"/>
            <scheme val="minor"/>
          </rPr>
          <t>Jack Mumford:
In Gloucester</t>
        </r>
      </text>
    </comment>
    <comment ref="GG9" authorId="2" shapeId="0" xr:uid="{F9BC8317-641C-4CEC-91C3-0D8A8992D591}">
      <text>
        <r>
          <rPr>
            <sz val="11"/>
            <color theme="1"/>
            <rFont val="Aptos Narrow"/>
            <family val="2"/>
            <scheme val="minor"/>
          </rPr>
          <t>Jack Mumford:
In Gloucester</t>
        </r>
      </text>
    </comment>
    <comment ref="GH9" authorId="2" shapeId="0" xr:uid="{E7627DC6-9EC6-4DA1-AFA1-9BB6F9147630}">
      <text>
        <r>
          <rPr>
            <sz val="11"/>
            <color theme="1"/>
            <rFont val="Aptos Narrow"/>
            <family val="2"/>
            <scheme val="minor"/>
          </rPr>
          <t>Jack Mumford:
Reviewing configuration of ConnectWise</t>
        </r>
      </text>
    </comment>
    <comment ref="HC9" authorId="2" shapeId="0" xr:uid="{7C2A6A3E-3BBD-41A1-BD4C-DCBB201968AC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HI9" authorId="2" shapeId="0" xr:uid="{F2471D38-3042-4011-92F4-44D878F8FCE6}">
      <text>
        <r>
          <rPr>
            <sz val="11"/>
            <color theme="1"/>
            <rFont val="Aptos Narrow"/>
            <family val="2"/>
            <scheme val="minor"/>
          </rPr>
          <t>Nutanix Training</t>
        </r>
      </text>
    </comment>
    <comment ref="HJ9" authorId="2" shapeId="0" xr:uid="{5D2C71F5-216C-4383-A640-592DFF9FA887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HM9" authorId="2" shapeId="0" xr:uid="{3177EC53-FF07-42AC-9B73-07EE550A6F0C}">
      <text>
        <r>
          <rPr>
            <sz val="11"/>
            <color theme="1"/>
            <rFont val="Aptos Narrow"/>
            <family val="2"/>
            <scheme val="minor"/>
          </rPr>
          <t>Jack Mumford:
WYP Leeds</t>
        </r>
      </text>
    </comment>
    <comment ref="HN9" authorId="2" shapeId="0" xr:uid="{BB257344-AF5A-4A60-B620-C29CEA3FF965}">
      <text>
        <r>
          <rPr>
            <sz val="11"/>
            <color theme="1"/>
            <rFont val="Aptos Narrow"/>
            <family val="2"/>
            <scheme val="minor"/>
          </rPr>
          <t>Jack Mumford:
CW Tickets &amp; VSOC issues</t>
        </r>
      </text>
    </comment>
    <comment ref="HO9" authorId="2" shapeId="0" xr:uid="{19B3FE44-F803-4257-B6D7-80FFC44B9CD0}">
      <text>
        <r>
          <rPr>
            <sz val="11"/>
            <color theme="1"/>
            <rFont val="Aptos Narrow"/>
            <family val="2"/>
            <scheme val="minor"/>
          </rPr>
          <t>Jack Mumford:
Visiting WYP</t>
        </r>
      </text>
    </comment>
    <comment ref="HX9" authorId="2" shapeId="0" xr:uid="{C2352F99-EB5A-45BD-832A-6283155C5532}">
      <text>
        <r>
          <rPr>
            <sz val="11"/>
            <color theme="1"/>
            <rFont val="Aptos Narrow"/>
            <family val="2"/>
            <scheme val="minor"/>
          </rPr>
          <t>Jack Mumford:
WYP</t>
        </r>
      </text>
    </comment>
    <comment ref="ID9" authorId="1" shapeId="0" xr:uid="{486E52C0-9D55-471F-B292-93C05C428A37}">
      <text>
        <r>
          <rPr>
            <sz val="11"/>
            <color theme="1"/>
            <rFont val="Aptos Narrow"/>
            <family val="2"/>
            <scheme val="minor"/>
          </rPr>
          <t>Shane Visagie:
VSOC</t>
        </r>
      </text>
    </comment>
    <comment ref="IH9" authorId="1" shapeId="0" xr:uid="{D018A154-AD07-4160-BE17-6F26FEF3EC6F}">
      <text>
        <r>
          <rPr>
            <sz val="11"/>
            <color theme="1"/>
            <rFont val="Aptos Narrow"/>
            <family val="2"/>
            <scheme val="minor"/>
          </rPr>
          <t>Shane Visagie:
In Netherlands helping with new Internet line</t>
        </r>
      </text>
    </comment>
    <comment ref="II9" authorId="1" shapeId="0" xr:uid="{771358AC-FB5E-47B9-B40F-D4D4A0D5AC47}">
      <text>
        <r>
          <rPr>
            <sz val="11"/>
            <color theme="1"/>
            <rFont val="Aptos Narrow"/>
            <family val="2"/>
            <scheme val="minor"/>
          </rPr>
          <t>Shane Visagie:
In Netherlands helping with new Internet line</t>
        </r>
      </text>
    </comment>
    <comment ref="IQ9" authorId="2" shapeId="0" xr:uid="{4DF3A7E1-D905-4CED-827F-FFFB47B5C95F}">
      <text>
        <r>
          <rPr>
            <sz val="11"/>
            <color theme="1"/>
            <rFont val="Aptos Narrow"/>
            <family val="2"/>
            <scheme val="minor"/>
          </rPr>
          <t>Jack Mumford:
VSOC doing networking</t>
        </r>
      </text>
    </comment>
    <comment ref="KE9" authorId="2" shapeId="0" xr:uid="{A36A0CA1-A8B1-4288-823E-1ACC378DBC53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F9" authorId="2" shapeId="0" xr:uid="{71532011-6F3E-4480-BC2D-1EA0559651B0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G9" authorId="2" shapeId="0" xr:uid="{71AB2B93-6C5D-4767-A7A5-EE495B98936D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H9" authorId="2" shapeId="0" xr:uid="{F6D9E03A-FFA3-41C3-8532-ADDFCA8628F5}">
      <text>
        <r>
          <rPr>
            <sz val="11"/>
            <color theme="1"/>
            <rFont val="Aptos Narrow"/>
            <family val="2"/>
            <scheme val="minor"/>
          </rPr>
          <t>Jack Mumford:
Nutanix Certified Professional</t>
        </r>
      </text>
    </comment>
    <comment ref="KN9" authorId="3" shapeId="0" xr:uid="{562A5700-0164-42E3-B9FA-B74D1AFC8F7B}">
      <text>
        <r>
          <rPr>
            <sz val="11"/>
            <color theme="1"/>
            <rFont val="Aptos Narrow"/>
            <family val="2"/>
            <scheme val="minor"/>
          </rPr>
          <t>Amy Rawle:
Padpilot</t>
        </r>
      </text>
    </comment>
    <comment ref="KZ9" authorId="1" shapeId="0" xr:uid="{98BFB6DD-2A8F-4335-833A-F2F1A68A1B8B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LA9" authorId="1" shapeId="0" xr:uid="{CA1245EF-BE95-4AEA-A868-7867B9832F04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T10" authorId="0" shapeId="0" xr:uid="{8930416B-92D1-427E-B100-072A5628C23A}">
      <text>
        <r>
          <rPr>
            <sz val="11"/>
            <color theme="1"/>
            <rFont val="Aptos Narrow"/>
            <family val="2"/>
            <scheme val="minor"/>
          </rPr>
          <t>LPS Project</t>
        </r>
      </text>
    </comment>
    <comment ref="AU10" authorId="1" shapeId="0" xr:uid="{B27C5B3F-7551-4BD3-B8A8-C1E4560476A7}">
      <text>
        <r>
          <rPr>
            <sz val="11"/>
            <color theme="1"/>
            <rFont val="Aptos Narrow"/>
            <family val="2"/>
            <scheme val="minor"/>
          </rPr>
          <t>Shane Visagie:
Setting up phones for new starters</t>
        </r>
      </text>
    </comment>
    <comment ref="AX10" authorId="1" shapeId="0" xr:uid="{DE00C6B7-6FC1-4B8F-8213-778A88C439F9}">
      <text>
        <r>
          <rPr>
            <sz val="11"/>
            <color theme="1"/>
            <rFont val="Aptos Narrow"/>
            <family val="2"/>
            <scheme val="minor"/>
          </rPr>
          <t>Shane Visagie:
Helping Jacob Rack FKE Switches</t>
        </r>
      </text>
    </comment>
    <comment ref="BD10" authorId="1" shapeId="0" xr:uid="{21C01555-4FFC-41F3-880D-D7D9029D49D2}">
      <text>
        <r>
          <rPr>
            <sz val="11"/>
            <color theme="1"/>
            <rFont val="Aptos Narrow"/>
            <family val="2"/>
            <scheme val="minor"/>
          </rPr>
          <t>Shane Visagie:
Some College Work</t>
        </r>
      </text>
    </comment>
    <comment ref="BE10" authorId="1" shapeId="0" xr:uid="{15BC5D6D-77C9-4258-8B53-5801B9ECBA3C}">
      <text>
        <r>
          <rPr>
            <sz val="11"/>
            <color theme="1"/>
            <rFont val="Aptos Narrow"/>
            <family val="2"/>
            <scheme val="minor"/>
          </rPr>
          <t>Shane Visagie:
Some college work</t>
        </r>
      </text>
    </comment>
    <comment ref="EN10" authorId="1" shapeId="0" xr:uid="{4852C078-8D49-4B7A-ACCB-3BEF83C8AF9A}">
      <text>
        <r>
          <rPr>
            <sz val="11"/>
            <color theme="1"/>
            <rFont val="Aptos Narrow"/>
            <family val="2"/>
            <scheme val="minor"/>
          </rPr>
          <t>Shane Visagie:
Focusing solely on College</t>
        </r>
      </text>
    </comment>
    <comment ref="EO10" authorId="1" shapeId="0" xr:uid="{DB113A10-CCF6-4167-BC96-F7AF02FD1639}">
      <text>
        <r>
          <rPr>
            <sz val="11"/>
            <color theme="1"/>
            <rFont val="Aptos Narrow"/>
            <family val="2"/>
            <scheme val="minor"/>
          </rPr>
          <t>Shane Visagie:
Focusing solely on College</t>
        </r>
      </text>
    </comment>
    <comment ref="EP10" authorId="1" shapeId="0" xr:uid="{14C4D678-C950-4543-946A-F947B26367A6}">
      <text>
        <r>
          <rPr>
            <sz val="11"/>
            <color theme="1"/>
            <rFont val="Aptos Narrow"/>
            <family val="2"/>
            <scheme val="minor"/>
          </rPr>
          <t>Shane Visagie:
Focusing solely on College</t>
        </r>
      </text>
    </comment>
    <comment ref="GK10" authorId="4" shapeId="0" xr:uid="{8D36C8A0-0D76-4A9E-BD90-6DE23DCDB114}">
      <text>
        <r>
          <rPr>
            <sz val="11"/>
            <color theme="1"/>
            <rFont val="Aptos Narrow"/>
            <family val="2"/>
            <scheme val="minor"/>
          </rPr>
          <t>Amber Baker:
Half day booked - AM</t>
        </r>
      </text>
    </comment>
    <comment ref="U12" authorId="2" shapeId="0" xr:uid="{A307DDF6-6FED-4A2E-B3C7-D6AC43BC7BA0}">
      <text>
        <r>
          <rPr>
            <sz val="11"/>
            <color theme="1"/>
            <rFont val="Aptos Narrow"/>
            <family val="2"/>
            <scheme val="minor"/>
          </rPr>
          <t>Jack Mumford:
Eddie visited site to pick up the Watchguard Firewall</t>
        </r>
      </text>
    </comment>
    <comment ref="AF12" authorId="2" shapeId="0" xr:uid="{A7E7FC2A-454B-4453-85DB-67FD4C1381D0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AG12" authorId="2" shapeId="0" xr:uid="{5042C5C9-C635-4354-BFA1-44294DBFF40F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AQ12" authorId="2" shapeId="0" xr:uid="{064B31A0-99F4-4FF9-BE87-639CC2FF7572}">
      <text>
        <r>
          <rPr>
            <sz val="11"/>
            <color theme="1"/>
            <rFont val="Aptos Narrow"/>
            <family val="2"/>
            <scheme val="minor"/>
          </rPr>
          <t>Jack Mumford:
ITIL Exam</t>
        </r>
      </text>
    </comment>
    <comment ref="FR12" authorId="1" shapeId="0" xr:uid="{21BFE2B9-E218-46E8-BF6C-9635871E13CB}">
      <text>
        <r>
          <rPr>
            <sz val="11"/>
            <color theme="1"/>
            <rFont val="Aptos Narrow"/>
            <family val="2"/>
            <scheme val="minor"/>
          </rPr>
          <t xml:space="preserve">BAB Project - priced under projects cost centre
</t>
        </r>
      </text>
    </comment>
    <comment ref="GL12" authorId="1" shapeId="0" xr:uid="{0C112AFB-0FD8-41D7-889A-E6FBB71D2F16}">
      <text>
        <r>
          <rPr>
            <sz val="11"/>
            <color theme="1"/>
            <rFont val="Aptos Narrow"/>
            <family val="2"/>
            <scheme val="minor"/>
          </rPr>
          <t xml:space="preserve">Setting up FRA3 Unit with Will then travelling to Ldn for BAB project
</t>
        </r>
      </text>
    </comment>
    <comment ref="GM12" authorId="1" shapeId="0" xr:uid="{2F883B17-A933-4617-8D9A-1C7FFA7C1781}">
      <text>
        <r>
          <rPr>
            <sz val="11"/>
            <color theme="1"/>
            <rFont val="Aptos Narrow"/>
            <family val="2"/>
            <scheme val="minor"/>
          </rPr>
          <t xml:space="preserve">BAB Project 
</t>
        </r>
      </text>
    </comment>
    <comment ref="HV12" authorId="1" shapeId="0" xr:uid="{5B755E08-6397-4149-B626-9C4132F86CB4}">
      <text>
        <r>
          <rPr>
            <sz val="11"/>
            <color theme="1"/>
            <rFont val="Aptos Narrow"/>
            <family val="2"/>
            <scheme val="minor"/>
          </rPr>
          <t>Shane Visagie:
BABHQ</t>
        </r>
      </text>
    </comment>
    <comment ref="IC12" authorId="1" shapeId="0" xr:uid="{EC301655-7E02-4C54-BE60-BF140C763DB1}">
      <text>
        <r>
          <rPr>
            <sz val="11"/>
            <color theme="1"/>
            <rFont val="Aptos Narrow"/>
            <family val="2"/>
            <scheme val="minor"/>
          </rPr>
          <t>Shane Visagie:
BABHQ</t>
        </r>
      </text>
    </comment>
    <comment ref="IH12" authorId="1" shapeId="0" xr:uid="{28BEDFD5-A843-46E5-865C-EAFE4594003A}">
      <text>
        <r>
          <rPr>
            <sz val="11"/>
            <color theme="1"/>
            <rFont val="Aptos Narrow"/>
            <family val="2"/>
            <scheme val="minor"/>
          </rPr>
          <t>Shane Visagie:
On-site in Dublin</t>
        </r>
      </text>
    </comment>
    <comment ref="IK12" authorId="2" shapeId="0" xr:uid="{673E3782-7674-473D-A8D8-16F14E865470}">
      <text>
        <r>
          <rPr>
            <sz val="11"/>
            <color theme="1"/>
            <rFont val="Aptos Narrow"/>
            <family val="2"/>
            <scheme val="minor"/>
          </rPr>
          <t>Jack Mumford:
CradlePoint Training</t>
        </r>
      </text>
    </comment>
    <comment ref="IL12" authorId="2" shapeId="0" xr:uid="{5731DDB3-89ED-42A2-B560-64EEA388A93B}">
      <text>
        <r>
          <rPr>
            <sz val="11"/>
            <color theme="1"/>
            <rFont val="Aptos Narrow"/>
            <family val="2"/>
            <scheme val="minor"/>
          </rPr>
          <t>Jack Mumford:
CradlePoint Training</t>
        </r>
      </text>
    </comment>
    <comment ref="IQ12" authorId="1" shapeId="0" xr:uid="{24A389E7-9793-4F8A-80EA-5D288E5368BA}">
      <text>
        <r>
          <rPr>
            <sz val="11"/>
            <color theme="1"/>
            <rFont val="Aptos Narrow"/>
            <family val="2"/>
            <scheme val="minor"/>
          </rPr>
          <t>Shane Visagie:
BABHQ</t>
        </r>
      </text>
    </comment>
    <comment ref="IW12" authorId="3" shapeId="0" xr:uid="{65F5E003-4236-4AA7-A5E2-574C1077C354}">
      <text>
        <r>
          <rPr>
            <sz val="11"/>
            <color theme="1"/>
            <rFont val="Aptos Narrow"/>
            <family val="2"/>
            <scheme val="minor"/>
          </rPr>
          <t>Amy Rawle:
Bab</t>
        </r>
      </text>
    </comment>
    <comment ref="IX12" authorId="3" shapeId="0" xr:uid="{7671D27B-0E9D-4D17-AC0D-2A63448C4B6C}">
      <text>
        <r>
          <rPr>
            <sz val="11"/>
            <color theme="1"/>
            <rFont val="Aptos Narrow"/>
            <family val="2"/>
            <scheme val="minor"/>
          </rPr>
          <t>Amy Rawle:
BaB</t>
        </r>
      </text>
    </comment>
    <comment ref="KG12" authorId="2" shapeId="0" xr:uid="{0EDBCB2F-CDA7-4130-8F21-5DDA35897E08}">
      <text>
        <r>
          <rPr>
            <sz val="11"/>
            <color theme="1"/>
            <rFont val="Aptos Narrow"/>
            <family val="2"/>
            <scheme val="minor"/>
          </rPr>
          <t>Jack Mumford:
2088 Oxford Street</t>
        </r>
      </text>
    </comment>
    <comment ref="KH12" authorId="2" shapeId="0" xr:uid="{769B9B91-4C32-43FA-8B61-2915A2405E47}">
      <text>
        <r>
          <rPr>
            <sz val="11"/>
            <color theme="1"/>
            <rFont val="Aptos Narrow"/>
            <family val="2"/>
            <scheme val="minor"/>
          </rPr>
          <t>Jack Mumford:
2088 Oxford Street</t>
        </r>
      </text>
    </comment>
    <comment ref="KM12" authorId="3" shapeId="0" xr:uid="{0B547A3F-8E18-4DD0-83D0-6930F4A6DDBA}">
      <text>
        <r>
          <rPr>
            <sz val="11"/>
            <color theme="1"/>
            <rFont val="Aptos Narrow"/>
            <family val="2"/>
            <scheme val="minor"/>
          </rPr>
          <t>Amy Rawle:
2088 Oxford Street Tues-Sat</t>
        </r>
      </text>
    </comment>
    <comment ref="KN12" authorId="3" shapeId="0" xr:uid="{5C7352EA-30DE-4A67-99A8-A351AB279164}">
      <text>
        <r>
          <rPr>
            <sz val="11"/>
            <color theme="1"/>
            <rFont val="Aptos Narrow"/>
            <family val="2"/>
            <scheme val="minor"/>
          </rPr>
          <t>Amy Rawle:
2088 Oxford Street Tues-Sat</t>
        </r>
      </text>
    </comment>
    <comment ref="KO12" authorId="3" shapeId="0" xr:uid="{FB4616B4-CA2B-4EC8-B70E-60E8DB005859}">
      <text>
        <r>
          <rPr>
            <sz val="11"/>
            <color theme="1"/>
            <rFont val="Aptos Narrow"/>
            <family val="2"/>
            <scheme val="minor"/>
          </rPr>
          <t>Amy Rawle:
2088 Oxford Street Tues-Sat</t>
        </r>
      </text>
    </comment>
    <comment ref="KP12" authorId="3" shapeId="0" xr:uid="{9CFD6753-D9CE-459B-8A9C-1F99B8FBFB4E}">
      <text>
        <r>
          <rPr>
            <sz val="11"/>
            <color theme="1"/>
            <rFont val="Aptos Narrow"/>
            <family val="2"/>
            <scheme val="minor"/>
          </rPr>
          <t>Amy Rawle:
2088 Oxford Street Tues-Sat</t>
        </r>
      </text>
    </comment>
    <comment ref="KT12" authorId="1" shapeId="0" xr:uid="{1A9A23BC-16D8-4AE0-98AD-7E648E154F82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Z12" authorId="1" shapeId="0" xr:uid="{7A7324C7-26BA-4513-A934-166B9DFB200A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LA12" authorId="1" shapeId="0" xr:uid="{B2D2F3AE-C5EA-4442-8534-1901AACC1496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T13" authorId="2" shapeId="0" xr:uid="{36A9BA31-A742-4542-B8CF-17D863458760}">
      <text>
        <r>
          <rPr>
            <sz val="11"/>
            <color theme="1"/>
            <rFont val="Aptos Narrow"/>
            <family val="2"/>
            <scheme val="minor"/>
          </rPr>
          <t>(Van Broken)</t>
        </r>
      </text>
    </comment>
    <comment ref="DH14" authorId="1" shapeId="0" xr:uid="{27DBDE4F-6F69-40F0-8C3D-2F336A18ADAE}">
      <text>
        <r>
          <rPr>
            <sz val="11"/>
            <color theme="1"/>
            <rFont val="Aptos Narrow"/>
            <family val="2"/>
            <scheme val="minor"/>
          </rPr>
          <t>Shane Visagie:
On-Site requirement for new Lease Line install at VSOC</t>
        </r>
      </text>
    </comment>
    <comment ref="GF14" authorId="1" shapeId="0" xr:uid="{9B93219A-6E20-4599-82E3-1077843B961C}">
      <text>
        <r>
          <rPr>
            <sz val="11"/>
            <color theme="1"/>
            <rFont val="Aptos Narrow"/>
            <family val="2"/>
            <scheme val="minor"/>
          </rPr>
          <t xml:space="preserve">BAB project </t>
        </r>
      </text>
    </comment>
    <comment ref="HO14" authorId="2" shapeId="0" xr:uid="{4325FAE9-C5EA-46AD-8059-5037ED756599}">
      <text>
        <r>
          <rPr>
            <sz val="11"/>
            <color theme="1"/>
            <rFont val="Aptos Narrow"/>
            <family val="2"/>
            <scheme val="minor"/>
          </rPr>
          <t>Jack Mumford:
Appointment 15:20</t>
        </r>
      </text>
    </comment>
    <comment ref="JG14" authorId="1" shapeId="0" xr:uid="{CF5B1BAF-9CDD-4AD9-A3FF-ABDF98681E63}">
      <text>
        <r>
          <rPr>
            <sz val="11"/>
            <color theme="1"/>
            <rFont val="Aptos Narrow"/>
            <family val="2"/>
            <scheme val="minor"/>
          </rPr>
          <t>Shane Visagie:
Half day - Afternoon Off</t>
        </r>
      </text>
    </comment>
    <comment ref="H16" authorId="0" shapeId="0" xr:uid="{8A200451-BAA8-4C0F-ADE0-121770514369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K16" authorId="0" shapeId="0" xr:uid="{ADABCEE4-372A-4A23-8466-632E05566097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L16" authorId="0" shapeId="0" xr:uid="{12B89B61-951F-4017-8A85-1440437821F2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M16" authorId="0" shapeId="0" xr:uid="{0E69DE2D-49E1-481E-BE04-EC4A93D74FC7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N16" authorId="0" shapeId="0" xr:uid="{07AF8C39-9FF7-45A8-847F-C2EB1C8A4A37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O16" authorId="0" shapeId="0" xr:uid="{3C49E906-0047-45A9-B90F-0183A2D9F1A3}">
      <text>
        <r>
          <rPr>
            <sz val="11"/>
            <color theme="1"/>
            <rFont val="Aptos Narrow"/>
            <family val="2"/>
            <scheme val="minor"/>
          </rPr>
          <t>GHC Project</t>
        </r>
      </text>
    </comment>
    <comment ref="R16" authorId="0" shapeId="0" xr:uid="{F970C335-5F80-4CD9-B946-8C5967B0EFA4}">
      <text>
        <r>
          <rPr>
            <sz val="11"/>
            <color theme="1"/>
            <rFont val="Aptos Narrow"/>
            <family val="2"/>
            <scheme val="minor"/>
          </rPr>
          <t>ITIL V4 Foundation</t>
        </r>
      </text>
    </comment>
    <comment ref="S16" authorId="0" shapeId="0" xr:uid="{0F8581E8-544B-4E72-8667-01EE3DF183F3}">
      <text>
        <r>
          <rPr>
            <sz val="11"/>
            <color theme="1"/>
            <rFont val="Aptos Narrow"/>
            <family val="2"/>
            <scheme val="minor"/>
          </rPr>
          <t>ITIL V4 Foundation</t>
        </r>
      </text>
    </comment>
    <comment ref="AB16" authorId="0" shapeId="0" xr:uid="{0BB8CCE0-2A7A-499C-A67D-6FBFA222B79A}">
      <text>
        <r>
          <rPr>
            <sz val="11"/>
            <color theme="1"/>
            <rFont val="Aptos Narrow"/>
            <family val="2"/>
            <scheme val="minor"/>
          </rPr>
          <t>Karl Smith:
At Yondr</t>
        </r>
      </text>
    </comment>
    <comment ref="AC16" authorId="0" shapeId="0" xr:uid="{9DE807B1-D6FC-451E-8B42-6480323C0B71}">
      <text>
        <r>
          <rPr>
            <sz val="11"/>
            <color theme="1"/>
            <rFont val="Aptos Narrow"/>
            <family val="2"/>
            <scheme val="minor"/>
          </rPr>
          <t>Karl Smith:
At Yondr</t>
        </r>
      </text>
    </comment>
    <comment ref="AF16" authorId="0" shapeId="0" xr:uid="{53FF078A-CABC-44A7-841B-1C40EE3318D7}">
      <text>
        <r>
          <rPr>
            <sz val="11"/>
            <color theme="1"/>
            <rFont val="Aptos Narrow"/>
            <family val="2"/>
            <scheme val="minor"/>
          </rPr>
          <t>Karl Smith:
Install of LPS Clapham</t>
        </r>
      </text>
    </comment>
    <comment ref="AG16" authorId="0" shapeId="0" xr:uid="{AD951FCD-833A-4759-984A-1C5E71359B6A}">
      <text>
        <r>
          <rPr>
            <sz val="11"/>
            <color theme="1"/>
            <rFont val="Aptos Narrow"/>
            <family val="2"/>
            <scheme val="minor"/>
          </rPr>
          <t>Karl Smith:
Install of LPS Clapham</t>
        </r>
      </text>
    </comment>
    <comment ref="AT16" authorId="0" shapeId="0" xr:uid="{D057F89B-AA89-49D5-94C2-77271FFC3734}">
      <text>
        <r>
          <rPr>
            <sz val="11"/>
            <color theme="1"/>
            <rFont val="Aptos Narrow"/>
            <family val="2"/>
            <scheme val="minor"/>
          </rPr>
          <t>LPS Project</t>
        </r>
      </text>
    </comment>
    <comment ref="AU16" authorId="0" shapeId="0" xr:uid="{3918C604-D699-4A88-9492-D4A9F80CA607}">
      <text>
        <r>
          <rPr>
            <sz val="11"/>
            <color theme="1"/>
            <rFont val="Aptos Narrow"/>
            <family val="2"/>
            <scheme val="minor"/>
          </rPr>
          <t>Remote LPS</t>
        </r>
      </text>
    </comment>
    <comment ref="BA16" authorId="2" shapeId="0" xr:uid="{79921D3C-E4BC-491A-991D-297A7F3CC926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B16" authorId="2" shapeId="0" xr:uid="{CD71AE51-E6DF-4B36-B757-319179B830D1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C16" authorId="2" shapeId="0" xr:uid="{4E3EB27F-AA1B-4E44-BFE3-45536AF1B0F9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D16" authorId="2" shapeId="0" xr:uid="{608DE04F-FD4F-4D94-B441-04D8766D00F1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E16" authorId="2" shapeId="0" xr:uid="{76D15266-1064-4F67-806A-8B82F23805D3}">
      <text>
        <r>
          <rPr>
            <sz val="11"/>
            <color theme="1"/>
            <rFont val="Aptos Narrow"/>
            <family val="2"/>
            <scheme val="minor"/>
          </rPr>
          <t>Onsite GHC</t>
        </r>
      </text>
    </comment>
    <comment ref="BH16" authorId="1" shapeId="0" xr:uid="{334484C2-2FED-41D2-82E1-3A72317D3D96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I16" authorId="1" shapeId="0" xr:uid="{3D1F5540-93DE-4E90-B856-8429E9B6E4E2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J16" authorId="1" shapeId="0" xr:uid="{802C4407-EB38-45D6-83EF-323D848F40FC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DG16" authorId="1" shapeId="0" xr:uid="{2ABD778E-5B5D-45DB-BE7E-E29631BB6E34}">
      <text>
        <r>
          <rPr>
            <sz val="11"/>
            <color theme="1"/>
            <rFont val="Aptos Narrow"/>
            <family val="2"/>
            <scheme val="minor"/>
          </rPr>
          <t>Shane Visagie:
Yondr</t>
        </r>
      </text>
    </comment>
    <comment ref="DH16" authorId="1" shapeId="0" xr:uid="{DD89A634-1625-4AB0-831D-0D0E5D55F887}">
      <text>
        <r>
          <rPr>
            <sz val="11"/>
            <color theme="1"/>
            <rFont val="Aptos Narrow"/>
            <family val="2"/>
            <scheme val="minor"/>
          </rPr>
          <t>Shane Visagie:
Yondr</t>
        </r>
      </text>
    </comment>
    <comment ref="DL16" authorId="2" shapeId="0" xr:uid="{0094A2C5-5BC1-4E14-87F5-B6C5A1E8A470}">
      <text>
        <r>
          <rPr>
            <sz val="11"/>
            <color theme="1"/>
            <rFont val="Aptos Narrow"/>
            <family val="2"/>
            <scheme val="minor"/>
          </rPr>
          <t>Jack Mumford:
Completely Motoring migration</t>
        </r>
      </text>
    </comment>
    <comment ref="DO16" authorId="1" shapeId="0" xr:uid="{CD30AB69-EBE3-4A6A-8E03-F19D605FDD92}">
      <text>
        <r>
          <rPr>
            <sz val="11"/>
            <color theme="1"/>
            <rFont val="Aptos Narrow"/>
            <family val="2"/>
            <scheme val="minor"/>
          </rPr>
          <t>Shane Visagie:
Yondr</t>
        </r>
      </text>
    </comment>
    <comment ref="DV16" authorId="1" shapeId="0" xr:uid="{739E42C5-4942-40DE-9B28-CE053A38A0DE}">
      <text>
        <r>
          <rPr>
            <sz val="11"/>
            <color theme="1"/>
            <rFont val="Aptos Narrow"/>
            <family val="2"/>
            <scheme val="minor"/>
          </rPr>
          <t>Shane Visagie:
Yondr</t>
        </r>
      </text>
    </comment>
    <comment ref="FY16" authorId="1" shapeId="0" xr:uid="{4B7F0B06-C2FA-4DDB-AEE6-B8B5E500880C}">
      <text>
        <r>
          <rPr>
            <sz val="11"/>
            <color theme="1"/>
            <rFont val="Aptos Narrow"/>
            <family val="2"/>
            <scheme val="minor"/>
          </rPr>
          <t xml:space="preserve">BAB Project - priced under projects cost centre
</t>
        </r>
      </text>
    </comment>
    <comment ref="FZ16" authorId="1" shapeId="0" xr:uid="{C8B1D0CF-BFFA-44A6-B70A-CA0ACD15C81C}">
      <text>
        <r>
          <rPr>
            <sz val="11"/>
            <color theme="1"/>
            <rFont val="Aptos Narrow"/>
            <family val="2"/>
            <scheme val="minor"/>
          </rPr>
          <t>Shane Visagie:
Attending Allstone</t>
        </r>
      </text>
    </comment>
    <comment ref="GK16" authorId="1" shapeId="0" xr:uid="{DCBCD96E-895D-4D95-AF77-1449DB2011CA}">
      <text>
        <r>
          <rPr>
            <sz val="11"/>
            <color theme="1"/>
            <rFont val="Aptos Narrow"/>
            <family val="2"/>
            <scheme val="minor"/>
          </rPr>
          <t xml:space="preserve">BAB Project 
</t>
        </r>
      </text>
    </comment>
    <comment ref="GT16" authorId="1" shapeId="0" xr:uid="{61104819-9F15-4BA1-BFEC-B2BF04E74014}">
      <text>
        <r>
          <rPr>
            <sz val="11"/>
            <color theme="1"/>
            <rFont val="Aptos Narrow"/>
            <family val="2"/>
            <scheme val="minor"/>
          </rPr>
          <t xml:space="preserve">Yondr Project 
</t>
        </r>
      </text>
    </comment>
    <comment ref="GZ16" authorId="1" shapeId="0" xr:uid="{151930EC-7E98-438C-B12E-61785954F212}">
      <text>
        <r>
          <rPr>
            <sz val="11"/>
            <color theme="1"/>
            <rFont val="Aptos Narrow"/>
            <family val="2"/>
            <scheme val="minor"/>
          </rPr>
          <t xml:space="preserve">Yondr Project 
</t>
        </r>
      </text>
    </comment>
    <comment ref="HC16" authorId="2" shapeId="0" xr:uid="{A3B23834-FAC6-45CE-BAAE-07BA970AF917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ID16" authorId="1" shapeId="0" xr:uid="{FED9663B-E264-464A-A81D-61A9183FBB2E}">
      <text>
        <r>
          <rPr>
            <sz val="11"/>
            <color theme="1"/>
            <rFont val="Aptos Narrow"/>
            <family val="2"/>
            <scheme val="minor"/>
          </rPr>
          <t>Shane Visagie:
Helping Pete Woodsford in Scunthorpe</t>
        </r>
      </text>
    </comment>
    <comment ref="IE16" authorId="1" shapeId="0" xr:uid="{5B112729-7616-4FCF-8664-81D7CF2B2D9B}">
      <text>
        <r>
          <rPr>
            <sz val="11"/>
            <color theme="1"/>
            <rFont val="Aptos Narrow"/>
            <family val="2"/>
            <scheme val="minor"/>
          </rPr>
          <t>Shane Visagie:
Helping Pete Woodsford in Scunthorpe</t>
        </r>
      </text>
    </comment>
    <comment ref="IQ16" authorId="2" shapeId="0" xr:uid="{3B76AC16-F9B6-4791-A418-5D9A11FB6DB8}">
      <text>
        <r>
          <rPr>
            <sz val="11"/>
            <color theme="1"/>
            <rFont val="Aptos Narrow"/>
            <family val="2"/>
            <scheme val="minor"/>
          </rPr>
          <t>Jack Mumford:
VSOC doing networking</t>
        </r>
      </text>
    </comment>
    <comment ref="IR16" authorId="2" shapeId="0" xr:uid="{B294701A-D0DF-4374-8486-4788D1ED4572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IS16" authorId="2" shapeId="0" xr:uid="{DDEC50C2-09F8-4755-87CE-49B2B5563253}">
      <text>
        <r>
          <rPr>
            <sz val="11"/>
            <color theme="1"/>
            <rFont val="Aptos Narrow"/>
            <family val="2"/>
            <scheme val="minor"/>
          </rPr>
          <t>Jack Mumford:
Hub &amp; and UPA Stamp</t>
        </r>
      </text>
    </comment>
    <comment ref="JN16" authorId="2" shapeId="0" xr:uid="{347174AE-F311-4D44-A520-94CA0AB558F0}">
      <text>
        <r>
          <rPr>
            <sz val="11"/>
            <color theme="1"/>
            <rFont val="Aptos Narrow"/>
            <family val="2"/>
            <scheme val="minor"/>
          </rPr>
          <t>Jack Mumford:
Appointment at 14:30</t>
        </r>
      </text>
    </comment>
    <comment ref="JS16" authorId="2" shapeId="0" xr:uid="{7DDD7919-4BEC-43E5-8F33-CD1F96CFD981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JT16" authorId="1" shapeId="0" xr:uid="{B4FB9B84-319D-4E15-85CE-43BCF16E9076}">
      <text>
        <r>
          <rPr>
            <sz val="11"/>
            <color theme="1"/>
            <rFont val="Aptos Narrow"/>
            <family val="2"/>
            <scheme val="minor"/>
          </rPr>
          <t>Shane Visagie:
Station Hill</t>
        </r>
      </text>
    </comment>
    <comment ref="KG16" authorId="2" shapeId="0" xr:uid="{4FCE1088-F12C-43F4-A7FC-D32350D3CF88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KH16" authorId="2" shapeId="0" xr:uid="{5151F04E-FB1D-42D9-84D1-4A22D68A66FA}">
      <text>
        <r>
          <rPr>
            <sz val="11"/>
            <color theme="1"/>
            <rFont val="Aptos Narrow"/>
            <family val="2"/>
            <scheme val="minor"/>
          </rPr>
          <t>Jack Mumford:
Croft Solicitors (RAM upgrades)</t>
        </r>
      </text>
    </comment>
    <comment ref="KI16" authorId="1" shapeId="0" xr:uid="{D7DF518A-0A51-4872-8243-274B23AF8C1E}">
      <text>
        <r>
          <rPr>
            <sz val="11"/>
            <color theme="1"/>
            <rFont val="Aptos Narrow"/>
            <family val="2"/>
            <scheme val="minor"/>
          </rPr>
          <t>Shane Visagie:
Job 42291 - Red Sav Laptop Setups</t>
        </r>
      </text>
    </comment>
    <comment ref="KN16" authorId="3" shapeId="0" xr:uid="{D20136D9-2FA7-4768-A735-3F84FF97BFCE}">
      <text>
        <r>
          <rPr>
            <sz val="11"/>
            <color theme="1"/>
            <rFont val="Aptos Narrow"/>
            <family val="2"/>
            <scheme val="minor"/>
          </rPr>
          <t>Amy Rawle:
Padpilot</t>
        </r>
      </text>
    </comment>
    <comment ref="KO16" authorId="3" shapeId="0" xr:uid="{41BE792D-1E5F-4571-9434-22621F4372F1}">
      <text>
        <r>
          <rPr>
            <sz val="11"/>
            <color theme="1"/>
            <rFont val="Aptos Narrow"/>
            <family val="2"/>
            <scheme val="minor"/>
          </rPr>
          <t>Amy Rawle:
VSOC
Auxhillias site visit for printer</t>
        </r>
      </text>
    </comment>
    <comment ref="KS16" authorId="1" shapeId="0" xr:uid="{7223A66E-56AB-4663-BC9D-F94E704E1A58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T16" authorId="1" shapeId="0" xr:uid="{1A7AB553-6404-4CCA-8E39-9B4BC7282678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W16" authorId="1" shapeId="0" xr:uid="{14EF4C1F-BBEE-431E-9CE7-B76562E0F422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N17" authorId="2" shapeId="0" xr:uid="{35F8EAD4-8921-4D4F-BBE5-0FD42402D548}">
      <text>
        <r>
          <rPr>
            <sz val="11"/>
            <color theme="1"/>
            <rFont val="Aptos Narrow"/>
            <family val="2"/>
            <scheme val="minor"/>
          </rPr>
          <t>Onsite at Simpson Associates - London</t>
        </r>
      </text>
    </comment>
    <comment ref="AO17" authorId="2" shapeId="0" xr:uid="{B9AEBCCE-DC15-4852-868E-A1A3D74A99FA}">
      <text>
        <r>
          <rPr>
            <sz val="11"/>
            <color theme="1"/>
            <rFont val="Aptos Narrow"/>
            <family val="2"/>
            <scheme val="minor"/>
          </rPr>
          <t>At Eaton House Schools</t>
        </r>
      </text>
    </comment>
    <comment ref="AT17" authorId="0" shapeId="0" xr:uid="{A8D8BBE8-9982-4C02-BF87-4430FC7A0EA3}">
      <text>
        <r>
          <rPr>
            <sz val="11"/>
            <color theme="1"/>
            <rFont val="Aptos Narrow"/>
            <family val="2"/>
            <scheme val="minor"/>
          </rPr>
          <t>LPS Project</t>
        </r>
      </text>
    </comment>
    <comment ref="AU17" authorId="0" shapeId="0" xr:uid="{AC48805F-6F77-4973-9271-66F159870752}">
      <text>
        <r>
          <rPr>
            <sz val="11"/>
            <color theme="1"/>
            <rFont val="Aptos Narrow"/>
            <family val="2"/>
            <scheme val="minor"/>
          </rPr>
          <t>LPS Project</t>
        </r>
      </text>
    </comment>
    <comment ref="AV17" authorId="0" shapeId="0" xr:uid="{852546B3-A8E2-4240-8552-29457441ED6D}">
      <text>
        <r>
          <rPr>
            <sz val="11"/>
            <color theme="1"/>
            <rFont val="Aptos Narrow"/>
            <family val="2"/>
            <scheme val="minor"/>
          </rPr>
          <t>LPS Project</t>
        </r>
      </text>
    </comment>
    <comment ref="DG17" authorId="1" shapeId="0" xr:uid="{5AB76F1E-EC40-4A30-9342-9565D3363060}">
      <text>
        <r>
          <rPr>
            <sz val="11"/>
            <color theme="1"/>
            <rFont val="Aptos Narrow"/>
            <family val="2"/>
            <scheme val="minor"/>
          </rPr>
          <t>Shane Visagie:
Wi-Fi Survey CYP London</t>
        </r>
      </text>
    </comment>
    <comment ref="FR17" authorId="1" shapeId="0" xr:uid="{F7773EB9-FB15-47E4-878E-E13026F001AE}">
      <text>
        <r>
          <rPr>
            <sz val="11"/>
            <color theme="1"/>
            <rFont val="Aptos Narrow"/>
            <family val="2"/>
            <scheme val="minor"/>
          </rPr>
          <t xml:space="preserve">BAB Project - priced under projects cost centre
</t>
        </r>
      </text>
    </comment>
    <comment ref="GF17" authorId="1" shapeId="0" xr:uid="{4D5A6F9A-552F-45FC-93F8-8EF069952C97}">
      <text>
        <r>
          <rPr>
            <sz val="11"/>
            <color theme="1"/>
            <rFont val="Aptos Narrow"/>
            <family val="2"/>
            <scheme val="minor"/>
          </rPr>
          <t>LPS Hollywood</t>
        </r>
      </text>
    </comment>
    <comment ref="GG17" authorId="1" shapeId="0" xr:uid="{95289AB2-C6D5-4FDC-B3A9-6172B228479C}">
      <text>
        <r>
          <rPr>
            <sz val="11"/>
            <color theme="1"/>
            <rFont val="Aptos Narrow"/>
            <family val="2"/>
            <scheme val="minor"/>
          </rPr>
          <t xml:space="preserve">LPS Hollywood
</t>
        </r>
      </text>
    </comment>
    <comment ref="GK17" authorId="1" shapeId="0" xr:uid="{C4423813-4780-4235-AC4C-1E31E4BEBF94}">
      <text>
        <r>
          <rPr>
            <sz val="11"/>
            <color theme="1"/>
            <rFont val="Aptos Narrow"/>
            <family val="2"/>
            <scheme val="minor"/>
          </rPr>
          <t xml:space="preserve">BAB Project 
</t>
        </r>
      </text>
    </comment>
    <comment ref="GL17" authorId="1" shapeId="0" xr:uid="{6B164938-81C8-4F9E-8160-FFF0E7F115E6}">
      <text>
        <r>
          <rPr>
            <sz val="11"/>
            <color theme="1"/>
            <rFont val="Aptos Narrow"/>
            <family val="2"/>
            <scheme val="minor"/>
          </rPr>
          <t xml:space="preserve">LPS Project
</t>
        </r>
      </text>
    </comment>
    <comment ref="GM17" authorId="1" shapeId="0" xr:uid="{A75DB047-A46F-4DBD-9C25-F1FC6DBCDE68}">
      <text>
        <r>
          <rPr>
            <sz val="11"/>
            <color theme="1"/>
            <rFont val="Aptos Narrow"/>
            <family val="2"/>
            <scheme val="minor"/>
          </rPr>
          <t xml:space="preserve">BAB Project 
</t>
        </r>
      </text>
    </comment>
    <comment ref="KG17" authorId="2" shapeId="0" xr:uid="{498FD9F3-E055-41A6-8100-E37E0CB9914C}">
      <text>
        <r>
          <rPr>
            <sz val="11"/>
            <color theme="1"/>
            <rFont val="Aptos Narrow"/>
            <family val="2"/>
            <scheme val="minor"/>
          </rPr>
          <t>Jack Mumford:
2088 Oxford Street</t>
        </r>
      </text>
    </comment>
    <comment ref="KH17" authorId="2" shapeId="0" xr:uid="{7F98C6EE-8FE6-44DF-817E-B2149B32D339}">
      <text>
        <r>
          <rPr>
            <sz val="11"/>
            <color theme="1"/>
            <rFont val="Aptos Narrow"/>
            <family val="2"/>
            <scheme val="minor"/>
          </rPr>
          <t>Jack Mumford:
2088 Oxford Street</t>
        </r>
      </text>
    </comment>
    <comment ref="AT19" authorId="2" shapeId="0" xr:uid="{463C2CDF-7794-4A08-8180-377238F92DDB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U19" authorId="2" shapeId="0" xr:uid="{7876947B-ED4D-4D0C-9C74-4A4E004631A2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V19" authorId="2" shapeId="0" xr:uid="{8EE01DDE-A132-4E95-AE4D-FC28F9C2E672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W19" authorId="2" shapeId="0" xr:uid="{B1D150CA-0D61-48A2-95E8-AF258EC83F4C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AX19" authorId="2" shapeId="0" xr:uid="{EBCAA1A6-C17A-4415-9F69-D261AA803F4A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A19" authorId="2" shapeId="0" xr:uid="{701B6605-6FEC-4F46-B3D8-0870A22D65B5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B19" authorId="2" shapeId="0" xr:uid="{DD318F39-AA4A-40CD-8C72-08C3FA19B951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C19" authorId="2" shapeId="0" xr:uid="{E53CF409-00A1-42CE-9ACE-4717B8E0106A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D19" authorId="2" shapeId="0" xr:uid="{FA1470E2-C6D7-4DD5-80B2-F4749C977167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E19" authorId="2" shapeId="0" xr:uid="{BF1AF21A-C431-4402-B025-DC8457FFCD97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H19" authorId="2" shapeId="0" xr:uid="{F716D8B2-4E51-4BEE-94C0-09F665B08CE5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I19" authorId="2" shapeId="0" xr:uid="{D60BE757-2344-4BB7-A50B-1E42AEA5F6C6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J19" authorId="2" shapeId="0" xr:uid="{5957CE0E-2D95-499F-9DE8-F396BFC0130E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K19" authorId="2" shapeId="0" xr:uid="{C4180D2F-7CFB-4994-8EF1-1B8BBFC6E40E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BL19" authorId="2" shapeId="0" xr:uid="{46EA72EC-1495-4833-8CB2-778186E91848}">
      <text>
        <r>
          <rPr>
            <sz val="11"/>
            <color theme="1"/>
            <rFont val="Aptos Narrow"/>
            <family val="2"/>
            <scheme val="minor"/>
          </rPr>
          <t>Yondr</t>
        </r>
      </text>
    </comment>
    <comment ref="HC19" authorId="2" shapeId="0" xr:uid="{4330C1C1-CCC6-4A64-AE6B-626C15160380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BH20" authorId="1" shapeId="0" xr:uid="{3F05E998-1B40-481D-B469-0550BD37A6B7}">
      <text>
        <r>
          <rPr>
            <sz val="11"/>
            <color theme="1"/>
            <rFont val="Aptos Narrow"/>
            <family val="2"/>
            <scheme val="minor"/>
          </rPr>
          <t>Shane Visagie:
CCNA</t>
        </r>
      </text>
    </comment>
    <comment ref="BI20" authorId="1" shapeId="0" xr:uid="{C3E8C8AB-E548-4899-B2EA-101EC5B8EFD7}">
      <text>
        <r>
          <rPr>
            <sz val="11"/>
            <color theme="1"/>
            <rFont val="Aptos Narrow"/>
            <family val="2"/>
            <scheme val="minor"/>
          </rPr>
          <t>Shane Visagie:
CCNA</t>
        </r>
      </text>
    </comment>
    <comment ref="BJ20" authorId="1" shapeId="0" xr:uid="{37786A75-EC58-4DE6-B644-4113E1A520F3}">
      <text>
        <r>
          <rPr>
            <sz val="11"/>
            <color theme="1"/>
            <rFont val="Aptos Narrow"/>
            <family val="2"/>
            <scheme val="minor"/>
          </rPr>
          <t>Shane Visagie:
CCNA</t>
        </r>
      </text>
    </comment>
    <comment ref="BK20" authorId="1" shapeId="0" xr:uid="{B3913E78-B71E-41ED-83C4-5C56DC429F99}">
      <text>
        <r>
          <rPr>
            <sz val="11"/>
            <color theme="1"/>
            <rFont val="Aptos Narrow"/>
            <family val="2"/>
            <scheme val="minor"/>
          </rPr>
          <t>Shane Visagie:
CCNA</t>
        </r>
      </text>
    </comment>
    <comment ref="BL20" authorId="1" shapeId="0" xr:uid="{DD78D237-8FF8-43AC-A745-8393D8153B98}">
      <text>
        <r>
          <rPr>
            <sz val="11"/>
            <color theme="1"/>
            <rFont val="Aptos Narrow"/>
            <family val="2"/>
            <scheme val="minor"/>
          </rPr>
          <t>Shane Visagie:
CCNA</t>
        </r>
      </text>
    </comment>
    <comment ref="DW20" authorId="1" shapeId="0" xr:uid="{400077A8-75E2-4FE6-BEE3-AD3E4F87660C}">
      <text>
        <r>
          <rPr>
            <sz val="11"/>
            <color theme="1"/>
            <rFont val="Aptos Narrow"/>
            <family val="2"/>
            <scheme val="minor"/>
          </rPr>
          <t>Shane Visagie:
Assisting on-site with Ingenia new Leased Line issue</t>
        </r>
      </text>
    </comment>
    <comment ref="HC20" authorId="2" shapeId="0" xr:uid="{BB91740B-66E0-4DDA-846E-E3B75A13FF06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R23" authorId="1" shapeId="0" xr:uid="{D4888D5D-819A-4496-AEC5-36DC37F6556C}">
      <text>
        <r>
          <rPr>
            <sz val="11"/>
            <color theme="1"/>
            <rFont val="Aptos Narrow"/>
            <family val="2"/>
            <scheme val="minor"/>
          </rPr>
          <t>Shane Visagie:
Attempted ITIL Exam at 10:30. Website Broken could not write</t>
        </r>
      </text>
    </comment>
    <comment ref="Y23" authorId="1" shapeId="0" xr:uid="{4E0DD07C-942A-4CFB-BC0A-2482C6C26844}">
      <text>
        <r>
          <rPr>
            <sz val="11"/>
            <color theme="1"/>
            <rFont val="Aptos Narrow"/>
            <family val="2"/>
            <scheme val="minor"/>
          </rPr>
          <t>Shane Visagie:
Helping with tickets</t>
        </r>
      </text>
    </comment>
    <comment ref="Z23" authorId="1" shapeId="0" xr:uid="{51379E0D-6010-4CA4-8A49-021C25EFA48E}">
      <text>
        <r>
          <rPr>
            <sz val="11"/>
            <color theme="1"/>
            <rFont val="Aptos Narrow"/>
            <family val="2"/>
            <scheme val="minor"/>
          </rPr>
          <t>Shane Visagie:
Helping with tickets</t>
        </r>
      </text>
    </comment>
    <comment ref="AA23" authorId="1" shapeId="0" xr:uid="{ADB93E01-E4DE-4104-9C96-E28232C3721D}">
      <text>
        <r>
          <rPr>
            <sz val="11"/>
            <color theme="1"/>
            <rFont val="Aptos Narrow"/>
            <family val="2"/>
            <scheme val="minor"/>
          </rPr>
          <t>Shane Visagie:
Helping with tickets</t>
        </r>
      </text>
    </comment>
    <comment ref="AB23" authorId="0" shapeId="0" xr:uid="{5EC1ECB7-BE10-463B-A869-2227C0FF11D0}">
      <text>
        <r>
          <rPr>
            <sz val="11"/>
            <color theme="1"/>
            <rFont val="Aptos Narrow"/>
            <family val="2"/>
            <scheme val="minor"/>
          </rPr>
          <t>Shane Visagie:
Simpson Cyber Essentials</t>
        </r>
      </text>
    </comment>
    <comment ref="AU23" authorId="1" shapeId="0" xr:uid="{69C66D13-FEA1-4A45-B9EF-FB2D29A93AAC}">
      <text>
        <r>
          <rPr>
            <sz val="11"/>
            <color theme="1"/>
            <rFont val="Aptos Narrow"/>
            <family val="2"/>
            <scheme val="minor"/>
          </rPr>
          <t>Shane Visagie:
On-site handover for Holmleigh care 11:00-12:30</t>
        </r>
      </text>
    </comment>
    <comment ref="FR23" authorId="1" shapeId="0" xr:uid="{6241882F-973D-45E0-8D33-E3CE2C4853A5}">
      <text>
        <r>
          <rPr>
            <sz val="11"/>
            <color theme="1"/>
            <rFont val="Aptos Narrow"/>
            <family val="2"/>
            <scheme val="minor"/>
          </rPr>
          <t>Shane Visagie:
Resolving AllStone Network issues</t>
        </r>
      </text>
    </comment>
    <comment ref="Y24" authorId="1" shapeId="0" xr:uid="{E0BBA02F-F403-4D85-8A65-851A199A4422}">
      <text>
        <r>
          <rPr>
            <sz val="11"/>
            <color theme="1"/>
            <rFont val="Aptos Narrow"/>
            <family val="2"/>
            <scheme val="minor"/>
          </rPr>
          <t>Shane Visagie:
Helping with tickets</t>
        </r>
      </text>
    </comment>
    <comment ref="AA24" authorId="1" shapeId="0" xr:uid="{4AAD4C09-A1AC-4BC3-9209-A2AB66D00C87}">
      <text>
        <r>
          <rPr>
            <sz val="11"/>
            <color theme="1"/>
            <rFont val="Aptos Narrow"/>
            <family val="2"/>
            <scheme val="minor"/>
          </rPr>
          <t>Shane Visagie:
Helping with tickets</t>
        </r>
      </text>
    </comment>
    <comment ref="AP24" authorId="2" shapeId="0" xr:uid="{F1FFCE40-32E0-498E-B7BA-929600E6F388}">
      <text>
        <r>
          <rPr>
            <sz val="11"/>
            <color theme="1"/>
            <rFont val="Aptos Narrow"/>
            <family val="2"/>
            <scheme val="minor"/>
          </rPr>
          <t xml:space="preserve">WFH
</t>
        </r>
      </text>
    </comment>
    <comment ref="AQ24" authorId="2" shapeId="0" xr:uid="{1F24F540-948C-4644-AD55-7F939FD1ED7B}">
      <text>
        <r>
          <rPr>
            <sz val="11"/>
            <color theme="1"/>
            <rFont val="Aptos Narrow"/>
            <family val="2"/>
            <scheme val="minor"/>
          </rPr>
          <t>Onsite at VSOC</t>
        </r>
      </text>
    </comment>
    <comment ref="AT24" authorId="2" shapeId="0" xr:uid="{A191A429-BC43-4B0E-A357-CC085ECACCBB}">
      <text>
        <r>
          <rPr>
            <sz val="11"/>
            <color theme="1"/>
            <rFont val="Aptos Narrow"/>
            <family val="2"/>
            <scheme val="minor"/>
          </rPr>
          <t>Jack Mumford:
Afternoon of CE+</t>
        </r>
      </text>
    </comment>
    <comment ref="BJ24" authorId="2" shapeId="0" xr:uid="{861F31B8-93F7-4DE5-9598-3F368E50D603}">
      <text>
        <r>
          <rPr>
            <sz val="11"/>
            <color theme="1"/>
            <rFont val="Aptos Narrow"/>
            <family val="2"/>
            <scheme val="minor"/>
          </rPr>
          <t>London - Client meetings</t>
        </r>
      </text>
    </comment>
    <comment ref="CC24" authorId="2" shapeId="0" xr:uid="{B1A0238B-A365-4BE0-8305-B6377B968048}">
      <text>
        <r>
          <rPr>
            <sz val="11"/>
            <color theme="1"/>
            <rFont val="Aptos Narrow"/>
            <family val="2"/>
            <scheme val="minor"/>
          </rPr>
          <t>Jack Mumford:
WFH in the morning</t>
        </r>
      </text>
    </comment>
    <comment ref="DA24" authorId="1" shapeId="0" xr:uid="{9699A7DD-084C-4FF6-95F7-EBEF8D2265BF}">
      <text>
        <r>
          <rPr>
            <sz val="11"/>
            <color theme="1"/>
            <rFont val="Aptos Narrow"/>
            <family val="2"/>
            <scheme val="minor"/>
          </rPr>
          <t>Shane Visagie:
Half day at GHC Teaching SRM</t>
        </r>
      </text>
    </comment>
    <comment ref="HC24" authorId="2" shapeId="0" xr:uid="{0DA0CFB8-C018-4F1A-B951-39B21F310949}">
      <text>
        <r>
          <rPr>
            <sz val="11"/>
            <color theme="1"/>
            <rFont val="Aptos Narrow"/>
            <family val="2"/>
            <scheme val="minor"/>
          </rPr>
          <t>Smoothwall Configuration training</t>
        </r>
      </text>
    </comment>
    <comment ref="JM24" authorId="2" shapeId="0" xr:uid="{BBE6C6E0-663C-400D-8454-3CB8BD67905B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JQ24" authorId="2" shapeId="0" xr:uid="{188927E0-4744-4111-AA9A-45C6EC57D97E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JR24" authorId="2" shapeId="0" xr:uid="{14FD6D7E-4654-426C-966B-DBEC8251A0EC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JX24" authorId="1" shapeId="0" xr:uid="{167E9628-EDDA-4F36-9772-BFC15F6F3593}">
      <text>
        <r>
          <rPr>
            <sz val="11"/>
            <color theme="1"/>
            <rFont val="Aptos Narrow"/>
            <family val="2"/>
            <scheme val="minor"/>
          </rPr>
          <t>Shane Visagie:
VSOC DR Test</t>
        </r>
      </text>
    </comment>
    <comment ref="AH25" authorId="2" shapeId="0" xr:uid="{CE1AB8E0-B842-4F24-AB7C-822245B76A40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AI25" authorId="2" shapeId="0" xr:uid="{B5436702-FB41-4A97-AB71-7AC76AA0AFCB}">
      <text>
        <r>
          <rPr>
            <sz val="11"/>
            <color theme="1"/>
            <rFont val="Aptos Narrow"/>
            <family val="2"/>
            <scheme val="minor"/>
          </rPr>
          <t xml:space="preserve">ITIL
</t>
        </r>
      </text>
    </comment>
    <comment ref="KT27" authorId="1" shapeId="0" xr:uid="{FB15F467-0800-4A74-8FFB-CC079606B4DE}">
      <text>
        <r>
          <rPr>
            <sz val="11"/>
            <color theme="1"/>
            <rFont val="Aptos Narrow"/>
            <family val="2"/>
            <scheme val="minor"/>
          </rPr>
          <t>Shane Visagie:
Half day</t>
        </r>
      </text>
    </comment>
    <comment ref="AC28" authorId="0" shapeId="0" xr:uid="{B88E0D6C-9B1B-4B7B-8F9D-5E4831FF2785}">
      <text>
        <r>
          <rPr>
            <sz val="11"/>
            <color theme="1"/>
            <rFont val="Aptos Narrow"/>
            <family val="2"/>
            <scheme val="minor"/>
          </rPr>
          <t>Karl Smith:
Travelling to WYP. 3 X custody suites to retrieve 60+ switch configs to enable the project to proceed with minimal disruption.
Poor Planning!</t>
        </r>
      </text>
    </comment>
    <comment ref="AF28" authorId="0" shapeId="0" xr:uid="{681A93E9-B396-4DBD-98EF-F9DF911DCEB8}">
      <text>
        <r>
          <rPr>
            <sz val="11"/>
            <color theme="1"/>
            <rFont val="Aptos Narrow"/>
            <family val="2"/>
            <scheme val="minor"/>
          </rPr>
          <t>Karl Smith:
Travelling to WYP. 3 X custody suites to retrieve 60+ switch configs to enable the project to proceed with minimal disruption.
Poor Planning!</t>
        </r>
      </text>
    </comment>
    <comment ref="AT28" authorId="0" shapeId="0" xr:uid="{12D886E1-B793-4D0A-886F-3B8A3A73F64B}">
      <text>
        <r>
          <rPr>
            <sz val="11"/>
            <color theme="1"/>
            <rFont val="Aptos Narrow"/>
            <family val="2"/>
            <scheme val="minor"/>
          </rPr>
          <t>LPS Project</t>
        </r>
      </text>
    </comment>
    <comment ref="BI28" authorId="1" shapeId="0" xr:uid="{42F952E5-FE9A-4BD7-BF6D-90C918C84FD2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J28" authorId="1" shapeId="0" xr:uid="{17204500-DBA0-4173-9C00-AA302D77A27F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K28" authorId="1" shapeId="0" xr:uid="{A22CCE54-B596-4AB1-8AD8-FE7F995B32D2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L28" authorId="1" shapeId="0" xr:uid="{14D05CAA-5230-4043-B221-B20807063EE2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AG38" authorId="2" shapeId="0" xr:uid="{AC00573A-490B-403A-B882-BD60BBFF6B24}">
      <text>
        <r>
          <rPr>
            <sz val="11"/>
            <color theme="1"/>
            <rFont val="Aptos Narrow"/>
            <family val="2"/>
            <scheme val="minor"/>
          </rPr>
          <t xml:space="preserve">Sarah &amp; Dan = Builds
Sarah &amp; James = WFH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tc={5C8FC4F7-6D03-495F-BDE1-42BF79104117}</author>
    <author>tc={CD6C5B04-9B68-4E54-B641-28E564372145}</author>
    <author>tc={13F4CA1D-3B9B-496E-A585-E3A963E719E8}</author>
    <author>Rebecca Smith</author>
    <author>tc={E1925B41-7ADB-4C9B-BC13-930E2120BD38}</author>
    <author>tc={9F340D3C-A2E6-46F0-8A73-436089B40B21}</author>
    <author>tc={C3696713-4441-47B6-9331-051A8709F8B0}</author>
    <author>tc={9500D9B3-A7B0-4D1C-8056-ACB17C8E17BF}</author>
    <author>tc={08182CEF-5FA6-4CA3-AC49-12DE4F45EDAF}</author>
    <author>tc={2BEE0473-A02E-4228-B567-D7DAB851DD75}</author>
    <author>tc={C386CBEF-9B3C-426B-9738-BC6D66E53B16}</author>
    <author>tc={3CE4CAE5-557C-4F16-83FF-7E3FD117E55D}</author>
    <author>tc={C5EA1AEE-3798-4350-9AD6-98B6F3C8BDE2}</author>
    <author>tc={1219355A-0F2E-4995-BF5E-1FB530828EB3}</author>
  </authors>
  <commentList>
    <comment ref="BM1" authorId="0" shapeId="0" xr:uid="{5C8FC4F7-6D03-495F-BDE1-42BF79104117}">
      <text>
        <t>[Threaded comment]
Your version of Excel allows you to read this threaded comment; however, any edits to it will get removed if the file is opened in a newer version of Excel. Learn more: https://go.microsoft.com/fwlink/?linkid=870924
Comment:
    GHC Coverage 2-4</t>
      </text>
    </comment>
    <comment ref="P6" authorId="1" shapeId="0" xr:uid="{CD6C5B04-9B68-4E54-B641-28E564372145}">
      <text>
        <t>[Threaded comment]
Your version of Excel allows you to read this threaded comment; however, any edits to it will get removed if the file is opened in a newer version of Excel. Learn more: https://go.microsoft.com/fwlink/?linkid=870924
Comment:
    2-3 Cab tidy prep</t>
      </text>
    </comment>
    <comment ref="X6" authorId="2" shapeId="0" xr:uid="{13F4CA1D-3B9B-496E-A585-E3A963E719E8}">
      <text>
        <t>[Threaded comment]
Your version of Excel allows you to read this threaded comment; however, any edits to it will get removed if the file is opened in a newer version of Excel. Learn more: https://go.microsoft.com/fwlink/?linkid=870924
Comment:
    2-4 prep work Cab Tidy</t>
      </text>
    </comment>
    <comment ref="O7" authorId="3" shapeId="0" xr:uid="{25CC0692-CB03-4190-8A67-FFDB317FB559}">
      <text>
        <r>
          <rPr>
            <sz val="11"/>
            <color theme="1"/>
            <rFont val="Aptos Narrow"/>
            <family val="2"/>
            <scheme val="minor"/>
          </rPr>
          <t xml:space="preserve">Rebecca Smith:
Onsite </t>
        </r>
      </text>
    </comment>
    <comment ref="AM10" authorId="3" shapeId="0" xr:uid="{CEF9D53A-EBA6-4D94-988B-802B5960E103}">
      <text>
        <r>
          <rPr>
            <sz val="11"/>
            <color theme="1"/>
            <rFont val="Aptos Narrow"/>
            <family val="2"/>
            <scheme val="minor"/>
          </rPr>
          <t xml:space="preserve">Rebecca Smith:
Catch up with Alex
</t>
        </r>
      </text>
    </comment>
    <comment ref="AQ10" authorId="3" shapeId="0" xr:uid="{11558769-3BC0-4092-A09B-3E33477062DF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AS10" authorId="3" shapeId="0" xr:uid="{34D5779B-C6A4-49FE-845E-197E7DB77E5A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O12" authorId="4" shapeId="0" xr:uid="{E1925B41-7ADB-4C9B-BC13-930E2120BD38}">
      <text>
        <t>[Threaded comment]
Your version of Excel allows you to read this threaded comment; however, any edits to it will get removed if the file is opened in a newer version of Excel. Learn more: https://go.microsoft.com/fwlink/?linkid=870924
Comment:
    Brighton 2035 Site Visit - Service Ticket #95462 - 2035 - POS_002 Cash Drawer Replacement
Kingston 2089 Site Visit - Service Ticket #92213 - 2089 - Cash Drawer Replacements on POS_002 and POS_003</t>
      </text>
    </comment>
    <comment ref="Q12" authorId="5" shapeId="0" xr:uid="{9F340D3C-A2E6-46F0-8A73-436089B40B21}">
      <text>
        <t>[Threaded comment]
Your version of Excel allows you to read this threaded comment; however, any edits to it will get removed if the file is opened in a newer version of Excel. Learn more: https://go.microsoft.com/fwlink/?linkid=870924
Comment:
    Cardiff 2033 Site Visit - Service Ticket #96777 - Store 2033 - HDMI replacement</t>
      </text>
    </comment>
    <comment ref="AF12" authorId="6" shapeId="0" xr:uid="{C3696713-4441-47B6-9331-051A8709F8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Van Windscreen Replacement @ office between 09:30-12:30</t>
      </text>
    </comment>
    <comment ref="AR12" authorId="7" shapeId="0" xr:uid="{9500D9B3-A7B0-4D1C-8056-ACB17C8E17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Asbestos refresher - Mattias request </t>
      </text>
    </comment>
    <comment ref="AS12" authorId="3" shapeId="0" xr:uid="{8A480EB2-E80B-466B-ADA5-1A468AC595E1}">
      <text>
        <r>
          <rPr>
            <sz val="11"/>
            <color theme="1"/>
            <rFont val="Aptos Narrow"/>
            <family val="2"/>
            <scheme val="minor"/>
          </rPr>
          <t>Rebecca Smith:
On site</t>
        </r>
      </text>
    </comment>
    <comment ref="BL12" authorId="8" shapeId="0" xr:uid="{08182CEF-5FA6-4CA3-AC49-12DE4F45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Travel day</t>
      </text>
    </comment>
    <comment ref="BM12" authorId="9" shapeId="0" xr:uid="{2BEE0473-A02E-4228-B567-D7DAB851DD75}">
      <text>
        <t>[Threaded comment]
Your version of Excel allows you to read this threaded comment; however, any edits to it will get removed if the file is opened in a newer version of Excel. Learn more: https://go.microsoft.com/fwlink/?linkid=870924
Comment:
    Belfast 9AM, Grafton Street 3PM</t>
      </text>
    </comment>
    <comment ref="BN12" authorId="10" shapeId="0" xr:uid="{C386CBEF-9B3C-426B-9738-BC6D66E53B16}">
      <text>
        <t>[Threaded comment]
Your version of Excel allows you to read this threaded comment; however, any edits to it will get removed if the file is opened in a newer version of Excel. Learn more: https://go.microsoft.com/fwlink/?linkid=870924
Comment:
    Dundrum 9AM, Blanchardstown 1PM</t>
      </text>
    </comment>
    <comment ref="BO12" authorId="11" shapeId="0" xr:uid="{3CE4CAE5-557C-4F16-83FF-7E3FD117E55D}">
      <text>
        <t>[Threaded comment]
Your version of Excel allows you to read this threaded comment; however, any edits to it will get removed if the file is opened in a newer version of Excel. Learn more: https://go.microsoft.com/fwlink/?linkid=870924
Comment:
    Travel day</t>
      </text>
    </comment>
    <comment ref="Q13" authorId="12" shapeId="0" xr:uid="{C5EA1AEE-3798-4350-9AD6-98B6F3C8BDE2}">
      <text>
        <t>[Threaded comment]
Your version of Excel allows you to read this threaded comment; however, any edits to it will get removed if the file is opened in a newer version of Excel. Learn more: https://go.microsoft.com/fwlink/?linkid=870924
Comment:
    BAB Selby AM</t>
      </text>
    </comment>
    <comment ref="AM13" authorId="3" shapeId="0" xr:uid="{98C3F953-B3BB-4403-8131-4DAC1054ACBD}">
      <text>
        <r>
          <rPr>
            <sz val="11"/>
            <color theme="1"/>
            <rFont val="Aptos Narrow"/>
            <family val="2"/>
            <scheme val="minor"/>
          </rPr>
          <t xml:space="preserve">Rebecca Smith:
Catch up with Alex
</t>
        </r>
      </text>
    </comment>
    <comment ref="AS13" authorId="3" shapeId="0" xr:uid="{DE6822E6-B3CF-4B1B-8403-EA2F247E3183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AZ13" authorId="3" shapeId="0" xr:uid="{75638004-0DE8-4229-B521-4C14F315BC0F}">
      <text>
        <r>
          <rPr>
            <sz val="11"/>
            <color theme="1"/>
            <rFont val="Aptos Narrow"/>
            <family val="2"/>
            <scheme val="minor"/>
          </rPr>
          <t>Rebecca Smith:
On site</t>
        </r>
      </text>
    </comment>
    <comment ref="V15" authorId="3" shapeId="0" xr:uid="{7B6F5C56-1735-41A0-A49B-138F209BE671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AR15" authorId="3" shapeId="0" xr:uid="{477D57CC-C698-4BB0-BF96-46F847E097B9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AS15" authorId="3" shapeId="0" xr:uid="{D12E0E57-491C-44EE-BE62-88A1404580C3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AT15" authorId="3" shapeId="0" xr:uid="{37D00350-02D7-4902-A650-8B3311EB71A4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BA15" authorId="3" shapeId="0" xr:uid="{A31ED75C-8681-4014-B077-69EBABEC2431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L16" authorId="3" shapeId="0" xr:uid="{B4209F42-BD12-408B-A91B-E6528B86BC20}">
      <text>
        <r>
          <rPr>
            <sz val="11"/>
            <color theme="1"/>
            <rFont val="Aptos Narrow"/>
            <family val="2"/>
            <scheme val="minor"/>
          </rPr>
          <t xml:space="preserve">Rebecca Smith:
Onsite </t>
        </r>
      </text>
    </comment>
    <comment ref="P18" authorId="3" shapeId="0" xr:uid="{926014AD-FF53-482C-BC7E-F109A3DF7B7D}">
      <text>
        <r>
          <rPr>
            <sz val="11"/>
            <color theme="1"/>
            <rFont val="Aptos Narrow"/>
            <family val="2"/>
            <scheme val="minor"/>
          </rPr>
          <t xml:space="preserve">Rebecca Smith:
Onsite
</t>
        </r>
      </text>
    </comment>
    <comment ref="V18" authorId="3" shapeId="0" xr:uid="{D8340CF1-A02F-408C-8BC3-4431B52D24B3}">
      <text>
        <r>
          <rPr>
            <sz val="11"/>
            <color theme="1"/>
            <rFont val="Aptos Narrow"/>
            <family val="2"/>
            <scheme val="minor"/>
          </rPr>
          <t xml:space="preserve">Rebecca Smith:
Exam 12:30am </t>
        </r>
      </text>
    </comment>
    <comment ref="AQ18" authorId="3" shapeId="0" xr:uid="{3E031214-52AA-4B6D-B772-2A7703BC53A1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AR18" authorId="3" shapeId="0" xr:uid="{324D7B8F-4844-4658-A48F-FA803C321A23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AS18" authorId="3" shapeId="0" xr:uid="{6FE762FF-9C47-447D-B328-19A2BF6B4DC0}">
      <text>
        <r>
          <rPr>
            <sz val="11"/>
            <color theme="1"/>
            <rFont val="Aptos Narrow"/>
            <family val="2"/>
            <scheme val="minor"/>
          </rPr>
          <t>Rebecca Smith:
Onsite</t>
        </r>
      </text>
    </comment>
    <comment ref="AT18" authorId="3" shapeId="0" xr:uid="{A345A3C7-5FAF-4812-97DB-7E62D02E209A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BA18" authorId="3" shapeId="0" xr:uid="{D5581C97-1BEB-49F4-A91F-8764F10C21BB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BB18" authorId="3" shapeId="0" xr:uid="{A270A6FA-7452-48CD-87A4-BDC3E03D6600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AQ19" authorId="3" shapeId="0" xr:uid="{F355D8D1-ABA4-491C-A9A7-C32CEFCBE39B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AR19" authorId="3" shapeId="0" xr:uid="{42EE4FD1-DF92-4691-98FD-04D9165CD3F2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AS19" authorId="3" shapeId="0" xr:uid="{5B2B5F8F-E42A-40ED-A13D-0C6B5CBF6816}">
      <text>
        <r>
          <rPr>
            <sz val="11"/>
            <color theme="1"/>
            <rFont val="Aptos Narrow"/>
            <family val="2"/>
            <scheme val="minor"/>
          </rPr>
          <t>Rebecca Smith:
Remote</t>
        </r>
      </text>
    </comment>
    <comment ref="I25" authorId="13" shapeId="0" xr:uid="{1219355A-0F2E-4995-BF5E-1FB530828EB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Appointment @10am</t>
      </text>
    </comment>
    <comment ref="AM28" authorId="3" shapeId="0" xr:uid="{70D1C1D3-F79E-4F0D-8BC7-754F75045ADE}">
      <text>
        <r>
          <rPr>
            <sz val="11"/>
            <color theme="1"/>
            <rFont val="Aptos Narrow"/>
            <family val="2"/>
            <scheme val="minor"/>
          </rPr>
          <t xml:space="preserve">Rebecca Smith:
Catch up with Ben &amp; Alex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Mumford</author>
    <author>Shane Visagie</author>
    <author>Rebecca Smith</author>
    <author>tc={57BE1B54-D6B5-4BED-A0EC-2ABFA2B54A6F}</author>
    <author>tc={45E2FDE3-9A83-44E5-A64A-C5F7C98D6A36}</author>
    <author>tc={EE1F5F39-2AB4-4A2F-AF66-73F2A3E7F972}</author>
    <author>Alex Lawson</author>
    <author>tc={6827D765-99AA-4FB3-ABDC-3000DE013F95}</author>
    <author>tc={22CF4B55-EB7D-446A-A30A-BE39847F91BE}</author>
    <author>tc={F9BACDA9-6A76-4330-8F40-CB4AAED9201F}</author>
    <author>tc={20CDE2DA-23DC-47B9-B56D-C9CEBDD63C6E}</author>
    <author>tc={FD73A14F-3405-4147-84E1-2B0FC9E7D875}</author>
    <author>tc={61B6C667-13CE-4E18-8C1C-A4EFC7C13770}</author>
    <author>tc={4C9A6EFD-8120-427E-9B5A-B40D1AF970FC}</author>
    <author>tc={491DD4BF-1C3A-42EB-B63D-C98326F461D3}</author>
    <author>tc={89C7124E-727A-4086-B4A1-E73DDFE11A9F}</author>
    <author>tc={0CF57ACF-1EC4-4AD4-AD98-8E754EE2F74B}</author>
    <author>tc={E6CDF48D-E531-467F-BC3E-19FF3D4684AE}</author>
    <author>tc={FDA8D32E-BD0C-4A41-BE1C-DB55FE539E94}</author>
    <author>tc={9E1DBC26-4D37-4A6A-8BEC-B94C135FDF6E}</author>
    <author>tc={6AAD606B-7A0B-459C-AAFF-7208CFD6223F}</author>
    <author>tc={71BF11C4-6575-4812-9385-B7DAF8B3055C}</author>
    <author>tc={D8D092E6-D0A5-4BD5-8415-539A9F84D8AD}</author>
    <author>tc={491574D0-4161-4112-A7D4-387E4C2994CA}</author>
    <author>tc={B79B1887-B6FB-4CA7-A447-C44C3E29E872}</author>
    <author>tc={D45BE062-9B65-4B0E-A881-09A81F0292AA}</author>
    <author>tc={1C7BED5A-414B-4CC8-A193-29091ADB63DE}</author>
    <author>tc={4EE8FDFE-DCEA-4373-9C38-EA5665C485B9}</author>
    <author>tc={11B20830-ABD1-4F61-924B-A6BFFFD21F0F}</author>
    <author>tc={88255EB0-C861-4DA3-B5C9-8B67492452FF}</author>
    <author>tc={116DB0BF-D4EE-45E6-8399-15443C18469B}</author>
    <author>tc={BDF06C34-8443-4335-BC23-11B207A34DFE}</author>
    <author>tc={C04F65F8-D25A-4C98-B90B-83E1C8236B92}</author>
    <author>tc={4868A2A2-8B19-4ECA-9ED9-1302630FCFC0}</author>
  </authors>
  <commentList>
    <comment ref="BG3" authorId="0" shapeId="0" xr:uid="{31B75733-DE59-439B-AFDE-10F71166ECA0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CB3" authorId="1" shapeId="0" xr:uid="{95A565D6-BB78-4CB4-B6B0-1C70D15CB58F}">
      <text>
        <r>
          <rPr>
            <sz val="11"/>
            <color theme="1"/>
            <rFont val="Aptos Narrow"/>
            <family val="2"/>
            <scheme val="minor"/>
          </rPr>
          <t>Shane Visagie:
Ella has hospital appointment 11:00</t>
        </r>
      </text>
    </comment>
    <comment ref="CD3" authorId="1" shapeId="0" xr:uid="{BDD80D39-B0C0-4550-BB86-95F18E7CD7CB}">
      <text>
        <r>
          <rPr>
            <sz val="11"/>
            <color theme="1"/>
            <rFont val="Aptos Narrow"/>
            <family val="2"/>
            <scheme val="minor"/>
          </rPr>
          <t>Shane Visagie:
Ella has eye test 14:55</t>
        </r>
      </text>
    </comment>
    <comment ref="CZ3" authorId="0" shapeId="0" xr:uid="{91082F6A-417E-44ED-933E-32E6F2C3898C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DF3" authorId="1" shapeId="0" xr:uid="{F154B750-1AE3-4C99-AE1C-AA161A05C436}">
      <text>
        <r>
          <rPr>
            <sz val="11"/>
            <color theme="1"/>
            <rFont val="Aptos Narrow"/>
            <family val="2"/>
            <scheme val="minor"/>
          </rPr>
          <t>Shane Visagie:
Hospital appointment from 14:30</t>
        </r>
      </text>
    </comment>
    <comment ref="DQ3" authorId="1" shapeId="0" xr:uid="{E4D04EC5-3C86-48B7-81F9-669665ECD79C}">
      <text>
        <r>
          <rPr>
            <sz val="11"/>
            <color theme="1"/>
            <rFont val="Aptos Narrow"/>
            <family val="2"/>
            <scheme val="minor"/>
          </rPr>
          <t>Shane Visagie:
Medical Delivery - WFH PM</t>
        </r>
      </text>
    </comment>
    <comment ref="EM3" authorId="1" shapeId="0" xr:uid="{2AF0C89E-B054-4026-BC22-4A3C29643334}">
      <text>
        <r>
          <rPr>
            <sz val="11"/>
            <color theme="1"/>
            <rFont val="Aptos Narrow"/>
            <family val="2"/>
            <scheme val="minor"/>
          </rPr>
          <t>Shane Visagie:
Ella Hospital appointment 10:30</t>
        </r>
      </text>
    </comment>
    <comment ref="FJ3" authorId="0" shapeId="0" xr:uid="{8D408D07-9121-4677-BA9D-E725EF66C267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O3" authorId="0" shapeId="0" xr:uid="{F977C87C-1303-455C-A1C0-AFBB8A10FB4B}">
      <text>
        <r>
          <rPr>
            <sz val="11"/>
            <color theme="1"/>
            <rFont val="Aptos Narrow"/>
            <family val="2"/>
            <scheme val="minor"/>
          </rPr>
          <t>Jack Mumford:
half day</t>
        </r>
      </text>
    </comment>
    <comment ref="FV3" authorId="0" shapeId="0" xr:uid="{062822F7-C1BC-43E3-838B-C0053568AE1E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W3" authorId="0" shapeId="0" xr:uid="{59F60513-D669-4980-971B-9626DA170706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X3" authorId="0" shapeId="0" xr:uid="{E087FD36-996C-49EF-98E9-02783E4D306E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GC3" authorId="0" shapeId="0" xr:uid="{1C64890A-F8A9-4BCE-B3D3-9954891CFB23}">
      <text>
        <r>
          <rPr>
            <sz val="11"/>
            <color theme="1"/>
            <rFont val="Aptos Narrow"/>
            <family val="2"/>
            <scheme val="minor"/>
          </rPr>
          <t>Jack Mumford:
half day</t>
        </r>
      </text>
    </comment>
    <comment ref="HE3" authorId="0" shapeId="0" xr:uid="{738AC40C-72C6-45C7-8598-F6DB16E3CFFC}">
      <text>
        <r>
          <rPr>
            <sz val="11"/>
            <color theme="1"/>
            <rFont val="Aptos Narrow"/>
            <family val="2"/>
            <scheme val="minor"/>
          </rPr>
          <t>Jack Mumford:
Ella hospital appointment</t>
        </r>
      </text>
    </comment>
    <comment ref="HL3" authorId="2" shapeId="0" xr:uid="{C95878BB-D142-4BF2-9E3E-915F33285486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G3" authorId="2" shapeId="0" xr:uid="{4F7FF0EF-D54A-4C60-8D3B-2FD3E9C7EF1C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U3" authorId="2" shapeId="0" xr:uid="{894D400E-6696-4145-9FEA-E1CC990F58A7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IW3" authorId="2" shapeId="0" xr:uid="{D439DA8F-DD4A-4DA5-9D80-095693F0E510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LB3" authorId="3" shapeId="0" xr:uid="{57BE1B54-D6B5-4BED-A0EC-2ABFA2B54A6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 at 9.00, working remotely for the day.
Reply:
    Sarah - I will wfh until I leave at 8:30 then I’ll be back in the office at lunch time.</t>
      </text>
    </comment>
    <comment ref="MA3" authorId="2" shapeId="0" xr:uid="{CAEE8EF4-F1C2-4C81-AC19-837502F2DC9F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C3" authorId="2" shapeId="0" xr:uid="{73A1BD9D-B049-4A6B-941D-C741EA0AA4A2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H3" authorId="2" shapeId="0" xr:uid="{D2DAFECE-37A8-47D2-AA12-C8033500B3F2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J3" authorId="2" shapeId="0" xr:uid="{32EA79CF-4C70-4CA7-96DA-56E5A29D42B4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O3" authorId="2" shapeId="0" xr:uid="{2097ADCC-E127-4720-BF3F-96EF8D957FF9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Q3" authorId="2" shapeId="0" xr:uid="{FEA1B165-CA2A-4826-83C4-98DBD20ABC92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W3" authorId="4" shapeId="0" xr:uid="{45E2FDE3-9A83-44E5-A64A-C5F7C98D6A36}">
      <text>
        <t>[Threaded comment]
Your version of Excel allows you to read this threaded comment; however, any edits to it will get removed if the file is opened in a newer version of Excel. Learn more: https://go.microsoft.com/fwlink/?linkid=870924
Comment:
    A/L PM</t>
      </text>
    </comment>
    <comment ref="P4" authorId="1" shapeId="0" xr:uid="{0283289E-224B-49A9-A1F7-0E4BA3F9212F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Q4" authorId="1" shapeId="0" xr:uid="{4767D2EC-2C3B-496B-BF1E-5BBC21E4D17D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R4" authorId="1" shapeId="0" xr:uid="{9DD1224F-BE2B-44E2-83B3-FBE752EA7835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S4" authorId="1" shapeId="0" xr:uid="{B557FE89-2E5E-4A36-B6DD-5AA872BDCC06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T4" authorId="1" shapeId="0" xr:uid="{0F611CAE-14E9-482F-8867-8C629CF09A1C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AU4" authorId="1" shapeId="0" xr:uid="{A1CA16DD-C169-4F8B-9CB1-D5E5BA6B492C}">
      <text>
        <r>
          <rPr>
            <sz val="11"/>
            <color theme="1"/>
            <rFont val="Aptos Narrow"/>
            <family val="2"/>
            <scheme val="minor"/>
          </rPr>
          <t>Shane Visagie:
Funeral</t>
        </r>
      </text>
    </comment>
    <comment ref="BF4" authorId="0" shapeId="0" xr:uid="{0A829934-3F80-4367-A9B7-A9961F5F7B7B}">
      <text>
        <r>
          <rPr>
            <sz val="11"/>
            <color theme="1"/>
            <rFont val="Aptos Narrow"/>
            <family val="2"/>
            <scheme val="minor"/>
          </rPr>
          <t>Jack Mumford:
Helping Tom move BaB stuff from storage to container</t>
        </r>
      </text>
    </comment>
    <comment ref="BV4" authorId="1" shapeId="0" xr:uid="{E30CE730-D973-40B0-BBD0-83BCB4EB584B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CE4" authorId="1" shapeId="0" xr:uid="{ED7F6C9B-B89E-4EBD-9384-4800DB3EC129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DR4" authorId="1" shapeId="0" xr:uid="{F35C275B-7A99-4786-9860-851A36972562}">
      <text>
        <r>
          <rPr>
            <sz val="11"/>
            <color theme="1"/>
            <rFont val="Aptos Narrow"/>
            <family val="2"/>
            <scheme val="minor"/>
          </rPr>
          <t xml:space="preserve">Shane Visagie:
WFH
</t>
        </r>
      </text>
    </comment>
    <comment ref="EL4" authorId="1" shapeId="0" xr:uid="{4EB2DE81-84E6-4F81-B7AD-EE01A43D1CE8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EM4" authorId="1" shapeId="0" xr:uid="{25EF5006-112A-4217-AE9D-41D960D34DC7}">
      <text>
        <r>
          <rPr>
            <sz val="11"/>
            <color theme="1"/>
            <rFont val="Aptos Narrow"/>
            <family val="2"/>
            <scheme val="minor"/>
          </rPr>
          <t>Shane Visagie:
Afternoon AL</t>
        </r>
      </text>
    </comment>
    <comment ref="FJ4" authorId="0" shapeId="0" xr:uid="{6C1F4032-BFB5-4FF6-8AA9-B084CEE098E7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IU4" authorId="2" shapeId="0" xr:uid="{184C6036-D834-49E5-9B1B-9497D12390FB}">
      <text>
        <r>
          <rPr>
            <sz val="11"/>
            <color theme="1"/>
            <rFont val="Aptos Narrow"/>
            <family val="2"/>
            <scheme val="minor"/>
          </rPr>
          <t xml:space="preserve">Rebecca Smith:
Jacob half day PM </t>
        </r>
      </text>
    </comment>
    <comment ref="LM4" authorId="5" shapeId="0" xr:uid="{EE1F5F39-2AB4-4A2F-AF66-73F2A3E7F972}">
      <text>
        <t>[Threaded comment]
Your version of Excel allows you to read this threaded comment; however, any edits to it will get removed if the file is opened in a newer version of Excel. Learn more: https://go.microsoft.com/fwlink/?linkid=870924
Comment:
    wfh</t>
      </text>
    </comment>
    <comment ref="MO4" authorId="2" shapeId="0" xr:uid="{4812725D-020E-4300-888A-00DE68A98E5F}">
      <text>
        <r>
          <rPr>
            <sz val="11"/>
            <color theme="1"/>
            <rFont val="Aptos Narrow"/>
            <family val="2"/>
            <scheme val="minor"/>
          </rPr>
          <t>Rebecca Smith:
WFH AM</t>
        </r>
      </text>
    </comment>
    <comment ref="F5" authorId="1" shapeId="0" xr:uid="{83790C53-082E-489B-9AE2-6ACE40C25BA4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AS5" authorId="1" shapeId="0" xr:uid="{1CB08954-5979-45B1-8B4C-B0A59D092EC7}">
      <text>
        <r>
          <rPr>
            <sz val="11"/>
            <color theme="1"/>
            <rFont val="Aptos Narrow"/>
            <family val="2"/>
            <scheme val="minor"/>
          </rPr>
          <t>Shane Visagie:
WFH - Car MOT</t>
        </r>
      </text>
    </comment>
    <comment ref="AT5" authorId="1" shapeId="0" xr:uid="{DDA14131-840A-43BC-98B2-448DC15610BB}">
      <text>
        <r>
          <rPr>
            <sz val="11"/>
            <color theme="1"/>
            <rFont val="Aptos Narrow"/>
            <family val="2"/>
            <scheme val="minor"/>
          </rPr>
          <t>Shane Visagie:
WFH - Caught Cold</t>
        </r>
      </text>
    </comment>
    <comment ref="DD5" authorId="0" shapeId="0" xr:uid="{8FDDCDE4-30FB-4C51-AF47-9203D326C578}">
      <text>
        <r>
          <rPr>
            <sz val="11"/>
            <color theme="1"/>
            <rFont val="Aptos Narrow"/>
            <family val="2"/>
            <scheme val="minor"/>
          </rPr>
          <t>Jack Mumford:
AvePoint Training (In-person)</t>
        </r>
      </text>
    </comment>
    <comment ref="EA5" authorId="1" shapeId="0" xr:uid="{BE197569-41C2-4E8A-9FA7-496F5EC90E12}">
      <text>
        <r>
          <rPr>
            <sz val="11"/>
            <color theme="1"/>
            <rFont val="Aptos Narrow"/>
            <family val="2"/>
            <scheme val="minor"/>
          </rPr>
          <t xml:space="preserve">Shane Visagie:
WFH - Garage and dropping mom off at </t>
        </r>
      </text>
    </comment>
    <comment ref="EB5" authorId="1" shapeId="0" xr:uid="{82790062-A1F8-4F5A-9A73-205D5AF7EB32}">
      <text>
        <r>
          <rPr>
            <sz val="11"/>
            <color theme="1"/>
            <rFont val="Aptos Narrow"/>
            <family val="2"/>
            <scheme val="minor"/>
          </rPr>
          <t xml:space="preserve">Shane Visagie:
WFH - Garage and dropping mom off at </t>
        </r>
      </text>
    </comment>
    <comment ref="FJ5" authorId="0" shapeId="0" xr:uid="{7B8D71D5-B02D-4488-A398-50EA8CDA1687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HF5" authorId="2" shapeId="0" xr:uid="{ED7C3E24-2D45-4377-910B-A628BE5574CB}">
      <text>
        <r>
          <rPr>
            <sz val="11"/>
            <color theme="1"/>
            <rFont val="Aptos Narrow"/>
            <family val="2"/>
            <scheme val="minor"/>
          </rPr>
          <t>Rebecca Smith:
Office Desk Move</t>
        </r>
      </text>
    </comment>
    <comment ref="IG5" authorId="2" shapeId="0" xr:uid="{0FED66A0-EE3E-4986-8C52-D1CB948C273B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O5" authorId="6" shapeId="0" xr:uid="{D75C6426-37A5-4934-83AC-A24E27B0F150}">
      <text>
        <r>
          <rPr>
            <sz val="11"/>
            <color theme="1"/>
            <rFont val="Aptos Narrow"/>
            <family val="2"/>
            <scheme val="minor"/>
          </rPr>
          <t>Alex Lawson:
WFH</t>
        </r>
      </text>
    </comment>
    <comment ref="I6" authorId="1" shapeId="0" xr:uid="{D3B85450-2123-4741-A88F-4BD962D7F60C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J6" authorId="1" shapeId="0" xr:uid="{F2BDF68E-34E1-40BE-932B-2805371689E4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6" authorId="1" shapeId="0" xr:uid="{C19A372E-0115-4010-9CA7-ADE2F1820B79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L6" authorId="1" shapeId="0" xr:uid="{6509F2A8-1C5F-4DBF-948B-C2280FDB11DB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M6" authorId="1" shapeId="0" xr:uid="{A385030C-0BBD-4715-B780-912F83BAA98C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P6" authorId="1" shapeId="0" xr:uid="{0211F3AB-AEDB-41FF-A7BF-86EA41986F31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S6" authorId="1" shapeId="0" xr:uid="{FAAF997C-7476-47FF-A4BD-CB73C96D616B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W6" authorId="1" shapeId="0" xr:uid="{621EE0BB-3137-4594-A507-8A0A7BB332E8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X6" authorId="1" shapeId="0" xr:uid="{E2924D10-DAA5-49C5-BF2A-184E9DAB0F4B}">
      <text>
        <r>
          <rPr>
            <sz val="11"/>
            <color theme="1"/>
            <rFont val="Aptos Narrow"/>
            <family val="2"/>
            <scheme val="minor"/>
          </rPr>
          <t>Shane Visagie:
On-Call - WFH solicitors call</t>
        </r>
      </text>
    </comment>
    <comment ref="Y6" authorId="1" shapeId="0" xr:uid="{59EB6504-D638-4A5C-8A66-8B18540FF576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Z6" authorId="1" shapeId="0" xr:uid="{FC559C07-1B79-4320-AF8E-76E6F642F3AA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A6" authorId="1" shapeId="0" xr:uid="{E2E31B8F-0283-4610-A5AD-A2048FF334C2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AS6" authorId="1" shapeId="0" xr:uid="{D61D9B0E-AD06-42F6-A222-886DD3DE33E7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O6" authorId="1" shapeId="0" xr:uid="{B2EC915D-F174-497C-9AE3-7D8F4DC1DA2A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V6" authorId="1" shapeId="0" xr:uid="{87E9D47C-E7A5-4622-BAF1-9D8E44FF6F00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BW6" authorId="1" shapeId="0" xr:uid="{D94EA670-A3AB-4168-BFB6-07F0303441F2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CC6" authorId="1" shapeId="0" xr:uid="{AA96C83D-152D-4146-A2D4-FEFAF85EBB8E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CX6" authorId="0" shapeId="0" xr:uid="{DB273B4B-37BD-41A4-BC4E-917B0F0C9E49}">
      <text>
        <r>
          <rPr>
            <sz val="11"/>
            <color theme="1"/>
            <rFont val="Aptos Narrow"/>
            <family val="2"/>
            <scheme val="minor"/>
          </rPr>
          <t>Jack Mumford:
GHC SD Cover</t>
        </r>
      </text>
    </comment>
    <comment ref="DD6" authorId="0" shapeId="0" xr:uid="{EE3B1D94-79BA-48BC-A8A2-A3434D61CA87}">
      <text>
        <r>
          <rPr>
            <sz val="11"/>
            <color theme="1"/>
            <rFont val="Aptos Narrow"/>
            <family val="2"/>
            <scheme val="minor"/>
          </rPr>
          <t>Jack Mumford:
AvePoint Training (In-person)</t>
        </r>
      </text>
    </comment>
    <comment ref="DL6" authorId="1" shapeId="0" xr:uid="{CB5F5BB7-DAAC-4FE0-B7E7-516E8D1068B5}">
      <text>
        <r>
          <rPr>
            <sz val="11"/>
            <color theme="1"/>
            <rFont val="Aptos Narrow"/>
            <family val="2"/>
            <scheme val="minor"/>
          </rPr>
          <t>Shane Visagie:
WFH - House viewing and vet appointment</t>
        </r>
      </text>
    </comment>
    <comment ref="DQ6" authorId="1" shapeId="0" xr:uid="{E7CA5CD5-D88E-4142-ADF9-D50C09AA8FD8}">
      <text>
        <r>
          <rPr>
            <sz val="11"/>
            <color theme="1"/>
            <rFont val="Aptos Narrow"/>
            <family val="2"/>
            <scheme val="minor"/>
          </rPr>
          <t>Shane Visagie:
WFH - looking after dog post surgery</t>
        </r>
      </text>
    </comment>
    <comment ref="DR6" authorId="1" shapeId="0" xr:uid="{7E0432FD-FB66-431E-8330-D6B0FA0997FB}">
      <text>
        <r>
          <rPr>
            <sz val="11"/>
            <color theme="1"/>
            <rFont val="Aptos Narrow"/>
            <family val="2"/>
            <scheme val="minor"/>
          </rPr>
          <t>Shane Visagie:
WFH - looking after dog post surgery</t>
        </r>
      </text>
    </comment>
    <comment ref="DS6" authorId="1" shapeId="0" xr:uid="{BAA7F8C2-ED9D-4B3A-8BFD-B0C97B7BE365}">
      <text>
        <r>
          <rPr>
            <sz val="11"/>
            <color theme="1"/>
            <rFont val="Aptos Narrow"/>
            <family val="2"/>
            <scheme val="minor"/>
          </rPr>
          <t>Shane Visagie:
WFH - looking after dog post surgery</t>
        </r>
      </text>
    </comment>
    <comment ref="DT6" authorId="1" shapeId="0" xr:uid="{CB24F8E1-F94B-4581-AEFF-7E67D74317FB}">
      <text>
        <r>
          <rPr>
            <sz val="11"/>
            <color theme="1"/>
            <rFont val="Aptos Narrow"/>
            <family val="2"/>
            <scheme val="minor"/>
          </rPr>
          <t>Shane Visagie:
WFH - looking after dog post surgery</t>
        </r>
      </text>
    </comment>
    <comment ref="DU6" authorId="1" shapeId="0" xr:uid="{65679390-7F1D-4E70-BC18-FD908117095E}">
      <text>
        <r>
          <rPr>
            <sz val="11"/>
            <color theme="1"/>
            <rFont val="Aptos Narrow"/>
            <family val="2"/>
            <scheme val="minor"/>
          </rPr>
          <t>Shane Visagie:
WFH - looking after dog post surgery</t>
        </r>
      </text>
    </comment>
    <comment ref="GP6" authorId="2" shapeId="0" xr:uid="{5BF20B6D-7E87-4668-BB45-D7543A3E8C24}">
      <text>
        <r>
          <rPr>
            <sz val="11"/>
            <color theme="1"/>
            <rFont val="Aptos Narrow"/>
            <family val="2"/>
            <scheme val="minor"/>
          </rPr>
          <t>Rebecca Smith:
Pre req training for AMAG in PM</t>
        </r>
      </text>
    </comment>
    <comment ref="HF6" authorId="2" shapeId="0" xr:uid="{8C5B46B5-F584-4BCD-9EA2-FD5FC95CF51D}">
      <text>
        <r>
          <rPr>
            <sz val="11"/>
            <color theme="1"/>
            <rFont val="Aptos Narrow"/>
            <family val="2"/>
            <scheme val="minor"/>
          </rPr>
          <t>Rebecca Smith:
Office Desk Move</t>
        </r>
      </text>
    </comment>
    <comment ref="BF7" authorId="0" shapeId="0" xr:uid="{1A41864F-2648-435C-A4CF-BBE7E8CEF8C8}">
      <text>
        <r>
          <rPr>
            <sz val="11"/>
            <color theme="1"/>
            <rFont val="Aptos Narrow"/>
            <family val="2"/>
            <scheme val="minor"/>
          </rPr>
          <t xml:space="preserve">Jack Mumford:
Helping Purchasing with the BaB Warehouse
</t>
        </r>
      </text>
    </comment>
    <comment ref="BG7" authorId="1" shapeId="0" xr:uid="{3C86B7DA-0D5F-4486-8157-F7A7A01ECF0B}">
      <text>
        <r>
          <rPr>
            <sz val="11"/>
            <color theme="1"/>
            <rFont val="Aptos Narrow"/>
            <family val="2"/>
            <scheme val="minor"/>
          </rPr>
          <t>Shane Visagie:
Deliver laptop to NAOTP in Dursley</t>
        </r>
      </text>
    </comment>
    <comment ref="CV7" authorId="0" shapeId="0" xr:uid="{0C1A285D-C319-480F-91D4-76E8A594F05C}">
      <text>
        <r>
          <rPr>
            <sz val="11"/>
            <color theme="1"/>
            <rFont val="Aptos Narrow"/>
            <family val="2"/>
            <scheme val="minor"/>
          </rPr>
          <t>Jack Mumford:
WfH due to sickness</t>
        </r>
      </text>
    </comment>
    <comment ref="CZ7" authorId="0" shapeId="0" xr:uid="{CF7571A1-D76A-4435-AF5C-F4117FDC776F}">
      <text>
        <r>
          <rPr>
            <sz val="11"/>
            <color theme="1"/>
            <rFont val="Aptos Narrow"/>
            <family val="2"/>
            <scheme val="minor"/>
          </rPr>
          <t>Jack Mumford:
Invista IT Audit afternoon</t>
        </r>
      </text>
    </comment>
    <comment ref="DD7" authorId="0" shapeId="0" xr:uid="{D939FD57-C12A-4DA3-AAA0-3A3A7C9560E9}">
      <text>
        <r>
          <rPr>
            <sz val="11"/>
            <color theme="1"/>
            <rFont val="Aptos Narrow"/>
            <family val="2"/>
            <scheme val="minor"/>
          </rPr>
          <t>Jack Mumford:
AvePoint Training (In-person)</t>
        </r>
      </text>
    </comment>
    <comment ref="EV7" authorId="1" shapeId="0" xr:uid="{D84EACF7-E02B-48CC-BF3D-64A31F65FCC7}">
      <text>
        <r>
          <rPr>
            <sz val="11"/>
            <color theme="1"/>
            <rFont val="Aptos Narrow"/>
            <family val="2"/>
            <scheme val="minor"/>
          </rPr>
          <t>Shane Visagie:
WFH - MOT at 10:30</t>
        </r>
      </text>
    </comment>
    <comment ref="FK7" authorId="0" shapeId="0" xr:uid="{C59188C0-573B-4AFC-ADA0-03D67C5D48E8}">
      <text>
        <r>
          <rPr>
            <sz val="11"/>
            <color theme="1"/>
            <rFont val="Aptos Narrow"/>
            <family val="2"/>
            <scheme val="minor"/>
          </rPr>
          <t xml:space="preserve">Jack Mumford:
London </t>
        </r>
      </text>
    </comment>
    <comment ref="FU7" authorId="2" shapeId="0" xr:uid="{120C1037-76FD-4372-9321-DBB0D857639A}">
      <text>
        <r>
          <rPr>
            <sz val="11"/>
            <color theme="1"/>
            <rFont val="Aptos Narrow"/>
            <family val="2"/>
            <scheme val="minor"/>
          </rPr>
          <t xml:space="preserve">Rebecca Smith:
Stock take with Daniel 
</t>
        </r>
      </text>
    </comment>
    <comment ref="IG7" authorId="2" shapeId="0" xr:uid="{7F12A12C-5486-4A7B-B163-DBCAFD2535A4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I7" authorId="2" shapeId="0" xr:uid="{66092FC0-BF87-44FD-BB4E-418A29E8C2FC}">
      <text>
        <r>
          <rPr>
            <sz val="11"/>
            <color theme="1"/>
            <rFont val="Aptos Narrow"/>
            <family val="2"/>
            <scheme val="minor"/>
          </rPr>
          <t xml:space="preserve">Rebecca Smith:
3017903, 3017795, 3017308
</t>
        </r>
      </text>
    </comment>
    <comment ref="JO7" authorId="7" shapeId="0" xr:uid="{6827D765-99AA-4FB3-ABDC-3000DE013F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Drop laptop off at Red Sav
Reply:
    Finish DWP Desks at Windor and Start on DWP Workstations </t>
      </text>
    </comment>
    <comment ref="LE7" authorId="8" shapeId="0" xr:uid="{22CF4B55-EB7D-446A-A30A-BE39847F91BE}">
      <text>
        <t>[Threaded comment]
Your version of Excel allows you to read this threaded comment; however, any edits to it will get removed if the file is opened in a newer version of Excel. Learn more: https://go.microsoft.com/fwlink/?linkid=870924
Comment:
    Tom will do late shift</t>
      </text>
    </comment>
    <comment ref="M8" authorId="1" shapeId="0" xr:uid="{7A59BC04-572E-4BE9-AEF1-F651080CAFC0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W8" authorId="1" shapeId="0" xr:uid="{0E89507C-6EB2-4B06-89A3-D682DDF0DA15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BG8" authorId="0" shapeId="0" xr:uid="{5C9A4CD7-ACDD-4DA4-A8FC-84A282C7E387}">
      <text>
        <r>
          <rPr>
            <sz val="11"/>
            <color theme="1"/>
            <rFont val="Aptos Narrow"/>
            <family val="2"/>
            <scheme val="minor"/>
          </rPr>
          <t>Jack Mumford:
9:12</t>
        </r>
      </text>
    </comment>
    <comment ref="BW8" authorId="0" shapeId="0" xr:uid="{A7C55ED2-88DD-44EF-B739-C1029A375267}">
      <text>
        <r>
          <rPr>
            <sz val="11"/>
            <color theme="1"/>
            <rFont val="Aptos Narrow"/>
            <family val="2"/>
            <scheme val="minor"/>
          </rPr>
          <t>Shane Visagie:
Afternoon off</t>
        </r>
      </text>
    </comment>
    <comment ref="CS8" authorId="1" shapeId="0" xr:uid="{5E341050-5998-4737-9421-13624CDFF354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DD8" authorId="0" shapeId="0" xr:uid="{61B187E6-652B-4D8D-A1E5-8D0E7FA75003}">
      <text>
        <r>
          <rPr>
            <sz val="11"/>
            <color theme="1"/>
            <rFont val="Aptos Narrow"/>
            <family val="2"/>
            <scheme val="minor"/>
          </rPr>
          <t>Jack Mumford:
AvePoint Training (In-person)</t>
        </r>
      </text>
    </comment>
    <comment ref="FX8" authorId="2" shapeId="0" xr:uid="{502A98D2-41FB-4F42-A495-75135FE43AAB}">
      <text>
        <r>
          <rPr>
            <sz val="11"/>
            <color theme="1"/>
            <rFont val="Aptos Narrow"/>
            <family val="2"/>
            <scheme val="minor"/>
          </rPr>
          <t>Rebecca Smith:
WFH Morning - Dentist</t>
        </r>
      </text>
    </comment>
    <comment ref="JR8" authorId="9" shapeId="0" xr:uid="{F9BACDA9-6A76-4330-8F40-CB4AAED9201F}">
      <text>
        <t>[Threaded comment]
Your version of Excel allows you to read this threaded comment; however, any edits to it will get removed if the file is opened in a newer version of Excel. Learn more: https://go.microsoft.com/fwlink/?linkid=870924
Comment:
    Dentist</t>
      </text>
    </comment>
    <comment ref="AA9" authorId="1" shapeId="0" xr:uid="{37F61683-C78C-459D-98BD-07F2A4635E8D}">
      <text>
        <r>
          <rPr>
            <sz val="11"/>
            <color theme="1"/>
            <rFont val="Aptos Narrow"/>
            <family val="2"/>
            <scheme val="minor"/>
          </rPr>
          <t>Shane Visagie:
WFH - Car Service</t>
        </r>
      </text>
    </comment>
    <comment ref="DD9" authorId="0" shapeId="0" xr:uid="{6990966B-0446-473F-B4F4-4C9247BCA464}">
      <text>
        <r>
          <rPr>
            <sz val="11"/>
            <color theme="1"/>
            <rFont val="Aptos Narrow"/>
            <family val="2"/>
            <scheme val="minor"/>
          </rPr>
          <t>Jack Mumford:
AvePoint Training (In-person)</t>
        </r>
      </text>
    </comment>
    <comment ref="EP9" authorId="1" shapeId="0" xr:uid="{70D92A0F-1F54-4DC0-976F-A951FA355B01}">
      <text>
        <r>
          <rPr>
            <sz val="11"/>
            <color theme="1"/>
            <rFont val="Aptos Narrow"/>
            <family val="2"/>
            <scheme val="minor"/>
          </rPr>
          <t>Shane Visagie:
WFH - Filling out SC form</t>
        </r>
      </text>
    </comment>
    <comment ref="FN9" authorId="0" shapeId="0" xr:uid="{7DBDE7F6-B00F-4B8E-A43C-B687B4153CCA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R9" authorId="0" shapeId="0" xr:uid="{A35F8117-1AC0-4104-8110-6F0E98C24164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GB9" authorId="0" shapeId="0" xr:uid="{96DAB41F-794E-4757-A8BC-FE34797D9836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GF9" authorId="0" shapeId="0" xr:uid="{8DA53487-063D-4F23-8991-49C60397907D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HF9" authorId="2" shapeId="0" xr:uid="{381538C0-D99B-488A-8BB5-3F9B8B689EF7}">
      <text>
        <r>
          <rPr>
            <sz val="11"/>
            <color theme="1"/>
            <rFont val="Aptos Narrow"/>
            <family val="2"/>
            <scheme val="minor"/>
          </rPr>
          <t>Rebecca Smith:
Office Desk Move</t>
        </r>
      </text>
    </comment>
    <comment ref="E10" authorId="1" shapeId="0" xr:uid="{6DF5C93B-FFA4-4346-A00C-F5AF6B54531F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F10" authorId="1" shapeId="0" xr:uid="{DC4102D8-3296-4F72-8FD4-747DE8483233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BG10" authorId="0" shapeId="0" xr:uid="{C06146C8-0AF5-41E4-830D-0400EB69B5A0}">
      <text>
        <r>
          <rPr>
            <sz val="11"/>
            <color theme="1"/>
            <rFont val="Aptos Narrow"/>
            <family val="2"/>
            <scheme val="minor"/>
          </rPr>
          <t>Jack Mumford:
In Gloucester</t>
        </r>
      </text>
    </comment>
    <comment ref="BH10" authorId="0" shapeId="0" xr:uid="{3E82B44E-3386-4105-854D-FD67048CF3B7}">
      <text>
        <r>
          <rPr>
            <sz val="11"/>
            <color theme="1"/>
            <rFont val="Aptos Narrow"/>
            <family val="2"/>
            <scheme val="minor"/>
          </rPr>
          <t>Jack Mumford:
In Gloucester</t>
        </r>
      </text>
    </comment>
    <comment ref="BU10" authorId="0" shapeId="0" xr:uid="{704F9D57-2861-4610-8F35-7142D703DF85}">
      <text>
        <r>
          <rPr>
            <sz val="11"/>
            <color theme="1"/>
            <rFont val="Aptos Narrow"/>
            <family val="2"/>
            <scheme val="minor"/>
          </rPr>
          <t>Jack Mumford:
CE for Croft, Ingenia &amp; Auxillias</t>
        </r>
      </text>
    </comment>
    <comment ref="BW10" authorId="0" shapeId="0" xr:uid="{AF4ED393-B802-4A93-9E86-BF6EB94B8FED}">
      <text>
        <r>
          <rPr>
            <sz val="11"/>
            <color theme="1"/>
            <rFont val="Aptos Narrow"/>
            <family val="2"/>
            <scheme val="minor"/>
          </rPr>
          <t>Jack Mumford:
WYP + working with Udit on VSOC Site</t>
        </r>
      </text>
    </comment>
    <comment ref="CA10" authorId="0" shapeId="0" xr:uid="{6A71F861-8403-42C9-A030-8EF0D81A32D8}">
      <text>
        <r>
          <rPr>
            <sz val="11"/>
            <color theme="1"/>
            <rFont val="Aptos Narrow"/>
            <family val="2"/>
            <scheme val="minor"/>
          </rPr>
          <t>Jack Mumford:
CE</t>
        </r>
      </text>
    </comment>
    <comment ref="CB10" authorId="0" shapeId="0" xr:uid="{5D1DCC72-03F1-46A1-861B-2618A87A9BC1}">
      <text>
        <r>
          <rPr>
            <sz val="11"/>
            <color theme="1"/>
            <rFont val="Aptos Narrow"/>
            <family val="2"/>
            <scheme val="minor"/>
          </rPr>
          <t>Jack Mumford:
CE</t>
        </r>
      </text>
    </comment>
    <comment ref="CH10" authorId="0" shapeId="0" xr:uid="{8F2D548E-B9AB-4ED9-A5CC-C75D5BBCAC09}">
      <text>
        <r>
          <rPr>
            <sz val="11"/>
            <color theme="1"/>
            <rFont val="Aptos Narrow"/>
            <family val="2"/>
            <scheme val="minor"/>
          </rPr>
          <t>Jack Mumford:
Helping Dragos with VSOC Switch config</t>
        </r>
      </text>
    </comment>
    <comment ref="DQ10" authorId="1" shapeId="0" xr:uid="{515B1981-2C1C-4B7E-B1CD-9CB56F7ACA81}">
      <text>
        <r>
          <rPr>
            <sz val="11"/>
            <color theme="1"/>
            <rFont val="Aptos Narrow"/>
            <family val="2"/>
            <scheme val="minor"/>
          </rPr>
          <t>Shane Visagie:
Handing over Cyber Essentials to SF</t>
        </r>
      </text>
    </comment>
    <comment ref="EF10" authorId="0" shapeId="0" xr:uid="{5C8D7102-A349-45AB-BFC7-D258E8EF92A7}">
      <text>
        <r>
          <rPr>
            <sz val="11"/>
            <color theme="1"/>
            <rFont val="Aptos Narrow"/>
            <family val="2"/>
            <scheme val="minor"/>
          </rPr>
          <t>In Gloucester - Working with Udit on Security Review</t>
        </r>
      </text>
    </comment>
    <comment ref="EG10" authorId="0" shapeId="0" xr:uid="{4C4E1E20-ADFB-42CC-A011-50BD9450D7B6}">
      <text>
        <r>
          <rPr>
            <sz val="11"/>
            <color theme="1"/>
            <rFont val="Aptos Narrow"/>
            <family val="2"/>
            <scheme val="minor"/>
          </rPr>
          <t>In Gloucester</t>
        </r>
      </text>
    </comment>
    <comment ref="EH10" authorId="0" shapeId="0" xr:uid="{5E8000C2-562B-4DC7-9DA7-805A2164D43D}">
      <text>
        <r>
          <rPr>
            <sz val="11"/>
            <color theme="1"/>
            <rFont val="Aptos Narrow"/>
            <family val="2"/>
            <scheme val="minor"/>
          </rPr>
          <t>Jack Mumford:
Ingenia CE+ assessment questionnaire</t>
        </r>
      </text>
    </comment>
    <comment ref="EL10" authorId="0" shapeId="0" xr:uid="{3844378A-2E52-483B-BD79-12C0633AF980}">
      <text>
        <r>
          <rPr>
            <sz val="11"/>
            <color theme="1"/>
            <rFont val="Aptos Narrow"/>
            <family val="2"/>
            <scheme val="minor"/>
          </rPr>
          <t>Ninja Training</t>
        </r>
      </text>
    </comment>
    <comment ref="EM10" authorId="0" shapeId="0" xr:uid="{D6CD3686-DF04-4FA0-AE25-C11BF02BA0A7}">
      <text>
        <r>
          <rPr>
            <sz val="11"/>
            <color theme="1"/>
            <rFont val="Aptos Narrow"/>
            <family val="2"/>
            <scheme val="minor"/>
          </rPr>
          <t>Ninja Training</t>
        </r>
      </text>
    </comment>
    <comment ref="EN10" authorId="0" shapeId="0" xr:uid="{8566E96C-FD9F-4347-A3A1-F01800864204}">
      <text>
        <r>
          <rPr>
            <sz val="11"/>
            <color theme="1"/>
            <rFont val="Aptos Narrow"/>
            <family val="2"/>
            <scheme val="minor"/>
          </rPr>
          <t xml:space="preserve">Red Savannah
</t>
        </r>
      </text>
    </comment>
    <comment ref="EO10" authorId="0" shapeId="0" xr:uid="{142AFC05-CFCC-4391-A44C-D85C1730C7AC}">
      <text>
        <r>
          <rPr>
            <sz val="11"/>
            <color theme="1"/>
            <rFont val="Aptos Narrow"/>
            <family val="2"/>
            <scheme val="minor"/>
          </rPr>
          <t>Visit PadPilot</t>
        </r>
      </text>
    </comment>
    <comment ref="EP10" authorId="0" shapeId="0" xr:uid="{BE9840ED-D1C2-4DFC-9748-09BD71487204}">
      <text>
        <r>
          <rPr>
            <sz val="11"/>
            <color theme="1"/>
            <rFont val="Aptos Narrow"/>
            <family val="2"/>
            <scheme val="minor"/>
          </rPr>
          <t>Ninja Training</t>
        </r>
      </text>
    </comment>
    <comment ref="ET10" authorId="0" shapeId="0" xr:uid="{8425F21B-B58C-4D59-821C-D115DED134E3}">
      <text>
        <r>
          <rPr>
            <sz val="11"/>
            <color theme="1"/>
            <rFont val="Aptos Narrow"/>
            <family val="2"/>
            <scheme val="minor"/>
          </rPr>
          <t>Creating Ninja policies for NMS and alerts</t>
        </r>
      </text>
    </comment>
    <comment ref="EU10" authorId="0" shapeId="0" xr:uid="{6AF0D540-BB26-4AF6-9C4A-C8AEA9AC9BC1}">
      <text>
        <r>
          <rPr>
            <sz val="11"/>
            <color theme="1"/>
            <rFont val="Aptos Narrow"/>
            <family val="2"/>
            <scheme val="minor"/>
          </rPr>
          <t>Creating Ninja policies for NMS and alerts</t>
        </r>
      </text>
    </comment>
    <comment ref="FA10" authorId="0" shapeId="0" xr:uid="{B23D78BE-8C16-45A4-97ED-38658A4F045D}">
      <text>
        <r>
          <rPr>
            <sz val="11"/>
            <color theme="1"/>
            <rFont val="Aptos Narrow"/>
            <family val="2"/>
            <scheme val="minor"/>
          </rPr>
          <t xml:space="preserve">Jack Mumford:
In Gloucester
</t>
        </r>
      </text>
    </comment>
    <comment ref="FB10" authorId="0" shapeId="0" xr:uid="{4572BB8C-CC92-461D-AD11-F79E83AEBDD6}">
      <text>
        <r>
          <rPr>
            <sz val="11"/>
            <color theme="1"/>
            <rFont val="Aptos Narrow"/>
            <family val="2"/>
            <scheme val="minor"/>
          </rPr>
          <t xml:space="preserve">Jack Mumford:
In Gloucester
</t>
        </r>
      </text>
    </comment>
    <comment ref="FH10" authorId="0" shapeId="0" xr:uid="{5909AB87-C632-4AD0-B083-D985DAEC1283}">
      <text>
        <r>
          <rPr>
            <sz val="11"/>
            <color theme="1"/>
            <rFont val="Aptos Narrow"/>
            <family val="2"/>
            <scheme val="minor"/>
          </rPr>
          <t>Jack Mumford:
Ingenia Cyber Essentials+</t>
        </r>
      </text>
    </comment>
    <comment ref="FI10" authorId="0" shapeId="0" xr:uid="{EE1BD267-2450-4162-BCEA-4225DA66034B}">
      <text>
        <r>
          <rPr>
            <sz val="11"/>
            <color theme="1"/>
            <rFont val="Aptos Narrow"/>
            <family val="2"/>
            <scheme val="minor"/>
          </rPr>
          <t xml:space="preserve">Jack Mumford:
In Gloucester
</t>
        </r>
      </text>
    </comment>
    <comment ref="FV10" authorId="0" shapeId="0" xr:uid="{5BBD81FF-8D1A-4918-97C9-13CA3CD1673E}">
      <text>
        <r>
          <rPr>
            <sz val="11"/>
            <color theme="1"/>
            <rFont val="Aptos Narrow"/>
            <family val="2"/>
            <scheme val="minor"/>
          </rPr>
          <t xml:space="preserve">Jack Mumford:
In Gloucester
</t>
        </r>
      </text>
    </comment>
    <comment ref="FW10" authorId="0" shapeId="0" xr:uid="{E1016776-F2AF-4A74-812F-518B7CC445DD}">
      <text>
        <r>
          <rPr>
            <sz val="11"/>
            <color theme="1"/>
            <rFont val="Aptos Narrow"/>
            <family val="2"/>
            <scheme val="minor"/>
          </rPr>
          <t>Jack Mumford:
In Gloucester
Priority ERP meeting</t>
        </r>
      </text>
    </comment>
    <comment ref="HS10" authorId="2" shapeId="0" xr:uid="{E28E08FF-F2E8-4663-92A7-2DC53839488A}">
      <text>
        <r>
          <rPr>
            <sz val="11"/>
            <color theme="1"/>
            <rFont val="Aptos Narrow"/>
            <family val="2"/>
            <scheme val="minor"/>
          </rPr>
          <t>Rebecca Smith:
Glos office</t>
        </r>
      </text>
    </comment>
    <comment ref="JJ10" authorId="2" shapeId="0" xr:uid="{4352181F-EDDB-4E88-B996-FBB46082A7DE}">
      <text>
        <r>
          <rPr>
            <sz val="11"/>
            <color theme="1"/>
            <rFont val="Aptos Narrow"/>
            <family val="2"/>
            <scheme val="minor"/>
          </rPr>
          <t xml:space="preserve">Rebecca Smith:
With Ben L for dac cable installation
</t>
        </r>
      </text>
    </comment>
    <comment ref="JQ10" authorId="10" shapeId="0" xr:uid="{20CDE2DA-23DC-47B9-B56D-C9CEBDD63C6E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 holder for DWP support</t>
      </text>
    </comment>
    <comment ref="JR10" authorId="11" shapeId="0" xr:uid="{FD73A14F-3405-4147-84E1-2B0FC9E7D875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 holder for DWP support</t>
      </text>
    </comment>
    <comment ref="JS10" authorId="12" shapeId="0" xr:uid="{61B6C667-13CE-4E18-8C1C-A4EFC7C1377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 holder for DWP support</t>
      </text>
    </comment>
    <comment ref="MA10" authorId="2" shapeId="0" xr:uid="{C0E26A13-81B6-4623-AC3B-0E7ECC3504F7}">
      <text>
        <r>
          <rPr>
            <sz val="11"/>
            <color theme="1"/>
            <rFont val="Aptos Narrow"/>
            <family val="2"/>
            <scheme val="minor"/>
          </rPr>
          <t xml:space="preserve">Rebecca Smith:
Glos office
</t>
        </r>
      </text>
    </comment>
    <comment ref="MB10" authorId="2" shapeId="0" xr:uid="{42D3316A-58A4-45F9-BD85-9409A8CCEAAB}">
      <text>
        <r>
          <rPr>
            <sz val="11"/>
            <color theme="1"/>
            <rFont val="Aptos Narrow"/>
            <family val="2"/>
            <scheme val="minor"/>
          </rPr>
          <t xml:space="preserve">Rebecca Smith:
Glos office
</t>
        </r>
      </text>
    </comment>
    <comment ref="F12" authorId="1" shapeId="0" xr:uid="{9B2BF744-6BE9-4679-BF3A-8EAA711C5F78}">
      <text>
        <r>
          <rPr>
            <sz val="11"/>
            <color theme="1"/>
            <rFont val="Aptos Narrow"/>
            <family val="2"/>
            <scheme val="minor"/>
          </rPr>
          <t>Shane Visagie:
On-Call
On-site Store 2088</t>
        </r>
      </text>
    </comment>
    <comment ref="G12" authorId="1" shapeId="0" xr:uid="{C6FB7F31-B1D5-4E8D-B3F3-F909998BA47B}">
      <text>
        <r>
          <rPr>
            <sz val="11"/>
            <color theme="1"/>
            <rFont val="Aptos Narrow"/>
            <family val="2"/>
            <scheme val="minor"/>
          </rPr>
          <t>Shane Visagie:
On-site Store 2088</t>
        </r>
      </text>
    </comment>
    <comment ref="H12" authorId="1" shapeId="0" xr:uid="{0C5975C9-7D4A-4683-BAB9-7699D47620C2}">
      <text>
        <r>
          <rPr>
            <sz val="11"/>
            <color theme="1"/>
            <rFont val="Aptos Narrow"/>
            <family val="2"/>
            <scheme val="minor"/>
          </rPr>
          <t>Shane Visagie:
On-site Store 2088</t>
        </r>
      </text>
    </comment>
    <comment ref="T12" authorId="1" shapeId="0" xr:uid="{CA269E44-0208-4F1C-A234-2C773C26B6ED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BA12" authorId="1" shapeId="0" xr:uid="{7CACFBC5-2C61-4F42-A765-F55DA84B5138}">
      <text>
        <r>
          <rPr>
            <sz val="11"/>
            <color theme="1"/>
            <rFont val="Aptos Narrow"/>
            <family val="2"/>
            <scheme val="minor"/>
          </rPr>
          <t>Shane Visagie:
BAB Slough</t>
        </r>
      </text>
    </comment>
    <comment ref="CD12" authorId="1" shapeId="0" xr:uid="{6B35B75A-9A66-4E7F-8118-780AB910EC3B}">
      <text>
        <r>
          <rPr>
            <sz val="11"/>
            <color theme="1"/>
            <rFont val="Aptos Narrow"/>
            <family val="2"/>
            <scheme val="minor"/>
          </rPr>
          <t>Shane Visagie:
Half day Afternoon off</t>
        </r>
      </text>
    </comment>
    <comment ref="CH12" authorId="1" shapeId="0" xr:uid="{108E336C-39F2-49DA-8D84-977299648277}">
      <text>
        <r>
          <rPr>
            <sz val="11"/>
            <color theme="1"/>
            <rFont val="Aptos Narrow"/>
            <family val="2"/>
            <scheme val="minor"/>
          </rPr>
          <t>Shane Visagie:
Half day Morning Off</t>
        </r>
      </text>
    </comment>
    <comment ref="DM12" authorId="1" shapeId="0" xr:uid="{63AFB4DB-457F-4EE7-9700-393B8D2CC681}">
      <text>
        <r>
          <rPr>
            <sz val="11"/>
            <color theme="1"/>
            <rFont val="Aptos Narrow"/>
            <family val="2"/>
            <scheme val="minor"/>
          </rPr>
          <t>Shane Visagie:
Grafton Street BAB</t>
        </r>
      </text>
    </comment>
    <comment ref="EH12" authorId="1" shapeId="0" xr:uid="{FC45D366-8BD6-447C-8CDF-FD90919F8547}">
      <text>
        <r>
          <rPr>
            <sz val="11"/>
            <color theme="1"/>
            <rFont val="Aptos Narrow"/>
            <family val="2"/>
            <scheme val="minor"/>
          </rPr>
          <t>Shane Visagie:
Croft 12:00 3005800</t>
        </r>
      </text>
    </comment>
    <comment ref="EU12" authorId="1" shapeId="0" xr:uid="{CC79911F-C344-49AC-A290-293C6154AE5E}">
      <text>
        <r>
          <rPr>
            <sz val="11"/>
            <color theme="1"/>
            <rFont val="Aptos Narrow"/>
            <family val="2"/>
            <scheme val="minor"/>
          </rPr>
          <t>Shane Visagie:
BQ</t>
        </r>
      </text>
    </comment>
    <comment ref="EV12" authorId="0" shapeId="0" xr:uid="{246737C5-ACB5-44ED-B4FE-EFA2E0D5238C}">
      <text>
        <r>
          <rPr>
            <sz val="11"/>
            <color theme="1"/>
            <rFont val="Aptos Narrow"/>
            <family val="2"/>
            <scheme val="minor"/>
          </rPr>
          <t>Jack Mumford:
Radnor House</t>
        </r>
      </text>
    </comment>
    <comment ref="FH12" authorId="0" shapeId="0" xr:uid="{371BF29F-0A06-4A57-AC5C-15D30053A0B7}">
      <text>
        <r>
          <rPr>
            <sz val="11"/>
            <color theme="1"/>
            <rFont val="Aptos Narrow"/>
            <family val="2"/>
            <scheme val="minor"/>
          </rPr>
          <t>Jack Mumford:
Fibre Connections move</t>
        </r>
      </text>
    </comment>
    <comment ref="FJ12" authorId="0" shapeId="0" xr:uid="{DF276E0E-3118-4146-9AE5-3D0D7340D73E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R12" authorId="2" shapeId="0" xr:uid="{13EFD230-5FCB-4410-8523-E111F404D34D}">
      <text>
        <r>
          <rPr>
            <sz val="11"/>
            <color theme="1"/>
            <rFont val="Aptos Narrow"/>
            <family val="2"/>
            <scheme val="minor"/>
          </rPr>
          <t>Rebecca Smith:
BaB Southampton</t>
        </r>
      </text>
    </comment>
    <comment ref="FU12" authorId="2" shapeId="0" xr:uid="{85F12523-15B8-49DF-8B92-EEDFEF77A208}">
      <text>
        <r>
          <rPr>
            <sz val="11"/>
            <color theme="1"/>
            <rFont val="Aptos Narrow"/>
            <family val="2"/>
            <scheme val="minor"/>
          </rPr>
          <t>Rebecca Smith:
BaB Sheffield</t>
        </r>
      </text>
    </comment>
    <comment ref="GF12" authorId="2" shapeId="0" xr:uid="{7987E791-1FAB-4C87-BF63-A85E0FEFBB23}">
      <text>
        <r>
          <rPr>
            <sz val="11"/>
            <color theme="1"/>
            <rFont val="Aptos Narrow"/>
            <family val="2"/>
            <scheme val="minor"/>
          </rPr>
          <t>Rebecca Smith:
BaB Southampton</t>
        </r>
      </text>
    </comment>
    <comment ref="IB12" authorId="2" shapeId="0" xr:uid="{9C6422F1-29B5-43AF-BB6E-844EF7E9ACAF}">
      <text>
        <r>
          <rPr>
            <sz val="11"/>
            <color theme="1"/>
            <rFont val="Aptos Narrow"/>
            <family val="2"/>
            <scheme val="minor"/>
          </rPr>
          <t xml:space="preserve">Rebecca Smith:
Hopson Henley PM </t>
        </r>
      </text>
    </comment>
    <comment ref="JY12" authorId="13" shapeId="0" xr:uid="{4C9A6EFD-8120-427E-9B5A-B40D1AF970FC}">
      <text>
        <t>[Threaded comment]
Your version of Excel allows you to read this threaded comment; however, any edits to it will get removed if the file is opened in a newer version of Excel. Learn more: https://go.microsoft.com/fwlink/?linkid=870924
Comment:
    Bullring after CW82807</t>
      </text>
    </comment>
    <comment ref="LI12" authorId="14" shapeId="0" xr:uid="{491DD4BF-1C3A-42EB-B63D-C98326F461D3}">
      <text>
        <t>[Threaded comment]
Your version of Excel allows you to read this threaded comment; however, any edits to it will get removed if the file is opened in a newer version of Excel. Learn more: https://go.microsoft.com/fwlink/?linkid=870924
Comment:
    Mi Review @10</t>
      </text>
    </comment>
    <comment ref="E13" authorId="1" shapeId="0" xr:uid="{3729F673-6B84-4248-BF8A-22A8B092AE78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BA13" authorId="1" shapeId="0" xr:uid="{FAB21AE4-1C73-4523-AE4F-293E1EDCD077}">
      <text>
        <r>
          <rPr>
            <sz val="11"/>
            <color theme="1"/>
            <rFont val="Aptos Narrow"/>
            <family val="2"/>
            <scheme val="minor"/>
          </rPr>
          <t>Shane Visagie:
BAB Slough</t>
        </r>
      </text>
    </comment>
    <comment ref="BG13" authorId="0" shapeId="0" xr:uid="{B9A0591F-C6AD-42FB-9500-855A0AA14132}">
      <text>
        <r>
          <rPr>
            <sz val="11"/>
            <color theme="1"/>
            <rFont val="Aptos Narrow"/>
            <family val="2"/>
            <scheme val="minor"/>
          </rPr>
          <t>Jack Mumford:
Son to DR's at 1PM</t>
        </r>
      </text>
    </comment>
    <comment ref="EM13" authorId="1" shapeId="0" xr:uid="{9A2EDFA9-0B32-4C64-BAD2-8B4F1A4581ED}">
      <text>
        <r>
          <rPr>
            <sz val="11"/>
            <color theme="1"/>
            <rFont val="Aptos Narrow"/>
            <family val="2"/>
            <scheme val="minor"/>
          </rPr>
          <t>Shane Visagie:
Van MOT 10:45</t>
        </r>
      </text>
    </comment>
    <comment ref="FK13" authorId="2" shapeId="0" xr:uid="{8B3BA6B5-59EB-4B57-8421-910F665505EE}">
      <text>
        <r>
          <rPr>
            <sz val="11"/>
            <color theme="1"/>
            <rFont val="Aptos Narrow"/>
            <family val="2"/>
            <scheme val="minor"/>
          </rPr>
          <t>Rebecca Smith:
BaB Sheffield</t>
        </r>
      </text>
    </comment>
    <comment ref="FQ13" authorId="0" shapeId="0" xr:uid="{4D00871A-CFEB-4275-9ADB-EA398F98B6BA}">
      <text>
        <r>
          <rPr>
            <sz val="11"/>
            <color theme="1"/>
            <rFont val="Aptos Narrow"/>
            <family val="2"/>
            <scheme val="minor"/>
          </rPr>
          <t>Visiting BaB Scotland UPS replacement</t>
        </r>
      </text>
    </comment>
    <comment ref="GE13" authorId="0" shapeId="0" xr:uid="{9F1CDDBF-7F07-42AF-AA6E-97EC1857DA67}">
      <text>
        <r>
          <rPr>
            <sz val="11"/>
            <color theme="1"/>
            <rFont val="Aptos Narrow"/>
            <family val="2"/>
            <scheme val="minor"/>
          </rPr>
          <t>Visiting BaB Scotland UPS replacement</t>
        </r>
      </text>
    </comment>
    <comment ref="KE13" authorId="15" shapeId="0" xr:uid="{89C7124E-727A-4086-B4A1-E73DDFE11A9F}">
      <text>
        <t>[Threaded comment]
Your version of Excel allows you to read this threaded comment; however, any edits to it will get removed if the file is opened in a newer version of Excel. Learn more: https://go.microsoft.com/fwlink/?linkid=870924
Comment:
    89253 - name me stand</t>
      </text>
    </comment>
    <comment ref="LE13" authorId="16" shapeId="0" xr:uid="{0CF57ACF-1EC4-4AD4-AD98-8E754EE2F74B}">
      <text>
        <t>[Threaded comment]
Your version of Excel allows you to read this threaded comment; however, any edits to it will get removed if the file is opened in a newer version of Excel. Learn more: https://go.microsoft.com/fwlink/?linkid=870924
Comment:
    Mi Review @ 11:30</t>
      </text>
    </comment>
    <comment ref="LF13" authorId="17" shapeId="0" xr:uid="{E6CDF48D-E531-467F-BC3E-19FF3D4684A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Chesterfield office PM</t>
      </text>
    </comment>
    <comment ref="LO13" authorId="18" shapeId="0" xr:uid="{FDA8D32E-BD0C-4A41-BE1C-DB55FE539E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will then head to Buchanan </t>
      </text>
    </comment>
    <comment ref="LS13" authorId="19" shapeId="0" xr:uid="{9E1DBC26-4D37-4A6A-8BEC-B94C135FDF6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Chesterfield office pm</t>
      </text>
    </comment>
    <comment ref="LZ13" authorId="20" shapeId="0" xr:uid="{6AAD606B-7A0B-459C-AAFF-7208CFD6223F}">
      <text>
        <t>[Threaded comment]
Your version of Excel allows you to read this threaded comment; however, any edits to it will get removed if the file is opened in a newer version of Excel. Learn more: https://go.microsoft.com/fwlink/?linkid=870924
Comment:
    Gloucester office</t>
      </text>
    </comment>
    <comment ref="MD13" authorId="21" shapeId="0" xr:uid="{71BF11C4-6575-4812-9385-B7DAF8B305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Leeds store- cable replacement
</t>
      </text>
    </comment>
    <comment ref="MO13" authorId="22" shapeId="0" xr:uid="{D8D092E6-D0A5-4BD5-8415-539A9F84D8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9-11 ITIL Training </t>
      </text>
    </comment>
    <comment ref="MP13" authorId="23" shapeId="0" xr:uid="{491574D0-4161-4112-A7D4-387E4C2994CA}">
      <text>
        <t>[Threaded comment]
Your version of Excel allows you to read this threaded comment; however, any edits to it will get removed if the file is opened in a newer version of Excel. Learn more: https://go.microsoft.com/fwlink/?linkid=870924
Comment:
    9-11 ITIL</t>
      </text>
    </comment>
    <comment ref="MR13" authorId="24" shapeId="0" xr:uid="{B79B1887-B6FB-4CA7-A447-C44C3E29E872}">
      <text>
        <t>[Threaded comment]
Your version of Excel allows you to read this threaded comment; however, any edits to it will get removed if the file is opened in a newer version of Excel. Learn more: https://go.microsoft.com/fwlink/?linkid=870924
Comment:
    2:30-4:30 ITIL</t>
      </text>
    </comment>
    <comment ref="MU13" authorId="2" shapeId="0" xr:uid="{C036E1AB-04EF-41F6-A4B3-ABDA2B821BC3}">
      <text>
        <r>
          <rPr>
            <sz val="11"/>
            <color theme="1"/>
            <rFont val="Aptos Narrow"/>
            <family val="2"/>
            <scheme val="minor"/>
          </rPr>
          <t xml:space="preserve">Rebecca Smith:
Exam booked for 4:10
</t>
        </r>
      </text>
    </comment>
    <comment ref="L15" authorId="1" shapeId="0" xr:uid="{89241103-BD2D-4DB3-B665-2E27D6F0D48B}">
      <text>
        <r>
          <rPr>
            <sz val="11"/>
            <color theme="1"/>
            <rFont val="Aptos Narrow"/>
            <family val="2"/>
            <scheme val="minor"/>
          </rPr>
          <t>Shane Visagie:
VSOC</t>
        </r>
      </text>
    </comment>
    <comment ref="BB15" authorId="0" shapeId="0" xr:uid="{7BE567EC-5A49-45F0-84DF-6ED4059C64CE}">
      <text>
        <r>
          <rPr>
            <sz val="11"/>
            <color theme="1"/>
            <rFont val="Aptos Narrow"/>
            <family val="2"/>
            <scheme val="minor"/>
          </rPr>
          <t>Jack Mumford:
VSOC Visited</t>
        </r>
      </text>
    </comment>
    <comment ref="BG15" authorId="0" shapeId="0" xr:uid="{30D317B8-A122-4CBA-8966-23C2839CA85D}">
      <text>
        <r>
          <rPr>
            <sz val="11"/>
            <color theme="1"/>
            <rFont val="Aptos Narrow"/>
            <family val="2"/>
            <scheme val="minor"/>
          </rPr>
          <t>Jack Mumford:
Laptops at Croft
Simpson Associates Gloucester Firewall work</t>
        </r>
      </text>
    </comment>
    <comment ref="BH15" authorId="0" shapeId="0" xr:uid="{776D379C-0878-40EC-A9E8-401A93C3157E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BO15" authorId="0" shapeId="0" xr:uid="{F3DA46A6-6049-495C-AC90-CB76FECA2591}">
      <text>
        <r>
          <rPr>
            <sz val="11"/>
            <color theme="1"/>
            <rFont val="Aptos Narrow"/>
            <family val="2"/>
            <scheme val="minor"/>
          </rPr>
          <t>Jack Mumford:
VSOC Visit</t>
        </r>
      </text>
    </comment>
    <comment ref="BP15" authorId="0" shapeId="0" xr:uid="{300C43E7-232E-4840-B36F-7CA26FF2D002}">
      <text>
        <r>
          <rPr>
            <sz val="11"/>
            <color theme="1"/>
            <rFont val="Aptos Narrow"/>
            <family val="2"/>
            <scheme val="minor"/>
          </rPr>
          <t>Jack Mumford:
BaB</t>
        </r>
      </text>
    </comment>
    <comment ref="BW15" authorId="0" shapeId="0" xr:uid="{BD7CFB6D-BA3A-4C1D-9C8C-52F724F96F25}">
      <text>
        <r>
          <rPr>
            <sz val="11"/>
            <color theme="1"/>
            <rFont val="Aptos Narrow"/>
            <family val="2"/>
            <scheme val="minor"/>
          </rPr>
          <t>Jack Mumford:
WYP + working with Udit on VSOC Site</t>
        </r>
      </text>
    </comment>
    <comment ref="CH15" authorId="1" shapeId="0" xr:uid="{DDC46854-980B-4F3B-B8CD-0E722D729E92}">
      <text>
        <r>
          <rPr>
            <sz val="11"/>
            <color theme="1"/>
            <rFont val="Aptos Narrow"/>
            <family val="2"/>
            <scheme val="minor"/>
          </rPr>
          <t>Shane Visagie:
Half day Afternoon off</t>
        </r>
      </text>
    </comment>
    <comment ref="CV15" authorId="0" shapeId="0" xr:uid="{16AD4FD0-CD73-4ACC-A384-CAC606C63043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CY15" authorId="0" shapeId="0" xr:uid="{C167CE66-1E08-4F2C-81E5-A7E0BFD11A43}">
      <text>
        <r>
          <rPr>
            <sz val="11"/>
            <color theme="1"/>
            <rFont val="Aptos Narrow"/>
            <family val="2"/>
            <scheme val="minor"/>
          </rPr>
          <t>Jack Mumford:
VSOC Visit</t>
        </r>
      </text>
    </comment>
    <comment ref="CZ15" authorId="0" shapeId="0" xr:uid="{8816D496-8790-4FFD-8DED-48400CEEE1B6}">
      <text>
        <r>
          <rPr>
            <sz val="11"/>
            <color theme="1"/>
            <rFont val="Aptos Narrow"/>
            <family val="2"/>
            <scheme val="minor"/>
          </rPr>
          <t>Jack Mumford:
VSOC Visit</t>
        </r>
      </text>
    </comment>
    <comment ref="DD15" authorId="0" shapeId="0" xr:uid="{8E1E2B40-B1E2-4931-A7FC-7CB12161C1B0}">
      <text>
        <r>
          <rPr>
            <sz val="11"/>
            <color theme="1"/>
            <rFont val="Aptos Narrow"/>
            <family val="2"/>
            <scheme val="minor"/>
          </rPr>
          <t>Jack Mumford:
AvePoint Training (In-person)</t>
        </r>
      </text>
    </comment>
    <comment ref="EB15" authorId="0" shapeId="0" xr:uid="{09163254-683B-4125-868D-ABEE587DA3EA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EF15" authorId="0" shapeId="0" xr:uid="{9C71E428-CA04-49A6-8BAA-0C90958A54DE}">
      <text>
        <r>
          <rPr>
            <sz val="11"/>
            <color theme="1"/>
            <rFont val="Aptos Narrow"/>
            <family val="2"/>
            <scheme val="minor"/>
          </rPr>
          <t>In Gloucester - Working with Ben L on Security Review</t>
        </r>
      </text>
    </comment>
    <comment ref="EH15" authorId="1" shapeId="0" xr:uid="{D780128C-9143-4475-9773-CC99D7A39994}">
      <text>
        <r>
          <rPr>
            <sz val="11"/>
            <color theme="1"/>
            <rFont val="Aptos Narrow"/>
            <family val="2"/>
            <scheme val="minor"/>
          </rPr>
          <t>Shane Visagie:
Radnor - In place of Ray on AL</t>
        </r>
      </text>
    </comment>
    <comment ref="EL15" authorId="0" shapeId="0" xr:uid="{D0A84FA7-6111-4FEF-9889-B7A47F55AB3B}">
      <text>
        <r>
          <rPr>
            <sz val="11"/>
            <color theme="1"/>
            <rFont val="Aptos Narrow"/>
            <family val="2"/>
            <scheme val="minor"/>
          </rPr>
          <t>VSOC replace server drives</t>
        </r>
      </text>
    </comment>
    <comment ref="EO15" authorId="0" shapeId="0" xr:uid="{4EB58FD3-1F26-49A0-8D18-BC9E862AD46A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ET15" authorId="0" shapeId="0" xr:uid="{77352D88-70A3-45E7-90DD-C6D98DB1BD8E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EU15" authorId="0" shapeId="0" xr:uid="{F513B165-C5B6-4046-91AD-3FB23F5F20F9}">
      <text>
        <r>
          <rPr>
            <sz val="11"/>
            <color theme="1"/>
            <rFont val="Aptos Narrow"/>
            <family val="2"/>
            <scheme val="minor"/>
          </rPr>
          <t>Jack Mumford:
VSOC</t>
        </r>
      </text>
    </comment>
    <comment ref="FB15" authorId="0" shapeId="0" xr:uid="{B6F136F9-8CF3-46F4-91BC-89BA4CEFB119}">
      <text>
        <r>
          <rPr>
            <sz val="11"/>
            <color theme="1"/>
            <rFont val="Aptos Narrow"/>
            <family val="2"/>
            <scheme val="minor"/>
          </rPr>
          <t>Jack Mumford:
Wfh in afternoon</t>
        </r>
      </text>
    </comment>
    <comment ref="FC15" authorId="0" shapeId="0" xr:uid="{5463FFB9-C6BA-4175-AAC7-F74D60CC1AFA}">
      <text>
        <r>
          <rPr>
            <sz val="11"/>
            <color theme="1"/>
            <rFont val="Aptos Narrow"/>
            <family val="2"/>
            <scheme val="minor"/>
          </rPr>
          <t>Jack Mumford:
Wfh in afternoon</t>
        </r>
      </text>
    </comment>
    <comment ref="FH15" authorId="0" shapeId="0" xr:uid="{A03F8971-B7A9-4B8F-B111-A36C0735745F}">
      <text>
        <r>
          <rPr>
            <sz val="11"/>
            <color theme="1"/>
            <rFont val="Aptos Narrow"/>
            <family val="2"/>
            <scheme val="minor"/>
          </rPr>
          <t>Jack Mumford:
Wifi Survey Hub8</t>
        </r>
      </text>
    </comment>
    <comment ref="FJ15" authorId="0" shapeId="0" xr:uid="{A2DCFAB9-80E4-4091-9E8E-CCAF3AD7D967}">
      <text>
        <r>
          <rPr>
            <sz val="11"/>
            <color theme="1"/>
            <rFont val="Aptos Narrow"/>
            <family val="2"/>
            <scheme val="minor"/>
          </rPr>
          <t>Jack Mumford:
Wifi Survey for Simpson Associates Gloucester</t>
        </r>
      </text>
    </comment>
    <comment ref="FK15" authorId="0" shapeId="0" xr:uid="{1A3D812E-419F-49C1-9C1E-8E635D8F14F0}">
      <text>
        <r>
          <rPr>
            <sz val="11"/>
            <color theme="1"/>
            <rFont val="Aptos Narrow"/>
            <family val="2"/>
            <scheme val="minor"/>
          </rPr>
          <t>Jack Mumford:
Chart Street Site visit VSOC</t>
        </r>
      </text>
    </comment>
    <comment ref="FN15" authorId="0" shapeId="0" xr:uid="{55E736A1-A55C-4AE3-B5E7-4ECA1FC274BB}">
      <text>
        <r>
          <rPr>
            <sz val="11"/>
            <color theme="1"/>
            <rFont val="Aptos Narrow"/>
            <family val="2"/>
            <scheme val="minor"/>
          </rPr>
          <t>Jack Mumford:
BOOKED OUT for catchup - Client Security Review</t>
        </r>
      </text>
    </comment>
    <comment ref="FP15" authorId="2" shapeId="0" xr:uid="{B723C697-B90E-403E-B335-4D941999D888}">
      <text>
        <r>
          <rPr>
            <sz val="11"/>
            <color theme="1"/>
            <rFont val="Aptos Narrow"/>
            <family val="2"/>
            <scheme val="minor"/>
          </rPr>
          <t xml:space="preserve">Rebecca Smith:
AM - Simpsons </t>
        </r>
      </text>
    </comment>
    <comment ref="FU15" authorId="0" shapeId="0" xr:uid="{1EEAE087-761F-4007-87AA-9B32AAE29E7A}">
      <text>
        <r>
          <rPr>
            <sz val="11"/>
            <color theme="1"/>
            <rFont val="Aptos Narrow"/>
            <family val="2"/>
            <scheme val="minor"/>
          </rPr>
          <t>Jack Mumford:
Working on VSOC Switches with Nayan?</t>
        </r>
      </text>
    </comment>
    <comment ref="FX15" authorId="2" shapeId="0" xr:uid="{7C4B5DAE-B95B-4C84-9DC5-9D53A5BD1D4F}">
      <text>
        <r>
          <rPr>
            <sz val="11"/>
            <color theme="1"/>
            <rFont val="Aptos Narrow"/>
            <family val="2"/>
            <scheme val="minor"/>
          </rPr>
          <t xml:space="preserve">Rebecca Smith:
UPA - AM </t>
        </r>
      </text>
    </comment>
    <comment ref="GB15" authorId="0" shapeId="0" xr:uid="{0916A1BA-EEF0-4CA8-8153-5DB964C43C04}">
      <text>
        <r>
          <rPr>
            <sz val="11"/>
            <color theme="1"/>
            <rFont val="Aptos Narrow"/>
            <family val="2"/>
            <scheme val="minor"/>
          </rPr>
          <t>Jack Mumford:
BOOKED OUT for catchup - Client Security Review</t>
        </r>
      </text>
    </comment>
    <comment ref="GD15" authorId="2" shapeId="0" xr:uid="{22CE5B8B-A94C-4213-97B0-692133ED63C8}">
      <text>
        <r>
          <rPr>
            <sz val="11"/>
            <color theme="1"/>
            <rFont val="Aptos Narrow"/>
            <family val="2"/>
            <scheme val="minor"/>
          </rPr>
          <t xml:space="preserve">Rebecca Smith:
AM - Simpsons </t>
        </r>
      </text>
    </comment>
    <comment ref="JH15" authorId="2" shapeId="0" xr:uid="{CE980E6E-908A-4D3A-8D2F-A02473A69FAD}">
      <text>
        <r>
          <rPr>
            <sz val="11"/>
            <color theme="1"/>
            <rFont val="Aptos Narrow"/>
            <family val="2"/>
            <scheme val="minor"/>
          </rPr>
          <t>Rebecca Smith:
Inbound internet testing</t>
        </r>
      </text>
    </comment>
    <comment ref="JJ15" authorId="2" shapeId="0" xr:uid="{BBC6F215-5C8C-45A0-8388-0BD5B0BE99BB}">
      <text>
        <r>
          <rPr>
            <sz val="11"/>
            <color theme="1"/>
            <rFont val="Aptos Narrow"/>
            <family val="2"/>
            <scheme val="minor"/>
          </rPr>
          <t xml:space="preserve">Rebecca Smith:
With Ben L for dac cable installation
</t>
        </r>
      </text>
    </comment>
    <comment ref="JL15" authorId="2" shapeId="0" xr:uid="{388D4A7F-FEEE-4B6D-AE21-1106D3015E9E}">
      <text>
        <r>
          <rPr>
            <sz val="11"/>
            <color theme="1"/>
            <rFont val="Aptos Narrow"/>
            <family val="2"/>
            <scheme val="minor"/>
          </rPr>
          <t xml:space="preserve">Rebecca Smith:
VSOC work in Glos office, using RAM from Henley to build server for VSOC </t>
        </r>
      </text>
    </comment>
    <comment ref="KM15" authorId="2" shapeId="0" xr:uid="{D8872C14-3B8B-4EED-BFD8-E41632D7B506}">
      <text>
        <r>
          <rPr>
            <sz val="11"/>
            <color theme="1"/>
            <rFont val="Aptos Narrow"/>
            <family val="2"/>
            <scheme val="minor"/>
          </rPr>
          <t>Rebecca Smith:
At GBEC</t>
        </r>
      </text>
    </comment>
    <comment ref="KN15" authorId="2" shapeId="0" xr:uid="{ED6A3C88-2E95-43DE-9E57-B4A7F3DFE457}">
      <text>
        <r>
          <rPr>
            <sz val="11"/>
            <color theme="1"/>
            <rFont val="Aptos Narrow"/>
            <family val="2"/>
            <scheme val="minor"/>
          </rPr>
          <t xml:space="preserve">Rebecca Smith:
Onsite </t>
        </r>
      </text>
    </comment>
    <comment ref="LZ15" authorId="2" shapeId="0" xr:uid="{83A818A7-9948-444D-AA7D-52B0238B1B8A}">
      <text>
        <r>
          <rPr>
            <sz val="11"/>
            <color theme="1"/>
            <rFont val="Aptos Narrow"/>
            <family val="2"/>
            <scheme val="minor"/>
          </rPr>
          <t xml:space="preserve">Rebecca Smith:
Remote
</t>
        </r>
      </text>
    </comment>
    <comment ref="MC15" authorId="2" shapeId="0" xr:uid="{E67607DE-BFC8-4E6F-8755-EEDCA4CD53F7}">
      <text>
        <r>
          <rPr>
            <sz val="11"/>
            <color theme="1"/>
            <rFont val="Aptos Narrow"/>
            <family val="2"/>
            <scheme val="minor"/>
          </rPr>
          <t xml:space="preserve">Rebecca Smith:
On site 
</t>
        </r>
      </text>
    </comment>
    <comment ref="MJ15" authorId="2" shapeId="0" xr:uid="{AD7FC7C0-AA51-4005-836F-77FA3D8FEA33}">
      <text>
        <r>
          <rPr>
            <sz val="11"/>
            <color theme="1"/>
            <rFont val="Aptos Narrow"/>
            <family val="2"/>
            <scheme val="minor"/>
          </rPr>
          <t xml:space="preserve">Rebecca Smith:
On site 
Complete 4 x PC tickets
</t>
        </r>
      </text>
    </comment>
    <comment ref="NF15" authorId="25" shapeId="0" xr:uid="{D45BE062-9B65-4B0E-A881-09A81F0292AA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Potentially in from 2pm, speak to Becca</t>
      </text>
    </comment>
    <comment ref="E16" authorId="1" shapeId="0" xr:uid="{EEED7645-04B0-4A78-AFFB-E6A0EE7C20C2}">
      <text>
        <r>
          <rPr>
            <sz val="11"/>
            <color theme="1"/>
            <rFont val="Aptos Narrow"/>
            <family val="2"/>
            <scheme val="minor"/>
          </rPr>
          <t>Shane Visagie:
On-site Store 2088</t>
        </r>
      </text>
    </comment>
    <comment ref="BU16" authorId="0" shapeId="0" xr:uid="{4B98ACF2-6BCC-4826-9192-1899EAB09CAC}">
      <text>
        <r>
          <rPr>
            <sz val="11"/>
            <color theme="1"/>
            <rFont val="Aptos Narrow"/>
            <family val="2"/>
            <scheme val="minor"/>
          </rPr>
          <t xml:space="preserve">Jack Mumford:
Hamleys Regent Street BaB
</t>
        </r>
      </text>
    </comment>
    <comment ref="CK16" authorId="0" shapeId="0" xr:uid="{757CA1DF-4CD3-4171-99B1-D758979F3AAC}">
      <text>
        <r>
          <rPr>
            <sz val="11"/>
            <color theme="1"/>
            <rFont val="Aptos Narrow"/>
            <family val="2"/>
            <scheme val="minor"/>
          </rPr>
          <t>Jack Mumford:
BaB Store 2016</t>
        </r>
      </text>
    </comment>
    <comment ref="EZ16" authorId="0" shapeId="0" xr:uid="{525F5A8A-FA2D-4DE5-BD54-E0D5F50DB419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A16" authorId="0" shapeId="0" xr:uid="{FC4384A3-24F9-4316-8820-80D3CB6B4FE7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B16" authorId="0" shapeId="0" xr:uid="{FE3EFAE1-4F1C-46D2-9273-6796E3CC58EC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C16" authorId="0" shapeId="0" xr:uid="{99C68F64-2578-4AAC-B437-662B135F4AF9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D16" authorId="0" shapeId="0" xr:uid="{1A4010C8-F326-4656-8F42-1E019AD00A69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G16" authorId="0" shapeId="0" xr:uid="{AC1F4601-832F-4157-BB1D-A66B63C49CED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H16" authorId="0" shapeId="0" xr:uid="{504D0A2A-A12F-4469-ABC5-4FCD5F63EF44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I16" authorId="0" shapeId="0" xr:uid="{67514BC1-B8C1-468D-95D8-ED1CC94C9025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J16" authorId="0" shapeId="0" xr:uid="{83274F50-6BFB-4C8C-A3FF-882F76001D77}">
      <text>
        <r>
          <rPr>
            <sz val="11"/>
            <color theme="1"/>
            <rFont val="Aptos Narrow"/>
            <family val="2"/>
            <scheme val="minor"/>
          </rPr>
          <t>Jack Mumford:
Council Workmen repair work</t>
        </r>
      </text>
    </comment>
    <comment ref="FK16" authorId="0" shapeId="0" xr:uid="{A7A6DD83-8B6B-4D1A-9983-44E736437130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N16" authorId="0" shapeId="0" xr:uid="{C1CFD4F1-AEB5-4DF9-B66E-D7B7C0D6A5C6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O16" authorId="0" shapeId="0" xr:uid="{FF7DB470-910F-4703-99A2-1D317DE00AA6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P16" authorId="0" shapeId="0" xr:uid="{7579EF7D-077B-4D35-ACF2-7B6648A20C59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Q16" authorId="0" shapeId="0" xr:uid="{2E28F969-A91E-467F-BCBE-2958AA70FFBB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FR16" authorId="0" shapeId="0" xr:uid="{4F1F35DF-1A77-4D11-AE06-EC0237A3A479}">
      <text>
        <r>
          <rPr>
            <sz val="11"/>
            <color theme="1"/>
            <rFont val="Aptos Narrow"/>
            <family val="2"/>
            <scheme val="minor"/>
          </rPr>
          <t>Jack Mumford:
Regent Street picking up boxes</t>
        </r>
      </text>
    </comment>
    <comment ref="GB16" authorId="0" shapeId="0" xr:uid="{0C1A362C-7A38-4137-AE0C-9137733B5415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GC16" authorId="0" shapeId="0" xr:uid="{1A76D2BF-04C0-4224-8426-556018BA6A1F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GD16" authorId="0" shapeId="0" xr:uid="{D0D7D0C4-A848-402B-8CE9-0CA471C792E5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GE16" authorId="0" shapeId="0" xr:uid="{D43B9060-7953-402E-93E0-0CD8B6FE322F}">
      <text>
        <r>
          <rPr>
            <sz val="11"/>
            <color theme="1"/>
            <rFont val="Aptos Narrow"/>
            <family val="2"/>
            <scheme val="minor"/>
          </rPr>
          <t>Jack Mumford:
Radnor</t>
        </r>
      </text>
    </comment>
    <comment ref="GF16" authorId="0" shapeId="0" xr:uid="{2D7322E0-92B8-45F9-B930-519599032C3B}">
      <text>
        <r>
          <rPr>
            <sz val="11"/>
            <color theme="1"/>
            <rFont val="Aptos Narrow"/>
            <family val="2"/>
            <scheme val="minor"/>
          </rPr>
          <t>Jack Mumford:
Regent Street picking up boxes</t>
        </r>
      </text>
    </comment>
    <comment ref="I18" authorId="1" shapeId="0" xr:uid="{914A76B4-605C-40EB-A6D5-CF038D25D278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J18" authorId="1" shapeId="0" xr:uid="{7C86406F-55F5-4D46-819C-0D724BF663F5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K18" authorId="1" shapeId="0" xr:uid="{C0B5BF44-0540-474A-98C4-0B53E2F23D88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L18" authorId="1" shapeId="0" xr:uid="{F0A70F31-5CE8-4A7E-8D78-511DCAB8C8B4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M18" authorId="1" shapeId="0" xr:uid="{DCF32B4B-DDC9-454E-9709-A7D235793089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FR18" authorId="2" shapeId="0" xr:uid="{943B85A5-0023-40A6-A10C-72E810401516}">
      <text>
        <r>
          <rPr>
            <sz val="11"/>
            <color theme="1"/>
            <rFont val="Aptos Narrow"/>
            <family val="2"/>
            <scheme val="minor"/>
          </rPr>
          <t>Rebecca Smith:
VSOC Works</t>
        </r>
      </text>
    </comment>
    <comment ref="FU18" authorId="2" shapeId="0" xr:uid="{F2CC3F9E-1FCA-457F-8B83-85BEB99B5966}">
      <text>
        <r>
          <rPr>
            <sz val="11"/>
            <color theme="1"/>
            <rFont val="Aptos Narrow"/>
            <family val="2"/>
            <scheme val="minor"/>
          </rPr>
          <t>Rebecca Smith:
VSOC in build room</t>
        </r>
      </text>
    </comment>
    <comment ref="GF18" authorId="2" shapeId="0" xr:uid="{F8736659-8B3E-4CCF-ABA0-2BC6110EFA6B}">
      <text>
        <r>
          <rPr>
            <sz val="11"/>
            <color theme="1"/>
            <rFont val="Aptos Narrow"/>
            <family val="2"/>
            <scheme val="minor"/>
          </rPr>
          <t>Rebecca Smith:
VSOC Works</t>
        </r>
      </text>
    </comment>
    <comment ref="IN18" authorId="6" shapeId="0" xr:uid="{35BB512E-ED99-4709-8681-010D92AB7993}">
      <text>
        <r>
          <rPr>
            <sz val="11"/>
            <color theme="1"/>
            <rFont val="Aptos Narrow"/>
            <family val="2"/>
            <scheme val="minor"/>
          </rPr>
          <t>Alex Lawson:
Due to son being ill with asthma</t>
        </r>
      </text>
    </comment>
    <comment ref="IW18" authorId="2" shapeId="0" xr:uid="{034C937D-A160-4070-9AC6-C1FB55C1D297}">
      <text>
        <r>
          <rPr>
            <sz val="11"/>
            <color theme="1"/>
            <rFont val="Aptos Narrow"/>
            <family val="2"/>
            <scheme val="minor"/>
          </rPr>
          <t xml:space="preserve">Rebecca Smith:
NML Documentation - 4 hours </t>
        </r>
      </text>
    </comment>
    <comment ref="KX18" authorId="2" shapeId="0" xr:uid="{1DECAF57-F407-4452-BBEF-0286C75315A7}">
      <text>
        <r>
          <rPr>
            <sz val="11"/>
            <color theme="1"/>
            <rFont val="Aptos Narrow"/>
            <family val="2"/>
            <scheme val="minor"/>
          </rPr>
          <t>Rebecca Smith:
Config work for switches at VSOC.</t>
        </r>
      </text>
    </comment>
    <comment ref="LE18" authorId="2" shapeId="0" xr:uid="{3BAF70FA-3097-4E9C-8569-4C17FD51DAFC}">
      <text>
        <r>
          <rPr>
            <sz val="11"/>
            <color theme="1"/>
            <rFont val="Aptos Narrow"/>
            <family val="2"/>
            <scheme val="minor"/>
          </rPr>
          <t xml:space="preserve">Rebecca Smith:
RFC for vsoc switches
Studying 
</t>
        </r>
      </text>
    </comment>
    <comment ref="LZ18" authorId="2" shapeId="0" xr:uid="{0E505993-EEA4-4257-A08B-9F26C946C5DC}">
      <text>
        <r>
          <rPr>
            <sz val="11"/>
            <color theme="1"/>
            <rFont val="Aptos Narrow"/>
            <family val="2"/>
            <scheme val="minor"/>
          </rPr>
          <t xml:space="preserve">Rebecca Smith:
SoW VSOC Switches </t>
        </r>
      </text>
    </comment>
    <comment ref="MC18" authorId="2" shapeId="0" xr:uid="{48117226-7346-4E3C-A313-B5381AABA0A6}">
      <text>
        <r>
          <rPr>
            <sz val="11"/>
            <color theme="1"/>
            <rFont val="Aptos Narrow"/>
            <family val="2"/>
            <scheme val="minor"/>
          </rPr>
          <t xml:space="preserve">Rebecca Smith:
On site 
</t>
        </r>
      </text>
    </comment>
    <comment ref="MD18" authorId="2" shapeId="0" xr:uid="{E9601DC5-AB98-41EE-94C0-B9E5B5847038}">
      <text>
        <r>
          <rPr>
            <sz val="11"/>
            <color theme="1"/>
            <rFont val="Aptos Narrow"/>
            <family val="2"/>
            <scheme val="minor"/>
          </rPr>
          <t xml:space="preserve">Rebecca Smith:
On site 
</t>
        </r>
      </text>
    </comment>
    <comment ref="MN18" authorId="2" shapeId="0" xr:uid="{321F433A-7021-4600-837A-34BEDC9911CB}">
      <text>
        <r>
          <rPr>
            <sz val="11"/>
            <color theme="1"/>
            <rFont val="Aptos Narrow"/>
            <family val="2"/>
            <scheme val="minor"/>
          </rPr>
          <t xml:space="preserve">Rebecca Smith:
Onsite </t>
        </r>
      </text>
    </comment>
    <comment ref="MO18" authorId="2" shapeId="0" xr:uid="{671987E8-8A48-44EF-A1CC-F200B32B94CB}">
      <text>
        <r>
          <rPr>
            <sz val="11"/>
            <color theme="1"/>
            <rFont val="Aptos Narrow"/>
            <family val="2"/>
            <scheme val="minor"/>
          </rPr>
          <t xml:space="preserve">Rebecca Smith:
Onsite 
</t>
        </r>
      </text>
    </comment>
    <comment ref="MP18" authorId="2" shapeId="0" xr:uid="{F38C9FCD-A679-49AD-81AE-46362A96D6DB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P19" authorId="1" shapeId="0" xr:uid="{1ADF697B-364F-4051-B840-EC3636211CC1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Q19" authorId="1" shapeId="0" xr:uid="{D545EC51-E28F-4DD4-800B-8B0CDA760B86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R19" authorId="1" shapeId="0" xr:uid="{7F8F5058-9185-4320-BC0C-37054FCF24D4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S19" authorId="1" shapeId="0" xr:uid="{99A2699E-FC7A-4F79-90BC-4CA6965FFEB4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T19" authorId="1" shapeId="0" xr:uid="{F333F133-CA0F-4A39-AFDF-A9AC6A6D8239}">
      <text>
        <r>
          <rPr>
            <sz val="11"/>
            <color theme="1"/>
            <rFont val="Aptos Narrow"/>
            <family val="2"/>
            <scheme val="minor"/>
          </rPr>
          <t>Shane Visagie:
On-Call</t>
        </r>
      </text>
    </comment>
    <comment ref="BG19" authorId="0" shapeId="0" xr:uid="{66BFA3B8-B170-4188-9C86-3FE7CEC54C10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DK19" authorId="1" shapeId="0" xr:uid="{BB1E1C54-B68A-40D5-B49A-FCBACFC3B7CB}">
      <text>
        <r>
          <rPr>
            <sz val="11"/>
            <color theme="1"/>
            <rFont val="Aptos Narrow"/>
            <family val="2"/>
            <scheme val="minor"/>
          </rPr>
          <t>Shane Visagie:
WFH</t>
        </r>
      </text>
    </comment>
    <comment ref="FU19" authorId="2" shapeId="0" xr:uid="{64D93E6F-2CF7-4D2E-894A-E80AC17A63F1}">
      <text>
        <r>
          <rPr>
            <sz val="11"/>
            <color theme="1"/>
            <rFont val="Aptos Narrow"/>
            <family val="2"/>
            <scheme val="minor"/>
          </rPr>
          <t>Rebecca Smith:
VSOC in build room</t>
        </r>
      </text>
    </comment>
    <comment ref="IB19" authorId="2" shapeId="0" xr:uid="{A6C20D3C-A70D-41ED-8E21-1AEAAD9570D2}">
      <text>
        <r>
          <rPr>
            <sz val="11"/>
            <color theme="1"/>
            <rFont val="Aptos Narrow"/>
            <family val="2"/>
            <scheme val="minor"/>
          </rPr>
          <t xml:space="preserve">Rebecca Smith:
WFH
Configure Ingenia NAS </t>
        </r>
      </text>
    </comment>
    <comment ref="II19" authorId="2" shapeId="0" xr:uid="{F9860B7E-8A0C-4D1D-9976-EBE27F5DCB1A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N19" authorId="2" shapeId="0" xr:uid="{3DF3B71B-4F42-416A-AEA8-8730ECA2C4F3}">
      <text>
        <r>
          <rPr>
            <sz val="11"/>
            <color theme="1"/>
            <rFont val="Aptos Narrow"/>
            <family val="2"/>
            <scheme val="minor"/>
          </rPr>
          <t xml:space="preserve">Rebecca Smith:
Meeting 10:30-11:00
</t>
        </r>
      </text>
    </comment>
    <comment ref="IU19" authorId="2" shapeId="0" xr:uid="{5537BA7F-ADFF-4731-BFE8-B22E57D16C38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JQ19" authorId="26" shapeId="0" xr:uid="{1C7BED5A-414B-4CC8-A193-29091ADB63DE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 holder for DWP support</t>
      </text>
    </comment>
    <comment ref="JR19" authorId="27" shapeId="0" xr:uid="{4EE8FDFE-DCEA-4373-9C38-EA5665C485B9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 holder for DWP support</t>
      </text>
    </comment>
    <comment ref="JW19" authorId="2" shapeId="0" xr:uid="{9D63FF82-580E-4E86-9F96-76D70F54A364}">
      <text>
        <r>
          <rPr>
            <sz val="11"/>
            <color theme="1"/>
            <rFont val="Aptos Narrow"/>
            <family val="2"/>
            <scheme val="minor"/>
          </rPr>
          <t xml:space="preserve">Rebecca Smith:
Deloitte Bristol AM </t>
        </r>
      </text>
    </comment>
    <comment ref="KK19" authorId="2" shapeId="0" xr:uid="{AE0E806F-E1FF-4882-A4E1-9BC09E41AC54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KN19" authorId="2" shapeId="0" xr:uid="{B7C304FE-677C-4635-8F8C-AE173B4AEC65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KX19" authorId="2" shapeId="0" xr:uid="{6EC39EC1-A971-4986-9EE2-CCCDCD72527F}">
      <text>
        <r>
          <rPr>
            <sz val="11"/>
            <color theme="1"/>
            <rFont val="Aptos Narrow"/>
            <family val="2"/>
            <scheme val="minor"/>
          </rPr>
          <t xml:space="preserve">Rebecca Smith:
Cloudflare
Radnor 
Eaton 
DWP 
</t>
        </r>
      </text>
    </comment>
    <comment ref="KY19" authorId="2" shapeId="0" xr:uid="{EBFB6CC9-B768-47B8-AFB2-28C0A29B42ED}">
      <text>
        <r>
          <rPr>
            <sz val="11"/>
            <color theme="1"/>
            <rFont val="Aptos Narrow"/>
            <family val="2"/>
            <scheme val="minor"/>
          </rPr>
          <t xml:space="preserve">Rebecca Smith:
Cloudflare
Radnor 
Eaton 
DWP 
</t>
        </r>
      </text>
    </comment>
    <comment ref="KZ19" authorId="2" shapeId="0" xr:uid="{06005F87-7FDC-4FF5-AADD-D5FC1F641DE2}">
      <text>
        <r>
          <rPr>
            <sz val="11"/>
            <color theme="1"/>
            <rFont val="Aptos Narrow"/>
            <family val="2"/>
            <scheme val="minor"/>
          </rPr>
          <t xml:space="preserve">Rebecca Smith:
Cloudflare
Radnor 
Eaton 
DWP 
</t>
        </r>
      </text>
    </comment>
    <comment ref="LL19" authorId="2" shapeId="0" xr:uid="{ECABCF66-741C-4456-9802-018CA9363A47}">
      <text>
        <r>
          <rPr>
            <sz val="11"/>
            <color theme="1"/>
            <rFont val="Aptos Narrow"/>
            <family val="2"/>
            <scheme val="minor"/>
          </rPr>
          <t xml:space="preserve">Rebecca Smith:
Simpson
Admin 
DWP 
</t>
        </r>
      </text>
    </comment>
    <comment ref="LM19" authorId="2" shapeId="0" xr:uid="{CB303651-B89F-4263-B406-07678148CE46}">
      <text>
        <r>
          <rPr>
            <sz val="11"/>
            <color theme="1"/>
            <rFont val="Aptos Narrow"/>
            <family val="2"/>
            <scheme val="minor"/>
          </rPr>
          <t xml:space="preserve">Rebecca Smith:
Simpson
Admin 
DWP 
</t>
        </r>
      </text>
    </comment>
    <comment ref="LN19" authorId="2" shapeId="0" xr:uid="{0A942E58-3EF6-4DC0-B379-5CC9A885150B}">
      <text>
        <r>
          <rPr>
            <sz val="11"/>
            <color theme="1"/>
            <rFont val="Aptos Narrow"/>
            <family val="2"/>
            <scheme val="minor"/>
          </rPr>
          <t xml:space="preserve">Rebecca Smith:
Simpson
Admin 
DWP 
</t>
        </r>
      </text>
    </comment>
    <comment ref="LZ19" authorId="2" shapeId="0" xr:uid="{6B6E334B-BF8A-47C3-93B9-FE8EB55F356F}">
      <text>
        <r>
          <rPr>
            <sz val="11"/>
            <color theme="1"/>
            <rFont val="Aptos Narrow"/>
            <family val="2"/>
            <scheme val="minor"/>
          </rPr>
          <t xml:space="preserve">Rebecca Smith:
DWP </t>
        </r>
      </text>
    </comment>
    <comment ref="MA19" authorId="2" shapeId="0" xr:uid="{A79269B1-83FE-4957-BFC1-385B877F44C6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H19" authorId="2" shapeId="0" xr:uid="{672252C2-E8EE-45CE-90DF-F91928C3DEDF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DK20" authorId="1" shapeId="0" xr:uid="{C9C3896A-ACA8-4BD0-9831-D84293746FF2}">
      <text>
        <r>
          <rPr>
            <sz val="11"/>
            <color theme="1"/>
            <rFont val="Aptos Narrow"/>
            <family val="2"/>
            <scheme val="minor"/>
          </rPr>
          <t>Shane Visagie:
Prep for NML install</t>
        </r>
      </text>
    </comment>
    <comment ref="DL20" authorId="1" shapeId="0" xr:uid="{147B9BBF-EF33-4771-B170-FF6671BFE15B}">
      <text>
        <r>
          <rPr>
            <sz val="11"/>
            <color theme="1"/>
            <rFont val="Aptos Narrow"/>
            <family val="2"/>
            <scheme val="minor"/>
          </rPr>
          <t>Shane Visagie:
All day Liverpool on-site</t>
        </r>
      </text>
    </comment>
    <comment ref="DN20" authorId="1" shapeId="0" xr:uid="{F12D88DF-950F-4B3B-B651-12805AD4B95C}">
      <text>
        <r>
          <rPr>
            <sz val="11"/>
            <color theme="1"/>
            <rFont val="Aptos Narrow"/>
            <family val="2"/>
            <scheme val="minor"/>
          </rPr>
          <t>Shane Visagie:
GHC on-site EJC 09:00-13:00</t>
        </r>
      </text>
    </comment>
    <comment ref="HM20" authorId="2" shapeId="0" xr:uid="{AF2CD28B-3C50-4221-93C5-AEDA3CE1F647}">
      <text>
        <r>
          <rPr>
            <sz val="11"/>
            <color theme="1"/>
            <rFont val="Aptos Narrow"/>
            <family val="2"/>
            <scheme val="minor"/>
          </rPr>
          <t>Rebecca Smith:
Tidying cables in office</t>
        </r>
      </text>
    </comment>
    <comment ref="IH20" authorId="2" shapeId="0" xr:uid="{AC57F73A-BB46-4F49-8D7A-486ECE710CA2}">
      <text>
        <r>
          <rPr>
            <sz val="11"/>
            <color theme="1"/>
            <rFont val="Aptos Narrow"/>
            <family val="2"/>
            <scheme val="minor"/>
          </rPr>
          <t xml:space="preserve">Rebecca Smith:
Henley </t>
        </r>
      </text>
    </comment>
    <comment ref="LE20" authorId="2" shapeId="0" xr:uid="{55041877-7070-444D-B937-8433BBAA7AD3}">
      <text>
        <r>
          <rPr>
            <sz val="11"/>
            <color theme="1"/>
            <rFont val="Aptos Narrow"/>
            <family val="2"/>
            <scheme val="minor"/>
          </rPr>
          <t xml:space="preserve">Rebecca Smith:
DWP 
Unit to drop printers off
</t>
        </r>
      </text>
    </comment>
    <comment ref="MJ20" authorId="2" shapeId="0" xr:uid="{91ECDC99-E6E9-4A44-95FA-7436B177B111}">
      <text>
        <r>
          <rPr>
            <sz val="11"/>
            <color theme="1"/>
            <rFont val="Aptos Narrow"/>
            <family val="2"/>
            <scheme val="minor"/>
          </rPr>
          <t xml:space="preserve">Rebecca Smith:
On site 
</t>
        </r>
      </text>
    </comment>
    <comment ref="AV22" authorId="0" shapeId="0" xr:uid="{E47964B2-F8B4-4928-BC9C-18DF88F7B117}">
      <text>
        <r>
          <rPr>
            <sz val="11"/>
            <color theme="1"/>
            <rFont val="Aptos Narrow"/>
            <family val="2"/>
            <scheme val="minor"/>
          </rPr>
          <t>Jack Mumford:
Afternoon off</t>
        </r>
      </text>
    </comment>
    <comment ref="BO22" authorId="0" shapeId="0" xr:uid="{48E1AD3B-FDE8-4A17-8848-2941B00EB704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P22" authorId="0" shapeId="0" xr:uid="{18B0817D-90B0-4843-BD31-321F1CC4AAB1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BQ22" authorId="0" shapeId="0" xr:uid="{8CA960C6-39B5-41E6-816A-6A12FE506188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EZ23" authorId="0" shapeId="0" xr:uid="{7EA8311F-481E-487C-90CD-C4098608A3CF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B23" authorId="0" shapeId="0" xr:uid="{9DD364C5-0C2D-476C-903A-CEBB54303277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G23" authorId="0" shapeId="0" xr:uid="{32641619-DDAE-4DF4-AB79-69B2D51F4404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J23" authorId="0" shapeId="0" xr:uid="{4228C1D1-CAA8-4851-8CC1-535704B4E511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O23" authorId="0" shapeId="0" xr:uid="{0B93BA0F-746F-4502-811C-6C1066E03531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V23" authorId="0" shapeId="0" xr:uid="{4E3062C9-2C63-4426-AB14-6E0253432475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FW23" authorId="0" shapeId="0" xr:uid="{3DF8ED1F-EB48-46C5-B7E2-6E72E8132E17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GC23" authorId="0" shapeId="0" xr:uid="{776289D1-B188-406D-B53F-0A3EAE86C71D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JQ24" authorId="28" shapeId="0" xr:uid="{11B20830-ABD1-4F61-924B-A6BFFFD21F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wfh am - Dr appointment </t>
      </text>
    </comment>
    <comment ref="JX24" authorId="29" shapeId="0" xr:uid="{88255EB0-C861-4DA3-B5C9-8B6749245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 appointment @ 3 </t>
      </text>
    </comment>
    <comment ref="JY24" authorId="30" shapeId="0" xr:uid="{116DB0BF-D4EE-45E6-8399-15443C1846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wfh am - Dr appointment </t>
      </text>
    </comment>
    <comment ref="KY24" authorId="31" shapeId="0" xr:uid="{BDF06C34-8443-4335-BC23-11B207A34DFE}">
      <text>
        <t>[Threaded comment]
Your version of Excel allows you to read this threaded comment; however, any edits to it will get removed if the file is opened in a newer version of Excel. Learn more: https://go.microsoft.com/fwlink/?linkid=870924
Comment:
    DRs appointment 8:30</t>
      </text>
    </comment>
    <comment ref="LE24" authorId="32" shapeId="0" xr:uid="{C04F65F8-D25A-4C98-B90B-83E1C8236B92}">
      <text>
        <t>[Threaded comment]
Your version of Excel allows you to read this threaded comment; however, any edits to it will get removed if the file is opened in a newer version of Excel. Learn more: https://go.microsoft.com/fwlink/?linkid=870924
Comment:
    Hospital app 9:30</t>
      </text>
    </comment>
    <comment ref="LS24" authorId="33" shapeId="0" xr:uid="{4868A2A2-8B19-4ECA-9ED9-1302630FCFC0}">
      <text>
        <t>[Threaded comment]
Your version of Excel allows you to read this threaded comment; however, any edits to it will get removed if the file is opened in a newer version of Excel. Learn more: https://go.microsoft.com/fwlink/?linkid=870924
Comment:
    Hospital app 10:30</t>
      </text>
    </comment>
    <comment ref="DQ25" authorId="1" shapeId="0" xr:uid="{B6140213-87AE-4CE4-A0E8-A7A4B6808937}">
      <text>
        <r>
          <rPr>
            <sz val="11"/>
            <color theme="1"/>
            <rFont val="Aptos Narrow"/>
            <family val="2"/>
            <scheme val="minor"/>
          </rPr>
          <t>Shane Visagie:
Fire Marshall Course - AM only</t>
        </r>
      </text>
    </comment>
    <comment ref="FG26" authorId="2" shapeId="0" xr:uid="{1810F0FA-D735-4AF9-8743-C5A80F8BD7BE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FX26" authorId="2" shapeId="0" xr:uid="{15DACE2E-EACB-4EE9-B1DA-84B60E6F1299}">
      <text>
        <r>
          <rPr>
            <sz val="11"/>
            <color theme="1"/>
            <rFont val="Aptos Narrow"/>
            <family val="2"/>
            <scheme val="minor"/>
          </rPr>
          <t xml:space="preserve">Rebecca Smith:
WFH </t>
        </r>
      </text>
    </comment>
    <comment ref="HO26" authorId="2" shapeId="0" xr:uid="{765EBD2A-4C82-4340-A64C-75BA72165474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O26" authorId="2" shapeId="0" xr:uid="{77FDF80E-19C9-4F7E-92AC-87C01AEAB2A7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FN27" authorId="0" shapeId="0" xr:uid="{9B773BBF-3270-4381-B9B9-379B6B4DF1CB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  <comment ref="GT27" authorId="2" shapeId="0" xr:uid="{21353D24-DA6B-4AD3-A7EC-4C76D1E2E528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GW27" authorId="2" shapeId="0" xr:uid="{4552302E-6CD0-41FF-9769-78E8986F3DCF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HN27" authorId="2" shapeId="0" xr:uid="{FBCFFB0E-D795-47FB-AD1F-12A413A38A96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HU27" authorId="2" shapeId="0" xr:uid="{D9534757-AC64-433D-BD8C-78296B8951D8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I27" authorId="2" shapeId="0" xr:uid="{50307A2A-AF1A-4942-A8FB-CFECE804781B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IN27" authorId="2" shapeId="0" xr:uid="{ED015448-6449-45EA-BC54-FE79E41297D6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LA27" authorId="2" shapeId="0" xr:uid="{BDED7489-36F4-49C2-A248-6484FFBEE2C0}">
      <text>
        <r>
          <rPr>
            <sz val="11"/>
            <color theme="1"/>
            <rFont val="Aptos Narrow"/>
            <family val="2"/>
            <scheme val="minor"/>
          </rPr>
          <t xml:space="preserve">Rebecca Smith:
Revision
</t>
        </r>
      </text>
    </comment>
    <comment ref="LO27" authorId="2" shapeId="0" xr:uid="{448B8ED7-D1B6-48ED-981E-971E0F81D892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LT27" authorId="2" shapeId="0" xr:uid="{1AF3000D-854F-4508-9F82-0F99B1DB5A15}">
      <text>
        <r>
          <rPr>
            <sz val="11"/>
            <color theme="1"/>
            <rFont val="Aptos Narrow"/>
            <family val="2"/>
            <scheme val="minor"/>
          </rPr>
          <t>Rebecca Smith:
Doctors 9.15am, WFH morning will come in after</t>
        </r>
      </text>
    </comment>
    <comment ref="LV27" authorId="2" shapeId="0" xr:uid="{ADEA6A1C-443B-4C36-9140-86C2AAF1EEE4}">
      <text>
        <r>
          <rPr>
            <sz val="11"/>
            <color theme="1"/>
            <rFont val="Aptos Narrow"/>
            <family val="2"/>
            <scheme val="minor"/>
          </rPr>
          <t>Rebecca Smith:
Revision</t>
        </r>
      </text>
    </comment>
    <comment ref="LW27" authorId="2" shapeId="0" xr:uid="{50937F0F-CE1B-40B7-B092-48B37DC5CDDF}">
      <text>
        <r>
          <rPr>
            <sz val="11"/>
            <color theme="1"/>
            <rFont val="Aptos Narrow"/>
            <family val="2"/>
            <scheme val="minor"/>
          </rPr>
          <t>Rebecca Smith:
WFH</t>
        </r>
      </text>
    </comment>
    <comment ref="MA27" authorId="2" shapeId="0" xr:uid="{7E193FCA-16C9-47BF-B538-1D88C29BE75D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MD27" authorId="2" shapeId="0" xr:uid="{07842250-7563-4D68-95D8-F64F6B1238FA}">
      <text>
        <r>
          <rPr>
            <sz val="11"/>
            <color theme="1"/>
            <rFont val="Aptos Narrow"/>
            <family val="2"/>
            <scheme val="minor"/>
          </rPr>
          <t xml:space="preserve">Rebecca Smith:
WFH
</t>
        </r>
      </text>
    </comment>
    <comment ref="BH28" authorId="0" shapeId="0" xr:uid="{B8760017-99A8-46C5-BFA2-9F2483983754}">
      <text>
        <r>
          <rPr>
            <sz val="11"/>
            <color theme="1"/>
            <rFont val="Aptos Narrow"/>
            <family val="2"/>
            <scheme val="minor"/>
          </rPr>
          <t>Jack Mumford:
WfH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<sst xmlns="http://schemas.openxmlformats.org/spreadsheetml/2006/main" count="12804" uniqueCount="597">
  <si>
    <t xml:space="preserve">This Workbook tracks the IT Teams resource usage over the year aswell as providing a comparison with the previous year. </t>
  </si>
  <si>
    <t>Year 2026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</si>
  <si>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</si>
  <si>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</si>
  <si>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</si>
  <si>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</si>
  <si>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</si>
  <si>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</si>
  <si>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</si>
  <si>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</si>
  <si>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</si>
  <si>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</si>
  <si>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</si>
  <si>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</si>
  <si>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 </t>
  </si>
  <si>
    <t>MGMT</t>
  </si>
  <si>
    <t xml:space="preserve">Feb </t>
  </si>
  <si>
    <t xml:space="preserve">Total </t>
  </si>
  <si>
    <t>Service Desk</t>
  </si>
  <si>
    <t>Capacity (Full Team)</t>
  </si>
  <si>
    <t xml:space="preserve">OST </t>
  </si>
  <si>
    <t>Opened</t>
  </si>
  <si>
    <t>OST BaB</t>
  </si>
  <si>
    <t>Closed</t>
  </si>
  <si>
    <t xml:space="preserve">Projects </t>
  </si>
  <si>
    <t>JM Left</t>
  </si>
  <si>
    <t>1x Support Engineer Vacancy</t>
  </si>
  <si>
    <t>Q1</t>
  </si>
  <si>
    <t>Q2</t>
  </si>
  <si>
    <t>Q3</t>
  </si>
  <si>
    <t>Q4</t>
  </si>
  <si>
    <t>&lt;90%            &gt;110%</t>
  </si>
  <si>
    <t>Within Capacity</t>
  </si>
  <si>
    <t>Under resourced</t>
  </si>
  <si>
    <t>Over Resourced</t>
  </si>
  <si>
    <t xml:space="preserve">PM Vacancy - 1x Support Engineer Feb </t>
  </si>
  <si>
    <t>Year 2025</t>
  </si>
  <si>
    <t>OST</t>
  </si>
  <si>
    <t>Projects</t>
  </si>
  <si>
    <t>Connectwise - Exc Alerts</t>
  </si>
  <si>
    <t>*Moved to HALO</t>
  </si>
  <si>
    <t xml:space="preserve">Includes test tickets/duplicates </t>
  </si>
  <si>
    <t>*includes Alerts &gt;</t>
  </si>
  <si>
    <t xml:space="preserve"> Maternity Leave - Jan - Sept, SDM/OPs July - September - PM Vacancy - Oct &gt; </t>
  </si>
  <si>
    <t xml:space="preserve">Year 2024 </t>
  </si>
  <si>
    <t>SD Available</t>
  </si>
  <si>
    <t>Capacity Current</t>
  </si>
  <si>
    <t>&lt;90% &gt;110%</t>
  </si>
  <si>
    <t>x1 Project Engineer Vacancy 1x 3rd Line Vacancy 1x OST</t>
  </si>
  <si>
    <t>x1 Project Engineer Vacancy 1x 3rd Line Vacancy</t>
  </si>
  <si>
    <t>Capacity</t>
  </si>
  <si>
    <t>Under Resourced</t>
  </si>
  <si>
    <t>Staff Member</t>
  </si>
  <si>
    <t xml:space="preserve">Normal Area Of Work </t>
  </si>
  <si>
    <t>Tier</t>
  </si>
  <si>
    <t>Monday 26/02/24</t>
  </si>
  <si>
    <t>Tuesday 27/02/24</t>
  </si>
  <si>
    <t>Wednesday 28/02/24</t>
  </si>
  <si>
    <t>Thursday 29/02/24</t>
  </si>
  <si>
    <t>Friday 01/03/24</t>
  </si>
  <si>
    <t>Saturday 02/03/24</t>
  </si>
  <si>
    <t>Sunday 03/03/24</t>
  </si>
  <si>
    <t>Monday 04/03/24</t>
  </si>
  <si>
    <t>Tuesday 05/03/24</t>
  </si>
  <si>
    <t>Wednesday 06/03/24</t>
  </si>
  <si>
    <t>Thursday 07/03/24</t>
  </si>
  <si>
    <t>Friday 08/03/24</t>
  </si>
  <si>
    <t>Saturday 09/03/24</t>
  </si>
  <si>
    <t>Sunday 10/03/24</t>
  </si>
  <si>
    <t>Monday 11/03/24</t>
  </si>
  <si>
    <t>Tuesday 12/03/24</t>
  </si>
  <si>
    <t>Wednesday 13/03/24</t>
  </si>
  <si>
    <t>Thursday 14/03/24</t>
  </si>
  <si>
    <t>Friday 15/03/24</t>
  </si>
  <si>
    <t>Saturday 16/03/24</t>
  </si>
  <si>
    <t>Sunday 17/03/24</t>
  </si>
  <si>
    <t>Monday 18/03/24</t>
  </si>
  <si>
    <t>Tuesday 19/03/25</t>
  </si>
  <si>
    <t>Wednesday 20/03/24</t>
  </si>
  <si>
    <t>Thursday 21/03/24</t>
  </si>
  <si>
    <t>Friday 22/03/24</t>
  </si>
  <si>
    <t>Saturday 23/03/24</t>
  </si>
  <si>
    <t>Sunday 24/03/24</t>
  </si>
  <si>
    <t>Monday 25/03/24</t>
  </si>
  <si>
    <t>Tuesday 26/03/25</t>
  </si>
  <si>
    <t>Wednesday 27/03/24</t>
  </si>
  <si>
    <t>Thursday 28/03/24</t>
  </si>
  <si>
    <t>Friday 29/03/24</t>
  </si>
  <si>
    <t>Saturday 30/03/24</t>
  </si>
  <si>
    <t>Sunday 31/03/24</t>
  </si>
  <si>
    <t>Monday 01/04/2024</t>
  </si>
  <si>
    <t>Tuesday 02/04/2024</t>
  </si>
  <si>
    <t>Wednesday 03/04/2024</t>
  </si>
  <si>
    <t>Thursday 04/04/2024</t>
  </si>
  <si>
    <t>Friday 05/04/2024</t>
  </si>
  <si>
    <t>Saturday 06/04/2024</t>
  </si>
  <si>
    <t>Sunday 07/04/2024</t>
  </si>
  <si>
    <t>Monday 08/04/2024</t>
  </si>
  <si>
    <t>Tuesday 09/04/2024</t>
  </si>
  <si>
    <t>Wednesday 10/04/2024</t>
  </si>
  <si>
    <t>Thursday 11/04/2024</t>
  </si>
  <si>
    <t>Friday 12/04/24</t>
  </si>
  <si>
    <t>Saturday 13/04/2024</t>
  </si>
  <si>
    <t>Sunday 14/04/2024</t>
  </si>
  <si>
    <t>Monday 15/04/2024</t>
  </si>
  <si>
    <t>Tuesday 16/04/2024</t>
  </si>
  <si>
    <t>Wednesday 17/04/2024</t>
  </si>
  <si>
    <t>Thursday 18/04/2024</t>
  </si>
  <si>
    <t>Friday 19/04/24</t>
  </si>
  <si>
    <t>Saturday 20/04/2024</t>
  </si>
  <si>
    <t>Sunday 21/04/2024</t>
  </si>
  <si>
    <t>Monday 22/04/2024</t>
  </si>
  <si>
    <t>Tuesday 23/04/2024</t>
  </si>
  <si>
    <t>Wednesday 24/04/2024</t>
  </si>
  <si>
    <t>Thursday 25/04/2024</t>
  </si>
  <si>
    <t>Friday 26/04/24</t>
  </si>
  <si>
    <t>Saturday 27/04/2024</t>
  </si>
  <si>
    <t>Sunday 28/04/2024</t>
  </si>
  <si>
    <t>Monday 29/04/2024</t>
  </si>
  <si>
    <t>Tuesday 30/04/2024</t>
  </si>
  <si>
    <t>Wednesday 01/05/2024</t>
  </si>
  <si>
    <t>Thursday 02/05/2024</t>
  </si>
  <si>
    <t>Friday 03/05/24</t>
  </si>
  <si>
    <t>Saturday 04/05/2024</t>
  </si>
  <si>
    <t>Sunday 05/05/2024</t>
  </si>
  <si>
    <t>Monday 06/05/2024</t>
  </si>
  <si>
    <t>Tuesday 07/05/2024</t>
  </si>
  <si>
    <t>Wednesday 08/05/2024</t>
  </si>
  <si>
    <t>Thursday 09/05/2024</t>
  </si>
  <si>
    <t>Friday 10/05/2024</t>
  </si>
  <si>
    <t>Saturday 11/05/2024</t>
  </si>
  <si>
    <t>Sunday 12/05/2024</t>
  </si>
  <si>
    <t>Monday 13/05/2024</t>
  </si>
  <si>
    <t>Tuesday 14/05/2024</t>
  </si>
  <si>
    <t>Wednesday 15/05/2024</t>
  </si>
  <si>
    <t>Thursday 16/05/2024</t>
  </si>
  <si>
    <t>Friday 17/05/24</t>
  </si>
  <si>
    <t xml:space="preserve">Service Desk </t>
  </si>
  <si>
    <t>Sarah Watkins</t>
  </si>
  <si>
    <t>1st Line</t>
  </si>
  <si>
    <t>Training</t>
  </si>
  <si>
    <t>Annual Leave</t>
  </si>
  <si>
    <t>BH</t>
  </si>
  <si>
    <t>Normal Work</t>
  </si>
  <si>
    <t>Leave</t>
  </si>
  <si>
    <t>Jacob Martin</t>
  </si>
  <si>
    <t>Exam /  Service Desk</t>
  </si>
  <si>
    <t>PROJECTS</t>
  </si>
  <si>
    <t>Sickness</t>
  </si>
  <si>
    <t>Sick</t>
  </si>
  <si>
    <t>GHC SD</t>
  </si>
  <si>
    <t>GHC IT Audit</t>
  </si>
  <si>
    <t>On-call</t>
  </si>
  <si>
    <t>On-Call</t>
  </si>
  <si>
    <t>Dan Carter</t>
  </si>
  <si>
    <t>2nd Line</t>
  </si>
  <si>
    <t>OST PROJECT</t>
  </si>
  <si>
    <t>A/L</t>
  </si>
  <si>
    <t>Sick Leave</t>
  </si>
  <si>
    <t>Will Workman</t>
  </si>
  <si>
    <t>OST Project</t>
  </si>
  <si>
    <t>James Norman</t>
  </si>
  <si>
    <t>3rd Line</t>
  </si>
  <si>
    <t>GHC Server Day</t>
  </si>
  <si>
    <t>Luke Rothwell</t>
  </si>
  <si>
    <t>Ingenia on-site</t>
  </si>
  <si>
    <t>OST Work</t>
  </si>
  <si>
    <t>Ben Lockhart</t>
  </si>
  <si>
    <t>Yondr</t>
  </si>
  <si>
    <t>Tom Harber</t>
  </si>
  <si>
    <t>Service</t>
  </si>
  <si>
    <t>College</t>
  </si>
  <si>
    <t>Illness</t>
  </si>
  <si>
    <t>Absent</t>
  </si>
  <si>
    <t>Eddie Beebee</t>
  </si>
  <si>
    <t>Build-a-Bear</t>
  </si>
  <si>
    <t>Ingenia VPN</t>
  </si>
  <si>
    <t>2088 Oxford Street</t>
  </si>
  <si>
    <t>Jake Vardy</t>
  </si>
  <si>
    <t>Left</t>
  </si>
  <si>
    <t>Alex Walton</t>
  </si>
  <si>
    <t>Induction</t>
  </si>
  <si>
    <t xml:space="preserve">Induction </t>
  </si>
  <si>
    <t>SD</t>
  </si>
  <si>
    <t>Udit Patel</t>
  </si>
  <si>
    <t>OST PROJECTS</t>
  </si>
  <si>
    <t>Project</t>
  </si>
  <si>
    <t>BAB OST</t>
  </si>
  <si>
    <t>Mitie</t>
  </si>
  <si>
    <t>Ray Chitekwe</t>
  </si>
  <si>
    <t>Eaton House</t>
  </si>
  <si>
    <t>Nayan Kolhar</t>
  </si>
  <si>
    <t>Sean Fenton</t>
  </si>
  <si>
    <t>Andrew Lord</t>
  </si>
  <si>
    <t>Team Leads</t>
  </si>
  <si>
    <t>Shane Visagie</t>
  </si>
  <si>
    <t>Jack Mumford</t>
  </si>
  <si>
    <t>CE+ Prep</t>
  </si>
  <si>
    <t>CE+</t>
  </si>
  <si>
    <t>Amber Baker</t>
  </si>
  <si>
    <t>Alex Lawson</t>
  </si>
  <si>
    <t>Amy Rawle</t>
  </si>
  <si>
    <t>Karl Smith</t>
  </si>
  <si>
    <t>Vacancies</t>
  </si>
  <si>
    <t>Vacancy</t>
  </si>
  <si>
    <t>Number of SD Team</t>
  </si>
  <si>
    <t>Example 3/6</t>
  </si>
  <si>
    <t>Example 2/6</t>
  </si>
  <si>
    <t>TBC</t>
  </si>
  <si>
    <t>Ticket Open Open</t>
  </si>
  <si>
    <t>Tickets Closed by SD</t>
  </si>
  <si>
    <t>Total Tickets Closed</t>
  </si>
  <si>
    <t>Deficit</t>
  </si>
  <si>
    <t>SD Utilisation</t>
  </si>
  <si>
    <t>OST Utilisation</t>
  </si>
  <si>
    <t>Projects Utilisation</t>
  </si>
  <si>
    <t>LEGEND</t>
  </si>
  <si>
    <t>YELLOW</t>
  </si>
  <si>
    <t>Normal Duties</t>
  </si>
  <si>
    <t>GREEN</t>
  </si>
  <si>
    <t xml:space="preserve">Jan </t>
  </si>
  <si>
    <t>Mar</t>
  </si>
  <si>
    <t>Apr</t>
  </si>
  <si>
    <t>% Used</t>
  </si>
  <si>
    <t>BLUE</t>
  </si>
  <si>
    <t xml:space="preserve">Borrowed Resource </t>
  </si>
  <si>
    <t>Service Desk Availbilty</t>
  </si>
  <si>
    <t>DARK GREEN</t>
  </si>
  <si>
    <t>Annual Leave / Absent</t>
  </si>
  <si>
    <t>outstanding Vac</t>
  </si>
  <si>
    <t>Team Uitlization</t>
  </si>
  <si>
    <t>Overall Team Usage</t>
  </si>
  <si>
    <t xml:space="preserve">Area Of Work </t>
  </si>
  <si>
    <t>B</t>
  </si>
  <si>
    <t>Support Engineer</t>
  </si>
  <si>
    <t>A</t>
  </si>
  <si>
    <t>Annual Leave PM</t>
  </si>
  <si>
    <t>WFH</t>
  </si>
  <si>
    <t>A/L PM</t>
  </si>
  <si>
    <t>Glos office</t>
  </si>
  <si>
    <t>N</t>
  </si>
  <si>
    <t>Training PM</t>
  </si>
  <si>
    <t>Exam</t>
  </si>
  <si>
    <t>Radnor VPN</t>
  </si>
  <si>
    <t xml:space="preserve">Radnor </t>
  </si>
  <si>
    <t>Radnor Admin</t>
  </si>
  <si>
    <t>Croft</t>
  </si>
  <si>
    <t>K</t>
  </si>
  <si>
    <t>Cab Tidy PM</t>
  </si>
  <si>
    <t>Ninja Backup</t>
  </si>
  <si>
    <t>H</t>
  </si>
  <si>
    <t>COECT</t>
  </si>
  <si>
    <t>GBEC Azure</t>
  </si>
  <si>
    <t xml:space="preserve">UPA PM </t>
  </si>
  <si>
    <t>BaB</t>
  </si>
  <si>
    <t>BaB/SD</t>
  </si>
  <si>
    <t>BaB/WFH</t>
  </si>
  <si>
    <t>BaB/Sd</t>
  </si>
  <si>
    <t>WFH AM</t>
  </si>
  <si>
    <t>SD/BaB</t>
  </si>
  <si>
    <t>Croft AM</t>
  </si>
  <si>
    <t>BAB/SD</t>
  </si>
  <si>
    <t>Senior Support</t>
  </si>
  <si>
    <t>O</t>
  </si>
  <si>
    <t>Allied Swindon</t>
  </si>
  <si>
    <t>Study Leave</t>
  </si>
  <si>
    <t>HPE London</t>
  </si>
  <si>
    <t>James Mapes</t>
  </si>
  <si>
    <t>L</t>
  </si>
  <si>
    <t>Evision</t>
  </si>
  <si>
    <t>I</t>
  </si>
  <si>
    <t>Office</t>
  </si>
  <si>
    <t>VSOC Holliday</t>
  </si>
  <si>
    <t xml:space="preserve">Half day PM </t>
  </si>
  <si>
    <t>DWP LLD</t>
  </si>
  <si>
    <t>VSOC MPLS</t>
  </si>
  <si>
    <t>GBEC CE</t>
  </si>
  <si>
    <t>Chesterfield</t>
  </si>
  <si>
    <t>Glos Office</t>
  </si>
  <si>
    <t>VSOC Edge</t>
  </si>
  <si>
    <t>VSOC SAN</t>
  </si>
  <si>
    <t>SD cover</t>
  </si>
  <si>
    <t>DWP Leeds</t>
  </si>
  <si>
    <t>VSOC</t>
  </si>
  <si>
    <t>Keep Free - Cover</t>
  </si>
  <si>
    <t>DR Test Plan</t>
  </si>
  <si>
    <t>VSOC DR Test</t>
  </si>
  <si>
    <t>Craigavon - DWP</t>
  </si>
  <si>
    <t>D</t>
  </si>
  <si>
    <t>BaB Slough</t>
  </si>
  <si>
    <t xml:space="preserve">BaB Visits </t>
  </si>
  <si>
    <t>BaB Cardiff</t>
  </si>
  <si>
    <t>BaB Bournemouth</t>
  </si>
  <si>
    <t>FRA</t>
  </si>
  <si>
    <t>BAB IRE</t>
  </si>
  <si>
    <t>Y</t>
  </si>
  <si>
    <t>BAB Selby AM</t>
  </si>
  <si>
    <t>BaB Chesterfeild</t>
  </si>
  <si>
    <t xml:space="preserve">Chesterfield </t>
  </si>
  <si>
    <t>Gloucester</t>
  </si>
  <si>
    <t xml:space="preserve">BaB Edinburgh </t>
  </si>
  <si>
    <t>BaB Leeds</t>
  </si>
  <si>
    <t>BaB Scotland</t>
  </si>
  <si>
    <t>Cisco Exam</t>
  </si>
  <si>
    <t xml:space="preserve">VSOC RFC's </t>
  </si>
  <si>
    <t>out</t>
  </si>
  <si>
    <t>Scotland</t>
  </si>
  <si>
    <t xml:space="preserve">Annual Leave </t>
  </si>
  <si>
    <t>SD cover WFH</t>
  </si>
  <si>
    <t xml:space="preserve">Study </t>
  </si>
  <si>
    <t>Van Repair</t>
  </si>
  <si>
    <t xml:space="preserve">NATS PC's </t>
  </si>
  <si>
    <t>CCNA - TBC</t>
  </si>
  <si>
    <t>Radnor</t>
  </si>
  <si>
    <t>Shard</t>
  </si>
  <si>
    <t>Cornerstone</t>
  </si>
  <si>
    <t xml:space="preserve">Half Day </t>
  </si>
  <si>
    <t>BaB WCity</t>
  </si>
  <si>
    <t>Radnor Prep</t>
  </si>
  <si>
    <t>Engineer</t>
  </si>
  <si>
    <t>VSOC RFCs</t>
  </si>
  <si>
    <t>VSOC BT</t>
  </si>
  <si>
    <t>Revision</t>
  </si>
  <si>
    <t>Admin / VSOC</t>
  </si>
  <si>
    <t>Admin</t>
  </si>
  <si>
    <t>Wessex Firewall</t>
  </si>
  <si>
    <t>VSOC HS</t>
  </si>
  <si>
    <t>VSOC Paperwork</t>
  </si>
  <si>
    <t>Paperwork</t>
  </si>
  <si>
    <t>VSOC Admin</t>
  </si>
  <si>
    <t>Red Sav</t>
  </si>
  <si>
    <t>Hopson</t>
  </si>
  <si>
    <t>Wessex</t>
  </si>
  <si>
    <t>SD if needed</t>
  </si>
  <si>
    <t>Red Sav CF</t>
  </si>
  <si>
    <t>DWP Docs</t>
  </si>
  <si>
    <t>DWP Backups</t>
  </si>
  <si>
    <t>DWP SOW</t>
  </si>
  <si>
    <t>Radnor Azure</t>
  </si>
  <si>
    <t>MS Training</t>
  </si>
  <si>
    <t>HPE Course</t>
  </si>
  <si>
    <t>VSOC PC Builds</t>
  </si>
  <si>
    <t>SD Cover</t>
  </si>
  <si>
    <t>T Nielson</t>
  </si>
  <si>
    <t>Padpilot CE</t>
  </si>
  <si>
    <t xml:space="preserve">IT Hub </t>
  </si>
  <si>
    <t>SD/Call Cab</t>
  </si>
  <si>
    <t>DWP Patching</t>
  </si>
  <si>
    <t>SD cover/DWP</t>
  </si>
  <si>
    <t xml:space="preserve">SD </t>
  </si>
  <si>
    <t>SD /Croft Sec</t>
  </si>
  <si>
    <t>Croft Sec</t>
  </si>
  <si>
    <t>Heide Stanley</t>
  </si>
  <si>
    <t>Careers Fair</t>
  </si>
  <si>
    <t>London</t>
  </si>
  <si>
    <t>Radnor AM</t>
  </si>
  <si>
    <t>SD TL</t>
  </si>
  <si>
    <t>Jack Mumford Left June)</t>
  </si>
  <si>
    <t>Henry Portch</t>
  </si>
  <si>
    <t>SE</t>
  </si>
  <si>
    <t>AT Stockholm</t>
  </si>
  <si>
    <t>Rebecca Smith</t>
  </si>
  <si>
    <t>WFH - Revision</t>
  </si>
  <si>
    <t xml:space="preserve">WFH </t>
  </si>
  <si>
    <t>Apprentice</t>
  </si>
  <si>
    <t>Ticket Open</t>
  </si>
  <si>
    <t>DAYS</t>
  </si>
  <si>
    <t>Light Green</t>
  </si>
  <si>
    <t>Blue</t>
  </si>
  <si>
    <t>Jun</t>
  </si>
  <si>
    <t>Jul</t>
  </si>
  <si>
    <t>Aug</t>
  </si>
  <si>
    <t>Sep</t>
  </si>
  <si>
    <t>Oct</t>
  </si>
  <si>
    <t>Nov</t>
  </si>
  <si>
    <t>Dec</t>
  </si>
  <si>
    <t>Total</t>
  </si>
  <si>
    <t>Rust</t>
  </si>
  <si>
    <t xml:space="preserve">Booked Borrowed Resource </t>
  </si>
  <si>
    <t>Grey</t>
  </si>
  <si>
    <t>Yellow</t>
  </si>
  <si>
    <t xml:space="preserve">Provisionally Onsite </t>
  </si>
  <si>
    <t>Dark Green</t>
  </si>
  <si>
    <t xml:space="preserve">Booked Onsite </t>
  </si>
  <si>
    <t>Area of Work</t>
  </si>
  <si>
    <t>ARGUS PROJECT</t>
  </si>
  <si>
    <t>Bank Hol</t>
  </si>
  <si>
    <t>GHC 2-3.30pm</t>
  </si>
  <si>
    <t>Compassionate Leave</t>
  </si>
  <si>
    <t>Argus - STB</t>
  </si>
  <si>
    <t>Day in Lieu</t>
  </si>
  <si>
    <t xml:space="preserve">Microsoft PM </t>
  </si>
  <si>
    <t>Half Day PM</t>
  </si>
  <si>
    <t>MS Study</t>
  </si>
  <si>
    <t>MS Exam</t>
  </si>
  <si>
    <t>Printer Collection</t>
  </si>
  <si>
    <t xml:space="preserve">Deister Training </t>
  </si>
  <si>
    <t>Gallagher</t>
  </si>
  <si>
    <t>DronField</t>
  </si>
  <si>
    <t>Mallard Court</t>
  </si>
  <si>
    <t>BIM Laptop Builds</t>
  </si>
  <si>
    <t>Dronfield</t>
  </si>
  <si>
    <t>Laptop Builds</t>
  </si>
  <si>
    <t>Argus London</t>
  </si>
  <si>
    <t>Microsoft</t>
  </si>
  <si>
    <t>Red Sav AM</t>
  </si>
  <si>
    <t xml:space="preserve">Henley </t>
  </si>
  <si>
    <t>Red Sav Laptop</t>
  </si>
  <si>
    <t xml:space="preserve">DWP </t>
  </si>
  <si>
    <t>WFH?</t>
  </si>
  <si>
    <t>BaB cover</t>
  </si>
  <si>
    <t xml:space="preserve">DWP Laptops </t>
  </si>
  <si>
    <t>Simpsons Hen</t>
  </si>
  <si>
    <t>Simpson Hen</t>
  </si>
  <si>
    <t>Laptop Build</t>
  </si>
  <si>
    <t>Half Day</t>
  </si>
  <si>
    <t>VSOC Visit</t>
  </si>
  <si>
    <t xml:space="preserve">BaB Work AM </t>
  </si>
  <si>
    <t>GBEC Firewalls</t>
  </si>
  <si>
    <t>FRA3</t>
  </si>
  <si>
    <t>DWP</t>
  </si>
  <si>
    <t xml:space="preserve">Belfast - DWP </t>
  </si>
  <si>
    <t xml:space="preserve">Sick </t>
  </si>
  <si>
    <t xml:space="preserve">VSOC </t>
  </si>
  <si>
    <t>Configure Servers VSOC</t>
  </si>
  <si>
    <t xml:space="preserve">VSOC Plans </t>
  </si>
  <si>
    <t>VSOC VCenter</t>
  </si>
  <si>
    <t xml:space="preserve">VSOC DR </t>
  </si>
  <si>
    <t xml:space="preserve">Glos Office </t>
  </si>
  <si>
    <t>VSOC Dac</t>
  </si>
  <si>
    <t>VSOC Server</t>
  </si>
  <si>
    <t>DWP Standby</t>
  </si>
  <si>
    <t>Test VSOC Node</t>
  </si>
  <si>
    <t xml:space="preserve">VSOC Admin </t>
  </si>
  <si>
    <t>VSOC DR</t>
  </si>
  <si>
    <t>DWP PC</t>
  </si>
  <si>
    <t>DWP PCs</t>
  </si>
  <si>
    <t>DWP Plan</t>
  </si>
  <si>
    <t>DWP Hyper V</t>
  </si>
  <si>
    <t>VSOC Think</t>
  </si>
  <si>
    <t>VSOC Backups</t>
  </si>
  <si>
    <t>DWP Sheff</t>
  </si>
  <si>
    <t>DWP KB</t>
  </si>
  <si>
    <t>Dublin/ Grafton Store</t>
  </si>
  <si>
    <t xml:space="preserve">BaB - Scot </t>
  </si>
  <si>
    <t>BaB Mcr</t>
  </si>
  <si>
    <t>Ingenia NAS</t>
  </si>
  <si>
    <t xml:space="preserve">Henley &amp; Slough </t>
  </si>
  <si>
    <t>MerryHill</t>
  </si>
  <si>
    <t xml:space="preserve">DWP Builds </t>
  </si>
  <si>
    <t>BaB Manc</t>
  </si>
  <si>
    <t>BaB Arndale</t>
  </si>
  <si>
    <t>BaB Birm</t>
  </si>
  <si>
    <t>BaB Printer</t>
  </si>
  <si>
    <t>BaB Kingston</t>
  </si>
  <si>
    <t>Kingston</t>
  </si>
  <si>
    <t>BaB Cardiff PM</t>
  </si>
  <si>
    <t>BaB Bluewater/lakeside</t>
  </si>
  <si>
    <t>BaB Brighton</t>
  </si>
  <si>
    <t>BaB SHampton</t>
  </si>
  <si>
    <t>Asbestos Training</t>
  </si>
  <si>
    <t>Cisco AM</t>
  </si>
  <si>
    <t>ITIL V4</t>
  </si>
  <si>
    <t>Argus - MCR</t>
  </si>
  <si>
    <t xml:space="preserve">Argus </t>
  </si>
  <si>
    <t xml:space="preserve">Glos office </t>
  </si>
  <si>
    <t>BaB &amp; Argus Man</t>
  </si>
  <si>
    <t>BaB Liverpool &amp; Hull</t>
  </si>
  <si>
    <t>BaB Braehead</t>
  </si>
  <si>
    <t>BaB Meadowhall</t>
  </si>
  <si>
    <t>BaB Leicester</t>
  </si>
  <si>
    <t>North office</t>
  </si>
  <si>
    <t>BaB Breahead</t>
  </si>
  <si>
    <t>BaB Meadowh</t>
  </si>
  <si>
    <t xml:space="preserve">ITIL </t>
  </si>
  <si>
    <t>214 Oxford Street</t>
  </si>
  <si>
    <t>214 Oxford St</t>
  </si>
  <si>
    <t>ESET Policies</t>
  </si>
  <si>
    <t>VSOC Slough</t>
  </si>
  <si>
    <t>VSOC - Talbot</t>
  </si>
  <si>
    <t>Ingenia UPS</t>
  </si>
  <si>
    <t>Henley</t>
  </si>
  <si>
    <t>VSOC for P2P</t>
  </si>
  <si>
    <t xml:space="preserve">Ingenia UPS </t>
  </si>
  <si>
    <t xml:space="preserve">Internal Firewall </t>
  </si>
  <si>
    <t>VSOC - BT</t>
  </si>
  <si>
    <t xml:space="preserve">UPA </t>
  </si>
  <si>
    <t xml:space="preserve">Bristol Deliotte </t>
  </si>
  <si>
    <t xml:space="preserve">Ingenia </t>
  </si>
  <si>
    <t>Deloitte Bristol</t>
  </si>
  <si>
    <t xml:space="preserve">T Nielson </t>
  </si>
  <si>
    <t>T Neilsen</t>
  </si>
  <si>
    <t>Croft rebuild</t>
  </si>
  <si>
    <t>Win 11 Builds</t>
  </si>
  <si>
    <t>Safer Fostering</t>
  </si>
  <si>
    <t>Laptops</t>
  </si>
  <si>
    <t>VSOC Lenel</t>
  </si>
  <si>
    <t>Cliford Holmes</t>
  </si>
  <si>
    <t xml:space="preserve">VSOC PM </t>
  </si>
  <si>
    <t>WFH - Hosp</t>
  </si>
  <si>
    <t>UPA</t>
  </si>
  <si>
    <t>Radnor VLAN</t>
  </si>
  <si>
    <t>Simpson</t>
  </si>
  <si>
    <t>Radnor - P1</t>
  </si>
  <si>
    <t xml:space="preserve">Simpsons </t>
  </si>
  <si>
    <t xml:space="preserve">Deryn - Shard </t>
  </si>
  <si>
    <t>Shard - Argus</t>
  </si>
  <si>
    <t>BaB Stratford</t>
  </si>
  <si>
    <t xml:space="preserve">Shard </t>
  </si>
  <si>
    <t xml:space="preserve">Radnor UPS </t>
  </si>
  <si>
    <t>AMSE</t>
  </si>
  <si>
    <t>VSOC Talbot Way</t>
  </si>
  <si>
    <t>GBEC Internal Firewalls</t>
  </si>
  <si>
    <t>GHC Pen</t>
  </si>
  <si>
    <t>VSOC Network</t>
  </si>
  <si>
    <t xml:space="preserve">Admin </t>
  </si>
  <si>
    <t>VSOC Switch LLD</t>
  </si>
  <si>
    <t>Arundel Court</t>
  </si>
  <si>
    <t xml:space="preserve">VSOC Switch RFC's </t>
  </si>
  <si>
    <t xml:space="preserve">VSOC Prep </t>
  </si>
  <si>
    <t xml:space="preserve">VSOC P2P DSL line </t>
  </si>
  <si>
    <t>214 Scope</t>
  </si>
  <si>
    <t>Service Desk Support</t>
  </si>
  <si>
    <t>VSOC + RFCs</t>
  </si>
  <si>
    <t>Admin + RFCS</t>
  </si>
  <si>
    <t>Windsor Switch</t>
  </si>
  <si>
    <t>SD Overflow</t>
  </si>
  <si>
    <t>WFH/VSOC</t>
  </si>
  <si>
    <t>Wessex FW</t>
  </si>
  <si>
    <t>VSOC Work</t>
  </si>
  <si>
    <t xml:space="preserve">WFH Cisco </t>
  </si>
  <si>
    <t>Cisco Training</t>
  </si>
  <si>
    <t>VSOC Config</t>
  </si>
  <si>
    <t>Radnor DHCP</t>
  </si>
  <si>
    <t>Cisco</t>
  </si>
  <si>
    <t xml:space="preserve">Catch up </t>
  </si>
  <si>
    <t>VSOC Prep</t>
  </si>
  <si>
    <t>Ingenia NAS Build</t>
  </si>
  <si>
    <t>PES Data Migr</t>
  </si>
  <si>
    <t xml:space="preserve">  </t>
  </si>
  <si>
    <t xml:space="preserve">RedSav CloudFlare research </t>
  </si>
  <si>
    <t>1/2 Annual Leave</t>
  </si>
  <si>
    <t>RedSav CloudFlare SoW and RFC</t>
  </si>
  <si>
    <t>Red Sav - Cloudflare Zero Trust</t>
  </si>
  <si>
    <t>DWP - Harden</t>
  </si>
  <si>
    <t>Radnor  VPN</t>
  </si>
  <si>
    <t>Radnor Remote</t>
  </si>
  <si>
    <t>Simpson Asure</t>
  </si>
  <si>
    <t>Admin/WFH</t>
  </si>
  <si>
    <t>Study</t>
  </si>
  <si>
    <t>Biostar</t>
  </si>
  <si>
    <t xml:space="preserve">GHC Stroud </t>
  </si>
  <si>
    <t>GHC FoD</t>
  </si>
  <si>
    <t>Office tidy</t>
  </si>
  <si>
    <t>Simpsons</t>
  </si>
  <si>
    <t>Updgrades</t>
  </si>
  <si>
    <t>GRH</t>
  </si>
  <si>
    <t>UPA NAS</t>
  </si>
  <si>
    <t>UPA + Hopson</t>
  </si>
  <si>
    <t>Simpson Henley</t>
  </si>
  <si>
    <t xml:space="preserve">Croft &amp; GBE Admin </t>
  </si>
  <si>
    <t xml:space="preserve">BV Win 11 </t>
  </si>
  <si>
    <t>Croft Win 11</t>
  </si>
  <si>
    <t>GB Win 11</t>
  </si>
  <si>
    <t>Safer Fostering Win 11</t>
  </si>
  <si>
    <t>MDT</t>
  </si>
  <si>
    <t>Clifford Holmes</t>
  </si>
  <si>
    <t>COECT Win 11</t>
  </si>
  <si>
    <t>MDT + Sec</t>
  </si>
  <si>
    <t>Sec + BAB</t>
  </si>
  <si>
    <t>Project Closure</t>
  </si>
  <si>
    <t>DWP Blackpool</t>
  </si>
  <si>
    <t>DWP Sheffield</t>
  </si>
  <si>
    <t>Simpson Briscad</t>
  </si>
  <si>
    <t>Padpilot Win11</t>
  </si>
  <si>
    <t xml:space="preserve">Simpson </t>
  </si>
  <si>
    <t>Intune Training</t>
  </si>
  <si>
    <t>Morning Leave</t>
  </si>
  <si>
    <t>WFH - AM</t>
  </si>
  <si>
    <t>FM training - AM</t>
  </si>
  <si>
    <t>FA training</t>
  </si>
  <si>
    <t>Maternity Leave</t>
  </si>
  <si>
    <t>SICK</t>
  </si>
  <si>
    <t>GHC - Halo</t>
  </si>
  <si>
    <t xml:space="preserve">WFH PM </t>
  </si>
  <si>
    <t>Mon - Weds Project Processes</t>
  </si>
  <si>
    <t xml:space="preserve">First Aid </t>
  </si>
  <si>
    <t>PRINCE2</t>
  </si>
  <si>
    <t>Revision WFH</t>
  </si>
  <si>
    <t>Moves to Sales</t>
  </si>
  <si>
    <t>Wednesday 01/01/2025</t>
  </si>
  <si>
    <t>Thursday 02/01/2025</t>
  </si>
  <si>
    <t>Friday 03/1/2025</t>
  </si>
  <si>
    <t>Working days until 31/12/2025</t>
  </si>
  <si>
    <t xml:space="preserve">Days remaining </t>
  </si>
  <si>
    <t>PINK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</si>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</sst>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3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Display"/>
      <scheme val="maj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Display"/>
      <scheme val="major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Display"/>
      <scheme val="major"/>
    </font>
    <font>
      <b/>
      <sz val="11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Display"/>
      <scheme val="major"/>
    </font>
    <font>
      <b/>
      <sz val="11"/>
      <color theme="0"/>
      <name val="Aptos Display"/>
      <scheme val="maj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1A983"/>
      <name val="Aptos Narrow"/>
      <family val="2"/>
    </font>
    <font>
      <b/>
      <sz val="11"/>
      <color rgb="FF9C000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8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rgb="FF000000"/>
      <name val="Aptos Narrow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000000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b/>
      <sz val="11"/>
      <color rgb="FF00B050"/>
      <name val="Aptos Narrow"/>
      <scheme val="minor"/>
    </font>
    <font>
      <b/>
      <u/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B8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9" fontId="0" fillId="0" borderId="7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14" fillId="9" borderId="2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4" fillId="11" borderId="0" xfId="0" applyFont="1" applyFill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9" fontId="5" fillId="0" borderId="12" xfId="0" applyNumberFormat="1" applyFont="1" applyBorder="1" applyAlignment="1">
      <alignment horizontal="center"/>
    </xf>
    <xf numFmtId="9" fontId="0" fillId="11" borderId="0" xfId="0" applyNumberForma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0" fillId="10" borderId="0" xfId="0" applyFill="1" applyAlignment="1">
      <alignment horizontal="center"/>
    </xf>
    <xf numFmtId="0" fontId="8" fillId="13" borderId="10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/>
    </xf>
    <xf numFmtId="164" fontId="5" fillId="13" borderId="10" xfId="0" applyNumberFormat="1" applyFont="1" applyFill="1" applyBorder="1" applyAlignment="1">
      <alignment horizontal="center"/>
    </xf>
    <xf numFmtId="0" fontId="5" fillId="13" borderId="0" xfId="0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164" fontId="5" fillId="14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16" fillId="1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0" fillId="15" borderId="0" xfId="0" applyFill="1" applyAlignment="1">
      <alignment horizontal="center"/>
    </xf>
    <xf numFmtId="0" fontId="5" fillId="15" borderId="8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9" fontId="0" fillId="15" borderId="8" xfId="0" applyNumberFormat="1" applyFill="1" applyBorder="1" applyAlignment="1">
      <alignment horizontal="center"/>
    </xf>
    <xf numFmtId="9" fontId="0" fillId="15" borderId="0" xfId="0" applyNumberFormat="1" applyFill="1" applyAlignment="1">
      <alignment horizontal="center"/>
    </xf>
    <xf numFmtId="9" fontId="0" fillId="15" borderId="4" xfId="0" applyNumberFormat="1" applyFill="1" applyBorder="1" applyAlignment="1">
      <alignment horizontal="center"/>
    </xf>
    <xf numFmtId="9" fontId="0" fillId="15" borderId="5" xfId="0" applyNumberFormat="1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9" fontId="0" fillId="0" borderId="6" xfId="0" applyNumberFormat="1" applyBorder="1" applyAlignment="1">
      <alignment horizontal="center" vertical="center"/>
    </xf>
    <xf numFmtId="0" fontId="5" fillId="11" borderId="12" xfId="0" applyFont="1" applyFill="1" applyBorder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5" fillId="15" borderId="12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center"/>
    </xf>
    <xf numFmtId="0" fontId="10" fillId="15" borderId="12" xfId="0" applyFont="1" applyFill="1" applyBorder="1" applyAlignment="1">
      <alignment horizontal="center"/>
    </xf>
    <xf numFmtId="0" fontId="11" fillId="15" borderId="12" xfId="0" applyFont="1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0" fontId="13" fillId="15" borderId="12" xfId="0" applyFont="1" applyFill="1" applyBorder="1" applyAlignment="1">
      <alignment horizontal="center"/>
    </xf>
    <xf numFmtId="0" fontId="12" fillId="15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12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7" fillId="6" borderId="0" xfId="0" applyFont="1" applyFill="1"/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164" fontId="5" fillId="10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5" fontId="8" fillId="13" borderId="10" xfId="0" applyNumberFormat="1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0" fontId="14" fillId="9" borderId="14" xfId="0" applyFont="1" applyFill="1" applyBorder="1" applyAlignment="1">
      <alignment horizontal="center"/>
    </xf>
    <xf numFmtId="0" fontId="14" fillId="13" borderId="15" xfId="0" applyFont="1" applyFill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11" borderId="0" xfId="0" applyNumberFormat="1" applyFont="1" applyFill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14" fillId="9" borderId="25" xfId="0" applyFont="1" applyFill="1" applyBorder="1" applyAlignment="1">
      <alignment horizontal="center"/>
    </xf>
    <xf numFmtId="0" fontId="5" fillId="15" borderId="23" xfId="0" applyFont="1" applyFill="1" applyBorder="1" applyAlignment="1">
      <alignment horizontal="center"/>
    </xf>
    <xf numFmtId="0" fontId="5" fillId="15" borderId="21" xfId="0" applyFont="1" applyFill="1" applyBorder="1" applyAlignment="1">
      <alignment horizontal="center"/>
    </xf>
    <xf numFmtId="0" fontId="5" fillId="15" borderId="24" xfId="0" applyFont="1" applyFill="1" applyBorder="1" applyAlignment="1">
      <alignment horizontal="center"/>
    </xf>
    <xf numFmtId="0" fontId="8" fillId="13" borderId="26" xfId="0" applyFont="1" applyFill="1" applyBorder="1" applyAlignment="1">
      <alignment horizontal="center"/>
    </xf>
    <xf numFmtId="0" fontId="8" fillId="13" borderId="27" xfId="0" applyFont="1" applyFill="1" applyBorder="1" applyAlignment="1">
      <alignment horizontal="center"/>
    </xf>
    <xf numFmtId="0" fontId="8" fillId="13" borderId="28" xfId="0" applyFont="1" applyFill="1" applyBorder="1" applyAlignment="1">
      <alignment horizontal="center"/>
    </xf>
    <xf numFmtId="0" fontId="15" fillId="14" borderId="29" xfId="0" applyFont="1" applyFill="1" applyBorder="1" applyAlignment="1">
      <alignment horizontal="center"/>
    </xf>
    <xf numFmtId="0" fontId="8" fillId="14" borderId="30" xfId="0" applyFont="1" applyFill="1" applyBorder="1" applyAlignment="1">
      <alignment horizontal="center"/>
    </xf>
    <xf numFmtId="0" fontId="4" fillId="15" borderId="29" xfId="0" applyFont="1" applyFill="1" applyBorder="1" applyAlignment="1">
      <alignment horizontal="center"/>
    </xf>
    <xf numFmtId="0" fontId="4" fillId="15" borderId="30" xfId="0" applyFont="1" applyFill="1" applyBorder="1" applyAlignment="1">
      <alignment horizontal="center"/>
    </xf>
    <xf numFmtId="0" fontId="4" fillId="14" borderId="30" xfId="0" applyFont="1" applyFill="1" applyBorder="1" applyAlignment="1">
      <alignment horizontal="center"/>
    </xf>
    <xf numFmtId="0" fontId="4" fillId="16" borderId="29" xfId="0" applyFont="1" applyFill="1" applyBorder="1" applyAlignment="1">
      <alignment horizontal="center"/>
    </xf>
    <xf numFmtId="0" fontId="4" fillId="16" borderId="30" xfId="0" applyFont="1" applyFill="1" applyBorder="1" applyAlignment="1">
      <alignment horizontal="center"/>
    </xf>
    <xf numFmtId="0" fontId="16" fillId="14" borderId="29" xfId="0" applyFont="1" applyFill="1" applyBorder="1" applyAlignment="1">
      <alignment horizontal="center"/>
    </xf>
    <xf numFmtId="0" fontId="4" fillId="17" borderId="29" xfId="0" applyFont="1" applyFill="1" applyBorder="1" applyAlignment="1">
      <alignment horizontal="center"/>
    </xf>
    <xf numFmtId="0" fontId="4" fillId="17" borderId="30" xfId="0" applyFont="1" applyFill="1" applyBorder="1" applyAlignment="1">
      <alignment horizontal="center"/>
    </xf>
    <xf numFmtId="0" fontId="15" fillId="19" borderId="31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4" fillId="14" borderId="32" xfId="0" applyFont="1" applyFill="1" applyBorder="1" applyAlignment="1">
      <alignment horizontal="center"/>
    </xf>
    <xf numFmtId="0" fontId="0" fillId="22" borderId="0" xfId="0" applyFill="1"/>
    <xf numFmtId="0" fontId="0" fillId="3" borderId="30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32" xfId="0" applyFill="1" applyBorder="1"/>
    <xf numFmtId="0" fontId="0" fillId="22" borderId="30" xfId="0" applyFill="1" applyBorder="1"/>
    <xf numFmtId="0" fontId="0" fillId="3" borderId="34" xfId="0" applyFill="1" applyBorder="1"/>
    <xf numFmtId="0" fontId="0" fillId="3" borderId="29" xfId="0" applyFill="1" applyBorder="1"/>
    <xf numFmtId="0" fontId="0" fillId="3" borderId="0" xfId="0" applyFill="1"/>
    <xf numFmtId="0" fontId="0" fillId="3" borderId="31" xfId="0" applyFill="1" applyBorder="1"/>
    <xf numFmtId="0" fontId="0" fillId="13" borderId="38" xfId="0" applyFill="1" applyBorder="1"/>
    <xf numFmtId="0" fontId="5" fillId="22" borderId="0" xfId="0" applyFont="1" applyFill="1"/>
    <xf numFmtId="0" fontId="0" fillId="13" borderId="39" xfId="0" applyFill="1" applyBorder="1"/>
    <xf numFmtId="0" fontId="0" fillId="13" borderId="40" xfId="0" applyFill="1" applyBorder="1"/>
    <xf numFmtId="0" fontId="0" fillId="13" borderId="41" xfId="0" applyFill="1" applyBorder="1" applyAlignment="1">
      <alignment horizontal="center"/>
    </xf>
    <xf numFmtId="0" fontId="0" fillId="13" borderId="42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3" borderId="44" xfId="0" applyFill="1" applyBorder="1"/>
    <xf numFmtId="0" fontId="0" fillId="26" borderId="0" xfId="0" applyFill="1" applyAlignment="1">
      <alignment horizontal="center"/>
    </xf>
    <xf numFmtId="0" fontId="0" fillId="13" borderId="45" xfId="0" applyFill="1" applyBorder="1"/>
    <xf numFmtId="0" fontId="0" fillId="26" borderId="12" xfId="0" applyFill="1" applyBorder="1" applyAlignment="1">
      <alignment horizontal="center"/>
    </xf>
    <xf numFmtId="0" fontId="0" fillId="13" borderId="46" xfId="0" applyFill="1" applyBorder="1"/>
    <xf numFmtId="9" fontId="5" fillId="0" borderId="16" xfId="0" applyNumberFormat="1" applyFont="1" applyBorder="1" applyAlignment="1">
      <alignment horizontal="center" vertical="center"/>
    </xf>
    <xf numFmtId="0" fontId="17" fillId="27" borderId="0" xfId="0" applyFont="1" applyFill="1"/>
    <xf numFmtId="0" fontId="18" fillId="27" borderId="0" xfId="0" applyFont="1" applyFill="1"/>
    <xf numFmtId="0" fontId="18" fillId="28" borderId="34" xfId="0" applyFont="1" applyFill="1" applyBorder="1"/>
    <xf numFmtId="9" fontId="19" fillId="30" borderId="28" xfId="0" applyNumberFormat="1" applyFont="1" applyFill="1" applyBorder="1" applyAlignment="1">
      <alignment wrapText="1"/>
    </xf>
    <xf numFmtId="0" fontId="18" fillId="31" borderId="40" xfId="0" applyFont="1" applyFill="1" applyBorder="1"/>
    <xf numFmtId="0" fontId="18" fillId="28" borderId="29" xfId="0" applyFont="1" applyFill="1" applyBorder="1"/>
    <xf numFmtId="0" fontId="18" fillId="28" borderId="0" xfId="0" applyFont="1" applyFill="1"/>
    <xf numFmtId="0" fontId="18" fillId="28" borderId="30" xfId="0" applyFont="1" applyFill="1" applyBorder="1"/>
    <xf numFmtId="0" fontId="17" fillId="28" borderId="30" xfId="0" applyFont="1" applyFill="1" applyBorder="1"/>
    <xf numFmtId="9" fontId="20" fillId="33" borderId="15" xfId="0" applyNumberFormat="1" applyFont="1" applyFill="1" applyBorder="1" applyAlignment="1">
      <alignment wrapText="1"/>
    </xf>
    <xf numFmtId="0" fontId="18" fillId="28" borderId="31" xfId="0" applyFont="1" applyFill="1" applyBorder="1"/>
    <xf numFmtId="0" fontId="18" fillId="28" borderId="12" xfId="0" applyFont="1" applyFill="1" applyBorder="1"/>
    <xf numFmtId="0" fontId="18" fillId="28" borderId="15" xfId="0" applyFont="1" applyFill="1" applyBorder="1"/>
    <xf numFmtId="0" fontId="18" fillId="31" borderId="38" xfId="0" applyFont="1" applyFill="1" applyBorder="1"/>
    <xf numFmtId="0" fontId="18" fillId="27" borderId="0" xfId="0" applyFont="1" applyFill="1" applyAlignment="1">
      <alignment wrapText="1"/>
    </xf>
    <xf numFmtId="0" fontId="18" fillId="28" borderId="32" xfId="0" applyFont="1" applyFill="1" applyBorder="1"/>
    <xf numFmtId="0" fontId="5" fillId="15" borderId="21" xfId="0" applyFont="1" applyFill="1" applyBorder="1" applyAlignment="1">
      <alignment vertical="center" wrapText="1"/>
    </xf>
    <xf numFmtId="0" fontId="5" fillId="15" borderId="22" xfId="0" applyFont="1" applyFill="1" applyBorder="1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17" fillId="29" borderId="29" xfId="0" applyFont="1" applyFill="1" applyBorder="1"/>
    <xf numFmtId="0" fontId="17" fillId="29" borderId="30" xfId="0" applyFont="1" applyFill="1" applyBorder="1"/>
    <xf numFmtId="0" fontId="17" fillId="29" borderId="31" xfId="0" applyFont="1" applyFill="1" applyBorder="1"/>
    <xf numFmtId="0" fontId="17" fillId="29" borderId="32" xfId="0" applyFont="1" applyFill="1" applyBorder="1"/>
    <xf numFmtId="9" fontId="0" fillId="0" borderId="33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17" fillId="28" borderId="0" xfId="0" applyFont="1" applyFill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30" xfId="0" applyNumberFormat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0" fontId="4" fillId="19" borderId="0" xfId="0" applyFont="1" applyFill="1" applyAlignment="1">
      <alignment horizontal="center"/>
    </xf>
    <xf numFmtId="0" fontId="0" fillId="15" borderId="0" xfId="0" applyFill="1"/>
    <xf numFmtId="9" fontId="0" fillId="15" borderId="0" xfId="0" applyNumberFormat="1" applyFill="1"/>
    <xf numFmtId="9" fontId="5" fillId="15" borderId="17" xfId="0" applyNumberFormat="1" applyFont="1" applyFill="1" applyBorder="1" applyAlignment="1">
      <alignment vertical="center"/>
    </xf>
    <xf numFmtId="9" fontId="14" fillId="14" borderId="33" xfId="0" applyNumberFormat="1" applyFont="1" applyFill="1" applyBorder="1" applyAlignment="1">
      <alignment horizontal="center" wrapText="1"/>
    </xf>
    <xf numFmtId="9" fontId="14" fillId="19" borderId="28" xfId="0" applyNumberFormat="1" applyFont="1" applyFill="1" applyBorder="1" applyAlignment="1">
      <alignment horizontal="center" wrapText="1"/>
    </xf>
    <xf numFmtId="0" fontId="5" fillId="23" borderId="29" xfId="0" applyFont="1" applyFill="1" applyBorder="1" applyAlignment="1">
      <alignment horizontal="left" vertical="center"/>
    </xf>
    <xf numFmtId="0" fontId="5" fillId="23" borderId="30" xfId="0" applyFont="1" applyFill="1" applyBorder="1" applyAlignment="1">
      <alignment horizontal="left" vertical="center"/>
    </xf>
    <xf numFmtId="9" fontId="14" fillId="14" borderId="33" xfId="0" applyNumberFormat="1" applyFont="1" applyFill="1" applyBorder="1" applyAlignment="1">
      <alignment horizontal="center" vertical="center"/>
    </xf>
    <xf numFmtId="9" fontId="14" fillId="14" borderId="15" xfId="0" applyNumberFormat="1" applyFont="1" applyFill="1" applyBorder="1" applyAlignment="1">
      <alignment horizontal="center" vertical="center"/>
    </xf>
    <xf numFmtId="0" fontId="5" fillId="23" borderId="0" xfId="0" applyFont="1" applyFill="1" applyAlignment="1">
      <alignment horizontal="left" vertical="center"/>
    </xf>
    <xf numFmtId="9" fontId="14" fillId="14" borderId="26" xfId="0" applyNumberFormat="1" applyFont="1" applyFill="1" applyBorder="1" applyAlignment="1">
      <alignment horizontal="center" vertical="center"/>
    </xf>
    <xf numFmtId="9" fontId="14" fillId="14" borderId="27" xfId="0" applyNumberFormat="1" applyFont="1" applyFill="1" applyBorder="1" applyAlignment="1">
      <alignment horizontal="center" vertical="center"/>
    </xf>
    <xf numFmtId="9" fontId="14" fillId="14" borderId="28" xfId="0" applyNumberFormat="1" applyFont="1" applyFill="1" applyBorder="1" applyAlignment="1">
      <alignment horizontal="center" vertical="center"/>
    </xf>
    <xf numFmtId="0" fontId="5" fillId="23" borderId="31" xfId="0" applyFont="1" applyFill="1" applyBorder="1" applyAlignment="1">
      <alignment horizontal="left" vertical="center"/>
    </xf>
    <xf numFmtId="0" fontId="5" fillId="23" borderId="32" xfId="0" applyFont="1" applyFill="1" applyBorder="1" applyAlignment="1">
      <alignment horizontal="left" vertical="center"/>
    </xf>
    <xf numFmtId="9" fontId="14" fillId="14" borderId="0" xfId="0" applyNumberFormat="1" applyFont="1" applyFill="1" applyAlignment="1">
      <alignment horizontal="center" vertical="center"/>
    </xf>
    <xf numFmtId="9" fontId="14" fillId="14" borderId="30" xfId="0" applyNumberFormat="1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9" fontId="14" fillId="19" borderId="15" xfId="0" applyNumberFormat="1" applyFont="1" applyFill="1" applyBorder="1" applyAlignment="1">
      <alignment horizontal="center" wrapText="1"/>
    </xf>
    <xf numFmtId="0" fontId="21" fillId="36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9" fontId="0" fillId="0" borderId="51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19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7" fillId="6" borderId="0" xfId="0" applyFont="1" applyFill="1" applyAlignment="1">
      <alignment horizontal="center"/>
    </xf>
    <xf numFmtId="0" fontId="17" fillId="31" borderId="47" xfId="0" applyFont="1" applyFill="1" applyBorder="1"/>
    <xf numFmtId="0" fontId="17" fillId="31" borderId="44" xfId="0" applyFont="1" applyFill="1" applyBorder="1"/>
    <xf numFmtId="0" fontId="17" fillId="31" borderId="45" xfId="0" applyFont="1" applyFill="1" applyBorder="1"/>
    <xf numFmtId="1" fontId="17" fillId="31" borderId="48" xfId="0" applyNumberFormat="1" applyFont="1" applyFill="1" applyBorder="1"/>
    <xf numFmtId="1" fontId="17" fillId="31" borderId="49" xfId="0" applyNumberFormat="1" applyFont="1" applyFill="1" applyBorder="1"/>
    <xf numFmtId="0" fontId="0" fillId="37" borderId="0" xfId="0" applyFill="1" applyAlignment="1">
      <alignment horizontal="center"/>
    </xf>
    <xf numFmtId="0" fontId="7" fillId="37" borderId="0" xfId="0" applyFont="1" applyFill="1"/>
    <xf numFmtId="0" fontId="21" fillId="3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11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22" fillId="21" borderId="0" xfId="0" applyFont="1" applyFill="1" applyAlignment="1">
      <alignment horizontal="center"/>
    </xf>
    <xf numFmtId="0" fontId="23" fillId="40" borderId="0" xfId="0" applyFont="1" applyFill="1"/>
    <xf numFmtId="0" fontId="23" fillId="40" borderId="0" xfId="0" applyFont="1" applyFill="1" applyAlignment="1">
      <alignment horizontal="center"/>
    </xf>
    <xf numFmtId="0" fontId="7" fillId="40" borderId="0" xfId="0" applyFont="1" applyFill="1" applyAlignment="1">
      <alignment horizontal="center"/>
    </xf>
    <xf numFmtId="0" fontId="24" fillId="40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9" fontId="19" fillId="19" borderId="28" xfId="0" applyNumberFormat="1" applyFont="1" applyFill="1" applyBorder="1" applyAlignment="1">
      <alignment wrapText="1"/>
    </xf>
    <xf numFmtId="0" fontId="0" fillId="0" borderId="11" xfId="0" applyBorder="1" applyAlignment="1">
      <alignment horizontal="center"/>
    </xf>
    <xf numFmtId="0" fontId="23" fillId="40" borderId="11" xfId="0" applyFont="1" applyFill="1" applyBorder="1" applyAlignment="1">
      <alignment horizontal="center"/>
    </xf>
    <xf numFmtId="165" fontId="8" fillId="13" borderId="3" xfId="0" applyNumberFormat="1" applyFont="1" applyFill="1" applyBorder="1" applyAlignment="1">
      <alignment horizontal="center"/>
    </xf>
    <xf numFmtId="0" fontId="5" fillId="40" borderId="0" xfId="0" applyFont="1" applyFill="1" applyAlignment="1">
      <alignment horizontal="center"/>
    </xf>
    <xf numFmtId="0" fontId="17" fillId="31" borderId="42" xfId="0" applyFont="1" applyFill="1" applyBorder="1" applyAlignment="1">
      <alignment horizontal="center"/>
    </xf>
    <xf numFmtId="1" fontId="18" fillId="32" borderId="0" xfId="0" applyNumberFormat="1" applyFont="1" applyFill="1" applyAlignment="1">
      <alignment horizontal="center"/>
    </xf>
    <xf numFmtId="1" fontId="18" fillId="32" borderId="12" xfId="0" applyNumberFormat="1" applyFont="1" applyFill="1" applyBorder="1" applyAlignment="1">
      <alignment horizontal="center"/>
    </xf>
    <xf numFmtId="0" fontId="27" fillId="13" borderId="26" xfId="0" applyFont="1" applyFill="1" applyBorder="1" applyAlignment="1">
      <alignment horizontal="center"/>
    </xf>
    <xf numFmtId="0" fontId="27" fillId="13" borderId="27" xfId="0" applyFont="1" applyFill="1" applyBorder="1" applyAlignment="1">
      <alignment horizontal="center"/>
    </xf>
    <xf numFmtId="0" fontId="27" fillId="13" borderId="28" xfId="0" applyFont="1" applyFill="1" applyBorder="1" applyAlignment="1">
      <alignment horizontal="center"/>
    </xf>
    <xf numFmtId="165" fontId="27" fillId="13" borderId="10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9" fillId="14" borderId="29" xfId="0" applyFont="1" applyFill="1" applyBorder="1" applyAlignment="1">
      <alignment horizontal="center"/>
    </xf>
    <xf numFmtId="0" fontId="27" fillId="14" borderId="0" xfId="0" applyFont="1" applyFill="1" applyAlignment="1">
      <alignment horizontal="center"/>
    </xf>
    <xf numFmtId="0" fontId="27" fillId="14" borderId="30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28" fillId="11" borderId="0" xfId="0" applyFont="1" applyFill="1" applyAlignment="1">
      <alignment horizontal="center"/>
    </xf>
    <xf numFmtId="0" fontId="28" fillId="15" borderId="30" xfId="0" applyFont="1" applyFill="1" applyBorder="1" applyAlignment="1">
      <alignment horizontal="center"/>
    </xf>
    <xf numFmtId="0" fontId="30" fillId="40" borderId="0" xfId="0" applyFont="1" applyFill="1" applyAlignment="1">
      <alignment horizontal="center"/>
    </xf>
    <xf numFmtId="0" fontId="30" fillId="40" borderId="0" xfId="0" applyFont="1" applyFill="1"/>
    <xf numFmtId="0" fontId="28" fillId="14" borderId="0" xfId="0" applyFont="1" applyFill="1" applyAlignment="1">
      <alignment horizontal="center"/>
    </xf>
    <xf numFmtId="0" fontId="28" fillId="16" borderId="0" xfId="0" applyFont="1" applyFill="1" applyAlignment="1">
      <alignment horizontal="center"/>
    </xf>
    <xf numFmtId="0" fontId="28" fillId="21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8" fillId="39" borderId="0" xfId="0" applyFont="1" applyFill="1" applyAlignment="1">
      <alignment horizontal="center"/>
    </xf>
    <xf numFmtId="0" fontId="28" fillId="14" borderId="30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31" fillId="14" borderId="29" xfId="0" applyFont="1" applyFill="1" applyBorder="1" applyAlignment="1">
      <alignment horizontal="center"/>
    </xf>
    <xf numFmtId="0" fontId="28" fillId="17" borderId="29" xfId="0" applyFont="1" applyFill="1" applyBorder="1" applyAlignment="1">
      <alignment horizontal="center"/>
    </xf>
    <xf numFmtId="0" fontId="28" fillId="17" borderId="0" xfId="0" applyFont="1" applyFill="1" applyAlignment="1">
      <alignment horizontal="center"/>
    </xf>
    <xf numFmtId="0" fontId="28" fillId="17" borderId="3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28" fillId="14" borderId="12" xfId="0" applyFont="1" applyFill="1" applyBorder="1" applyAlignment="1">
      <alignment horizontal="center"/>
    </xf>
    <xf numFmtId="0" fontId="28" fillId="14" borderId="32" xfId="0" applyFont="1" applyFill="1" applyBorder="1" applyAlignment="1">
      <alignment horizontal="center"/>
    </xf>
    <xf numFmtId="164" fontId="27" fillId="0" borderId="10" xfId="0" applyNumberFormat="1" applyFont="1" applyBorder="1" applyAlignment="1">
      <alignment horizontal="center"/>
    </xf>
    <xf numFmtId="0" fontId="27" fillId="11" borderId="0" xfId="0" applyFont="1" applyFill="1" applyAlignment="1">
      <alignment horizontal="center"/>
    </xf>
    <xf numFmtId="0" fontId="27" fillId="15" borderId="3" xfId="0" applyFont="1" applyFill="1" applyBorder="1" applyAlignment="1">
      <alignment horizontal="center"/>
    </xf>
    <xf numFmtId="9" fontId="28" fillId="0" borderId="0" xfId="0" applyNumberFormat="1" applyFont="1" applyAlignment="1">
      <alignment horizontal="center"/>
    </xf>
    <xf numFmtId="0" fontId="27" fillId="15" borderId="0" xfId="0" applyFont="1" applyFill="1" applyAlignment="1">
      <alignment horizontal="center"/>
    </xf>
    <xf numFmtId="0" fontId="28" fillId="19" borderId="0" xfId="0" applyFont="1" applyFill="1" applyAlignment="1">
      <alignment horizontal="center"/>
    </xf>
    <xf numFmtId="0" fontId="27" fillId="11" borderId="12" xfId="0" applyFont="1" applyFill="1" applyBorder="1" applyAlignment="1">
      <alignment horizontal="center"/>
    </xf>
    <xf numFmtId="0" fontId="32" fillId="15" borderId="12" xfId="0" applyFont="1" applyFill="1" applyBorder="1" applyAlignment="1">
      <alignment horizontal="center"/>
    </xf>
    <xf numFmtId="0" fontId="33" fillId="15" borderId="12" xfId="0" applyFont="1" applyFill="1" applyBorder="1" applyAlignment="1">
      <alignment horizontal="center"/>
    </xf>
    <xf numFmtId="0" fontId="34" fillId="15" borderId="12" xfId="0" applyFont="1" applyFill="1" applyBorder="1" applyAlignment="1">
      <alignment horizontal="center"/>
    </xf>
    <xf numFmtId="9" fontId="28" fillId="15" borderId="0" xfId="0" applyNumberFormat="1" applyFont="1" applyFill="1" applyAlignment="1">
      <alignment horizontal="center"/>
    </xf>
    <xf numFmtId="9" fontId="28" fillId="15" borderId="5" xfId="0" applyNumberFormat="1" applyFont="1" applyFill="1" applyBorder="1" applyAlignment="1">
      <alignment horizontal="center"/>
    </xf>
    <xf numFmtId="0" fontId="35" fillId="11" borderId="0" xfId="0" applyFont="1" applyFill="1" applyAlignment="1">
      <alignment horizontal="center"/>
    </xf>
    <xf numFmtId="0" fontId="31" fillId="9" borderId="25" xfId="0" applyFont="1" applyFill="1" applyBorder="1" applyAlignment="1">
      <alignment horizontal="center"/>
    </xf>
    <xf numFmtId="0" fontId="31" fillId="9" borderId="14" xfId="0" applyFont="1" applyFill="1" applyBorder="1" applyAlignment="1">
      <alignment horizontal="center"/>
    </xf>
    <xf numFmtId="0" fontId="31" fillId="13" borderId="15" xfId="0" applyFont="1" applyFill="1" applyBorder="1" applyAlignment="1">
      <alignment horizontal="center"/>
    </xf>
    <xf numFmtId="0" fontId="28" fillId="25" borderId="0" xfId="0" applyFont="1" applyFill="1" applyAlignment="1">
      <alignment horizontal="center"/>
    </xf>
    <xf numFmtId="9" fontId="28" fillId="0" borderId="0" xfId="0" applyNumberFormat="1" applyFont="1"/>
    <xf numFmtId="9" fontId="27" fillId="0" borderId="16" xfId="0" applyNumberFormat="1" applyFont="1" applyBorder="1" applyAlignment="1">
      <alignment horizontal="center" vertical="center"/>
    </xf>
    <xf numFmtId="0" fontId="28" fillId="15" borderId="0" xfId="0" applyFont="1" applyFill="1"/>
    <xf numFmtId="9" fontId="28" fillId="15" borderId="0" xfId="0" applyNumberFormat="1" applyFont="1" applyFill="1"/>
    <xf numFmtId="9" fontId="27" fillId="15" borderId="17" xfId="0" applyNumberFormat="1" applyFont="1" applyFill="1" applyBorder="1" applyAlignment="1">
      <alignment vertical="center"/>
    </xf>
    <xf numFmtId="9" fontId="27" fillId="0" borderId="18" xfId="0" applyNumberFormat="1" applyFont="1" applyBorder="1" applyAlignment="1">
      <alignment horizontal="center" vertical="center"/>
    </xf>
    <xf numFmtId="9" fontId="27" fillId="0" borderId="19" xfId="0" applyNumberFormat="1" applyFont="1" applyBorder="1" applyAlignment="1">
      <alignment horizontal="center" vertical="center"/>
    </xf>
    <xf numFmtId="9" fontId="27" fillId="11" borderId="0" xfId="0" applyNumberFormat="1" applyFont="1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30" fillId="40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6" fillId="40" borderId="0" xfId="0" applyFont="1" applyFill="1" applyAlignment="1">
      <alignment horizontal="center" vertical="center"/>
    </xf>
    <xf numFmtId="0" fontId="36" fillId="40" borderId="0" xfId="0" applyFont="1" applyFill="1"/>
    <xf numFmtId="0" fontId="36" fillId="40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0" fillId="21" borderId="0" xfId="0" applyFill="1" applyAlignment="1">
      <alignment horizontal="center" vertical="center"/>
    </xf>
    <xf numFmtId="0" fontId="36" fillId="41" borderId="0" xfId="0" applyFont="1" applyFill="1" applyAlignment="1">
      <alignment horizontal="center" vertical="center"/>
    </xf>
    <xf numFmtId="0" fontId="26" fillId="27" borderId="33" xfId="0" applyFont="1" applyFill="1" applyBorder="1" applyAlignment="1">
      <alignment horizontal="center"/>
    </xf>
    <xf numFmtId="0" fontId="18" fillId="27" borderId="33" xfId="0" applyFont="1" applyFill="1" applyBorder="1" applyAlignment="1">
      <alignment horizontal="center"/>
    </xf>
    <xf numFmtId="0" fontId="18" fillId="27" borderId="33" xfId="0" applyFont="1" applyFill="1" applyBorder="1" applyAlignment="1">
      <alignment horizontal="left"/>
    </xf>
    <xf numFmtId="0" fontId="18" fillId="27" borderId="0" xfId="0" applyFont="1" applyFill="1" applyAlignment="1">
      <alignment horizontal="left"/>
    </xf>
    <xf numFmtId="0" fontId="5" fillId="23" borderId="26" xfId="0" applyFont="1" applyFill="1" applyBorder="1" applyAlignment="1">
      <alignment horizontal="left" vertical="center"/>
    </xf>
    <xf numFmtId="0" fontId="5" fillId="23" borderId="28" xfId="0" applyFont="1" applyFill="1" applyBorder="1" applyAlignment="1">
      <alignment horizontal="left" vertical="center"/>
    </xf>
    <xf numFmtId="0" fontId="17" fillId="34" borderId="34" xfId="0" applyFont="1" applyFill="1" applyBorder="1" applyAlignment="1">
      <alignment horizontal="center"/>
    </xf>
    <xf numFmtId="0" fontId="17" fillId="34" borderId="33" xfId="0" applyFont="1" applyFill="1" applyBorder="1" applyAlignment="1">
      <alignment horizontal="center"/>
    </xf>
    <xf numFmtId="0" fontId="17" fillId="34" borderId="15" xfId="0" applyFont="1" applyFill="1" applyBorder="1" applyAlignment="1">
      <alignment horizontal="center"/>
    </xf>
    <xf numFmtId="0" fontId="0" fillId="22" borderId="34" xfId="0" applyFill="1" applyBorder="1" applyAlignment="1">
      <alignment horizontal="center" vertical="center" wrapText="1"/>
    </xf>
    <xf numFmtId="0" fontId="0" fillId="22" borderId="31" xfId="0" applyFill="1" applyBorder="1" applyAlignment="1">
      <alignment horizontal="center" vertical="center" wrapText="1"/>
    </xf>
    <xf numFmtId="0" fontId="0" fillId="22" borderId="33" xfId="0" applyFill="1" applyBorder="1" applyAlignment="1">
      <alignment horizontal="center" vertical="center" wrapText="1"/>
    </xf>
    <xf numFmtId="0" fontId="0" fillId="22" borderId="1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8" fillId="27" borderId="34" xfId="0" applyFont="1" applyFill="1" applyBorder="1" applyAlignment="1">
      <alignment wrapText="1"/>
    </xf>
    <xf numFmtId="0" fontId="18" fillId="27" borderId="31" xfId="0" applyFont="1" applyFill="1" applyBorder="1" applyAlignment="1">
      <alignment wrapText="1"/>
    </xf>
    <xf numFmtId="0" fontId="18" fillId="27" borderId="0" xfId="0" applyFont="1" applyFill="1" applyAlignment="1">
      <alignment wrapText="1"/>
    </xf>
    <xf numFmtId="0" fontId="18" fillId="27" borderId="12" xfId="0" applyFont="1" applyFill="1" applyBorder="1" applyAlignment="1">
      <alignment wrapText="1"/>
    </xf>
    <xf numFmtId="0" fontId="0" fillId="25" borderId="35" xfId="0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/>
    </xf>
    <xf numFmtId="9" fontId="5" fillId="22" borderId="36" xfId="0" applyNumberFormat="1" applyFont="1" applyFill="1" applyBorder="1" applyAlignment="1">
      <alignment horizontal="center" vertical="center"/>
    </xf>
    <xf numFmtId="0" fontId="5" fillId="22" borderId="37" xfId="0" applyFont="1" applyFill="1" applyBorder="1" applyAlignment="1">
      <alignment horizontal="center" vertical="center"/>
    </xf>
    <xf numFmtId="0" fontId="5" fillId="24" borderId="34" xfId="0" applyFont="1" applyFill="1" applyBorder="1" applyAlignment="1">
      <alignment horizontal="center" wrapText="1"/>
    </xf>
    <xf numFmtId="0" fontId="5" fillId="24" borderId="33" xfId="0" applyFont="1" applyFill="1" applyBorder="1" applyAlignment="1">
      <alignment horizontal="center" wrapText="1"/>
    </xf>
    <xf numFmtId="0" fontId="18" fillId="28" borderId="33" xfId="0" applyFont="1" applyFill="1" applyBorder="1" applyAlignment="1">
      <alignment wrapText="1"/>
    </xf>
    <xf numFmtId="0" fontId="18" fillId="28" borderId="12" xfId="0" applyFont="1" applyFill="1" applyBorder="1" applyAlignment="1">
      <alignment wrapText="1"/>
    </xf>
    <xf numFmtId="0" fontId="17" fillId="34" borderId="34" xfId="0" applyFont="1" applyFill="1" applyBorder="1" applyAlignment="1">
      <alignment horizontal="center" wrapText="1"/>
    </xf>
    <xf numFmtId="0" fontId="17" fillId="34" borderId="33" xfId="0" applyFont="1" applyFill="1" applyBorder="1" applyAlignment="1">
      <alignment horizontal="center" wrapText="1"/>
    </xf>
    <xf numFmtId="0" fontId="0" fillId="3" borderId="3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24" borderId="34" xfId="0" applyFont="1" applyFill="1" applyBorder="1" applyAlignment="1">
      <alignment horizontal="center"/>
    </xf>
    <xf numFmtId="0" fontId="5" fillId="24" borderId="33" xfId="0" applyFont="1" applyFill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9" fontId="20" fillId="33" borderId="26" xfId="0" applyNumberFormat="1" applyFont="1" applyFill="1" applyBorder="1" applyAlignment="1">
      <alignment horizontal="center"/>
    </xf>
    <xf numFmtId="9" fontId="20" fillId="33" borderId="27" xfId="0" applyNumberFormat="1" applyFont="1" applyFill="1" applyBorder="1" applyAlignment="1">
      <alignment horizontal="center"/>
    </xf>
    <xf numFmtId="9" fontId="20" fillId="33" borderId="28" xfId="0" applyNumberFormat="1" applyFont="1" applyFill="1" applyBorder="1" applyAlignment="1">
      <alignment horizontal="center"/>
    </xf>
    <xf numFmtId="0" fontId="18" fillId="27" borderId="0" xfId="0" applyFont="1" applyFill="1" applyAlignment="1">
      <alignment horizontal="center"/>
    </xf>
    <xf numFmtId="0" fontId="18" fillId="28" borderId="33" xfId="0" applyFont="1" applyFill="1" applyBorder="1" applyAlignment="1">
      <alignment vertical="center" wrapText="1"/>
    </xf>
    <xf numFmtId="0" fontId="18" fillId="28" borderId="12" xfId="0" applyFont="1" applyFill="1" applyBorder="1" applyAlignment="1">
      <alignment vertical="center" wrapText="1"/>
    </xf>
    <xf numFmtId="9" fontId="0" fillId="0" borderId="6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0" fontId="17" fillId="29" borderId="34" xfId="0" applyFont="1" applyFill="1" applyBorder="1" applyAlignment="1"/>
    <xf numFmtId="0" fontId="17" fillId="29" borderId="15" xfId="0" applyFont="1" applyFill="1" applyBorder="1" applyAlignment="1"/>
    <xf numFmtId="0" fontId="18" fillId="35" borderId="27" xfId="0" applyFont="1" applyFill="1" applyBorder="1" applyAlignme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theme="4" tint="0.59999389629810485"/>
        </patternFill>
      </fill>
    </dxf>
    <dxf>
      <font>
        <color rgb="FF0070C0"/>
      </font>
      <fill>
        <patternFill patternType="solid">
          <bgColor theme="0" tint="-0.14999847407452621"/>
        </patternFill>
      </fill>
    </dxf>
    <dxf>
      <font>
        <color rgb="FF0070C0"/>
      </font>
      <fill>
        <patternFill patternType="solid">
          <bgColor theme="0" tint="-0.14999847407452621"/>
        </patternFill>
      </fill>
    </dxf>
    <dxf>
      <font>
        <color theme="5" tint="0.39994506668294322"/>
      </font>
    </dxf>
    <dxf>
      <font>
        <color theme="4" tint="0.39994506668294322"/>
      </font>
    </dxf>
    <dxf>
      <font>
        <color theme="5" tint="0.39994506668294322"/>
      </font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theme="3" tint="0.499984740745262"/>
      </font>
      <fill>
        <patternFill patternType="solid"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0"/>
        </patternFill>
      </fill>
    </dxf>
    <dxf>
      <font>
        <color theme="3" tint="0.499984740745262"/>
      </font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FFFB8F"/>
      <color rgb="FFFFDF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Resource Usage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SD Available 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0.45</c:v>
              </c:pt>
              <c:pt idx="1">
                <c:v>0.45</c:v>
              </c:pt>
              <c:pt idx="2">
                <c:v>0.59</c:v>
              </c:pt>
              <c:pt idx="3">
                <c:v>0.82</c:v>
              </c:pt>
              <c:pt idx="4">
                <c:v>0.76984126984126988</c:v>
              </c:pt>
              <c:pt idx="5">
                <c:v>0.78333333333333344</c:v>
              </c:pt>
              <c:pt idx="6">
                <c:v>0.72499999999999987</c:v>
              </c:pt>
              <c:pt idx="7">
                <c:v>0.64625850340136048</c:v>
              </c:pt>
              <c:pt idx="8">
                <c:v>0.74829931972789099</c:v>
              </c:pt>
              <c:pt idx="9">
                <c:v>0.80745341614906851</c:v>
              </c:pt>
              <c:pt idx="10">
                <c:v>0.7321428571428571</c:v>
              </c:pt>
              <c:pt idx="11">
                <c:v>0.53125</c:v>
              </c:pt>
            </c:numLit>
          </c:val>
          <c:extLst>
            <c:ext xmlns:c16="http://schemas.microsoft.com/office/drawing/2014/chart" uri="{C3380CC4-5D6E-409C-BE32-E72D297353CC}">
              <c16:uniqueId val="{00000000-4245-40A7-A1B7-011174AAA11A}"/>
            </c:ext>
          </c:extLst>
        </c:ser>
        <c:ser>
          <c:idx val="1"/>
          <c:order val="1"/>
          <c:tx>
            <c:v>OST 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1.25</c:v>
              </c:pt>
              <c:pt idx="1">
                <c:v>1.25</c:v>
              </c:pt>
              <c:pt idx="2">
                <c:v>1.125</c:v>
              </c:pt>
              <c:pt idx="3">
                <c:v>0.9285714285714286</c:v>
              </c:pt>
              <c:pt idx="4">
                <c:v>0.80158730158730174</c:v>
              </c:pt>
              <c:pt idx="5">
                <c:v>0.8</c:v>
              </c:pt>
              <c:pt idx="6">
                <c:v>1</c:v>
              </c:pt>
              <c:pt idx="7">
                <c:v>0.95238095238095233</c:v>
              </c:pt>
              <c:pt idx="8">
                <c:v>0.6428571428571429</c:v>
              </c:pt>
              <c:pt idx="9">
                <c:v>1</c:v>
              </c:pt>
              <c:pt idx="10">
                <c:v>1.3571428571428572</c:v>
              </c:pt>
              <c:pt idx="11">
                <c:v>1.95</c:v>
              </c:pt>
            </c:numLit>
          </c:val>
          <c:extLst>
            <c:ext xmlns:c16="http://schemas.microsoft.com/office/drawing/2014/chart" uri="{C3380CC4-5D6E-409C-BE32-E72D297353CC}">
              <c16:uniqueId val="{00000001-4245-40A7-A1B7-011174AAA11A}"/>
            </c:ext>
          </c:extLst>
        </c:ser>
        <c:ser>
          <c:idx val="2"/>
          <c:order val="2"/>
          <c:tx>
            <c:v>OST BaB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0.75</c:v>
              </c:pt>
              <c:pt idx="1">
                <c:v>0.75</c:v>
              </c:pt>
              <c:pt idx="2">
                <c:v>0.95</c:v>
              </c:pt>
              <c:pt idx="3">
                <c:v>1</c:v>
              </c:pt>
              <c:pt idx="4">
                <c:v>0.66666666666666663</c:v>
              </c:pt>
              <c:pt idx="5">
                <c:v>0.75</c:v>
              </c:pt>
              <c:pt idx="6">
                <c:v>0.82499999999999996</c:v>
              </c:pt>
              <c:pt idx="7">
                <c:v>0.8571428571428571</c:v>
              </c:pt>
              <c:pt idx="8">
                <c:v>0.90476190476190477</c:v>
              </c:pt>
              <c:pt idx="9">
                <c:v>0.89130434782608692</c:v>
              </c:pt>
              <c:pt idx="10">
                <c:v>0.83333333333333337</c:v>
              </c:pt>
              <c:pt idx="11">
                <c:v>0.8</c:v>
              </c:pt>
            </c:numLit>
          </c:val>
          <c:extLst>
            <c:ext xmlns:c16="http://schemas.microsoft.com/office/drawing/2014/chart" uri="{C3380CC4-5D6E-409C-BE32-E72D297353CC}">
              <c16:uniqueId val="{00000002-4245-40A7-A1B7-011174AAA11A}"/>
            </c:ext>
          </c:extLst>
        </c:ser>
        <c:ser>
          <c:idx val="3"/>
          <c:order val="3"/>
          <c:tx>
            <c:v>MGMT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0.5</c:v>
              </c:pt>
              <c:pt idx="1">
                <c:v>0.5</c:v>
              </c:pt>
              <c:pt idx="2">
                <c:v>0.9</c:v>
              </c:pt>
              <c:pt idx="3">
                <c:v>0.8928571428571429</c:v>
              </c:pt>
              <c:pt idx="4">
                <c:v>0.8928571428571429</c:v>
              </c:pt>
              <c:pt idx="5">
                <c:v>0.96250000000000002</c:v>
              </c:pt>
              <c:pt idx="6">
                <c:v>0.96250000000000002</c:v>
              </c:pt>
              <c:pt idx="7">
                <c:v>0.80952380952380953</c:v>
              </c:pt>
              <c:pt idx="8">
                <c:v>0.79761904761904767</c:v>
              </c:pt>
              <c:pt idx="9">
                <c:v>0.69565217391304346</c:v>
              </c:pt>
              <c:pt idx="10">
                <c:v>0.88095238095238093</c:v>
              </c:pt>
              <c:pt idx="11">
                <c:v>0.75</c:v>
              </c:pt>
            </c:numLit>
          </c:val>
          <c:extLst>
            <c:ext xmlns:c16="http://schemas.microsoft.com/office/drawing/2014/chart" uri="{C3380CC4-5D6E-409C-BE32-E72D297353CC}">
              <c16:uniqueId val="{00000003-4245-40A7-A1B7-011174AAA11A}"/>
            </c:ext>
          </c:extLst>
        </c:ser>
        <c:ser>
          <c:idx val="4"/>
          <c:order val="4"/>
          <c:tx>
            <c:strRef>
              <c:f>{"Projects"}</c:f>
              <c:strCache>
                <c:ptCount val="1"/>
                <c:pt idx="0">
                  <c:v>Projects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1.35</c:v>
              </c:pt>
              <c:pt idx="1">
                <c:v>1.35</c:v>
              </c:pt>
              <c:pt idx="2">
                <c:v>1.1000000000000001</c:v>
              </c:pt>
              <c:pt idx="3">
                <c:v>0.80952380952380953</c:v>
              </c:pt>
              <c:pt idx="4">
                <c:v>0.80158730158730174</c:v>
              </c:pt>
              <c:pt idx="5">
                <c:v>0.8125</c:v>
              </c:pt>
              <c:pt idx="6">
                <c:v>0.66249999999999998</c:v>
              </c:pt>
              <c:pt idx="7">
                <c:v>0.5357142857142857</c:v>
              </c:pt>
              <c:pt idx="8">
                <c:v>0.7301587301587299</c:v>
              </c:pt>
              <c:pt idx="9">
                <c:v>0.66666666666666641</c:v>
              </c:pt>
              <c:pt idx="10">
                <c:v>0.76190476190476186</c:v>
              </c:pt>
              <c:pt idx="11">
                <c:v>0.71666666666666667</c:v>
              </c:pt>
            </c:numLit>
          </c:val>
          <c:extLst>
            <c:ext xmlns:c16="http://schemas.microsoft.com/office/drawing/2014/chart" uri="{C3380CC4-5D6E-409C-BE32-E72D297353CC}">
              <c16:uniqueId val="{00000004-4245-40A7-A1B7-011174AA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-30"/>
        <c:axId val="1683637767"/>
        <c:axId val="1683639815"/>
      </c:barChart>
      <c:lineChart>
        <c:grouping val="standard"/>
        <c:varyColors val="0"/>
        <c:ser>
          <c:idx val="5"/>
          <c:order val="5"/>
          <c:tx>
            <c:strRef>
              <c:f>{"Capacity"}</c:f>
              <c:strCache>
                <c:ptCount val="1"/>
                <c:pt idx="0">
                  <c:v>Capacity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4245-40A7-A1B7-011174AAA11A}"/>
            </c:ext>
          </c:extLst>
        </c:ser>
        <c:ser>
          <c:idx val="6"/>
          <c:order val="6"/>
          <c:tx>
            <c:strRef>
              <c:f>{"Under Resourced "}</c:f>
              <c:strCache>
                <c:ptCount val="1"/>
                <c:pt idx="0">
                  <c:v>Under Resourced 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0.9</c:v>
              </c:pt>
              <c:pt idx="1">
                <c:v>0.9</c:v>
              </c:pt>
              <c:pt idx="2">
                <c:v>0.9</c:v>
              </c:pt>
              <c:pt idx="3">
                <c:v>0.9</c:v>
              </c:pt>
              <c:pt idx="4">
                <c:v>0.9</c:v>
              </c:pt>
              <c:pt idx="5">
                <c:v>0.9</c:v>
              </c:pt>
              <c:pt idx="6">
                <c:v>0.9</c:v>
              </c:pt>
              <c:pt idx="7">
                <c:v>0.9</c:v>
              </c:pt>
              <c:pt idx="8">
                <c:v>0.9</c:v>
              </c:pt>
              <c:pt idx="9">
                <c:v>0.9</c:v>
              </c:pt>
              <c:pt idx="10">
                <c:v>0.9</c:v>
              </c:pt>
              <c:pt idx="11">
                <c:v>0.9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4245-40A7-A1B7-011174AAA11A}"/>
            </c:ext>
          </c:extLst>
        </c:ser>
        <c:ser>
          <c:idx val="7"/>
          <c:order val="7"/>
          <c:tx>
            <c:strRef>
              <c:f>{"Over Resourced "}</c:f>
              <c:strCache>
                <c:ptCount val="1"/>
                <c:pt idx="0">
                  <c:v>Over Resourced 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March</c:v>
              </c:pt>
              <c:pt idx="3">
                <c:v>April 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1.1000000000000001</c:v>
              </c:pt>
              <c:pt idx="1">
                <c:v>1.1000000000000001</c:v>
              </c:pt>
              <c:pt idx="2">
                <c:v>1.1000000000000001</c:v>
              </c:pt>
              <c:pt idx="3">
                <c:v>1.1000000000000001</c:v>
              </c:pt>
              <c:pt idx="4">
                <c:v>1.1000000000000001</c:v>
              </c:pt>
              <c:pt idx="5">
                <c:v>1.1000000000000001</c:v>
              </c:pt>
              <c:pt idx="6">
                <c:v>1.1000000000000001</c:v>
              </c:pt>
              <c:pt idx="7">
                <c:v>1.1000000000000001</c:v>
              </c:pt>
              <c:pt idx="8">
                <c:v>1.1000000000000001</c:v>
              </c:pt>
              <c:pt idx="9">
                <c:v>1.1000000000000001</c:v>
              </c:pt>
              <c:pt idx="10">
                <c:v>1.1000000000000001</c:v>
              </c:pt>
              <c:pt idx="11">
                <c:v>1.1000000000000001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4245-40A7-A1B7-011174AA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3637767"/>
        <c:axId val="1683639815"/>
      </c:lineChart>
      <c:catAx>
        <c:axId val="1683637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39815"/>
        <c:crosses val="autoZero"/>
        <c:auto val="1"/>
        <c:lblAlgn val="ctr"/>
        <c:lblOffset val="100"/>
        <c:noMultiLvlLbl val="0"/>
      </c:catAx>
      <c:valAx>
        <c:axId val="168363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3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Open vs Closed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Summary!$R$40</c:f>
              <c:strCache>
                <c:ptCount val="1"/>
                <c:pt idx="0">
                  <c:v>Opened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Summary!$S$38:$AD$38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Summary!$S$40:$AD$40</c:f>
              <c:numCache>
                <c:formatCode>0</c:formatCode>
                <c:ptCount val="12"/>
                <c:pt idx="0">
                  <c:v>1075</c:v>
                </c:pt>
                <c:pt idx="1">
                  <c:v>1040</c:v>
                </c:pt>
                <c:pt idx="2">
                  <c:v>991</c:v>
                </c:pt>
                <c:pt idx="3">
                  <c:v>1795</c:v>
                </c:pt>
                <c:pt idx="4">
                  <c:v>2447</c:v>
                </c:pt>
                <c:pt idx="5">
                  <c:v>3702</c:v>
                </c:pt>
                <c:pt idx="6">
                  <c:v>3702</c:v>
                </c:pt>
                <c:pt idx="7">
                  <c:v>2555</c:v>
                </c:pt>
                <c:pt idx="8">
                  <c:v>2121</c:v>
                </c:pt>
                <c:pt idx="9">
                  <c:v>2005</c:v>
                </c:pt>
                <c:pt idx="10">
                  <c:v>2226</c:v>
                </c:pt>
                <c:pt idx="11">
                  <c:v>1487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42-4809-96DB-DC2A533AC342}"/>
            </c:ext>
          </c:extLst>
        </c:ser>
        <c:ser>
          <c:idx val="2"/>
          <c:order val="2"/>
          <c:tx>
            <c:strRef>
              <c:f>Summary!$R$41</c:f>
              <c:strCache>
                <c:ptCount val="1"/>
                <c:pt idx="0">
                  <c:v>Closed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Summary!$S$38:$AD$38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Summary!$S$41:$AD$41</c:f>
              <c:numCache>
                <c:formatCode>0</c:formatCode>
                <c:ptCount val="12"/>
                <c:pt idx="0">
                  <c:v>910</c:v>
                </c:pt>
                <c:pt idx="1">
                  <c:v>1040</c:v>
                </c:pt>
                <c:pt idx="2">
                  <c:v>1000</c:v>
                </c:pt>
                <c:pt idx="3">
                  <c:v>1773</c:v>
                </c:pt>
                <c:pt idx="4">
                  <c:v>2620</c:v>
                </c:pt>
                <c:pt idx="5">
                  <c:v>3687</c:v>
                </c:pt>
                <c:pt idx="6">
                  <c:v>3678</c:v>
                </c:pt>
                <c:pt idx="7">
                  <c:v>2451</c:v>
                </c:pt>
                <c:pt idx="8">
                  <c:v>2235</c:v>
                </c:pt>
                <c:pt idx="9">
                  <c:v>2068</c:v>
                </c:pt>
                <c:pt idx="10">
                  <c:v>2183</c:v>
                </c:pt>
                <c:pt idx="11">
                  <c:v>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42-4809-96DB-DC2A533AC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32648"/>
        <c:axId val="764473863"/>
      </c:barChart>
      <c:lineChart>
        <c:grouping val="standard"/>
        <c:varyColors val="0"/>
        <c:ser>
          <c:idx val="0"/>
          <c:order val="0"/>
          <c:tx>
            <c:strRef>
              <c:f>Summary!$R$39</c:f>
              <c:strCache>
                <c:ptCount val="1"/>
                <c:pt idx="0">
                  <c:v>Capacity (Full Team)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Summary!$S$38:$AD$38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Summary!$S$39:$AD$39</c:f>
              <c:numCache>
                <c:formatCode>0</c:formatCode>
                <c:ptCount val="12"/>
                <c:pt idx="0">
                  <c:v>1312</c:v>
                </c:pt>
                <c:pt idx="1">
                  <c:v>1312</c:v>
                </c:pt>
                <c:pt idx="2">
                  <c:v>1312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2-4809-96DB-DC2A533AC342}"/>
            </c:ext>
          </c:extLst>
        </c:ser>
        <c:ser>
          <c:idx val="3"/>
          <c:order val="3"/>
          <c:tx>
            <c:v>Open 2025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Summary!$S$70:$AD$70</c:f>
              <c:numCache>
                <c:formatCode>General</c:formatCode>
                <c:ptCount val="12"/>
                <c:pt idx="0">
                  <c:v>1587</c:v>
                </c:pt>
                <c:pt idx="1">
                  <c:v>1370</c:v>
                </c:pt>
                <c:pt idx="2">
                  <c:v>1400</c:v>
                </c:pt>
                <c:pt idx="3">
                  <c:v>1256</c:v>
                </c:pt>
                <c:pt idx="4">
                  <c:v>1008</c:v>
                </c:pt>
                <c:pt idx="5">
                  <c:v>1211</c:v>
                </c:pt>
                <c:pt idx="6">
                  <c:v>1107</c:v>
                </c:pt>
                <c:pt idx="7">
                  <c:v>912</c:v>
                </c:pt>
                <c:pt idx="8">
                  <c:v>1290</c:v>
                </c:pt>
                <c:pt idx="9">
                  <c:v>1114</c:v>
                </c:pt>
                <c:pt idx="10">
                  <c:v>1030</c:v>
                </c:pt>
                <c:pt idx="11">
                  <c:v>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2-47D9-AAF0-055E74BD0D5E}"/>
            </c:ext>
          </c:extLst>
        </c:ser>
        <c:ser>
          <c:idx val="4"/>
          <c:order val="4"/>
          <c:tx>
            <c:v>Closed 2024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Summary!$S$71:$AD$71</c:f>
              <c:numCache>
                <c:formatCode>General</c:formatCode>
                <c:ptCount val="12"/>
                <c:pt idx="0">
                  <c:v>1076</c:v>
                </c:pt>
                <c:pt idx="1">
                  <c:v>900</c:v>
                </c:pt>
                <c:pt idx="2">
                  <c:v>1150</c:v>
                </c:pt>
                <c:pt idx="3">
                  <c:v>1175</c:v>
                </c:pt>
                <c:pt idx="4">
                  <c:v>1111</c:v>
                </c:pt>
                <c:pt idx="5">
                  <c:v>1063</c:v>
                </c:pt>
                <c:pt idx="6">
                  <c:v>1076</c:v>
                </c:pt>
                <c:pt idx="7">
                  <c:v>925</c:v>
                </c:pt>
                <c:pt idx="8">
                  <c:v>1270</c:v>
                </c:pt>
                <c:pt idx="9">
                  <c:v>1117</c:v>
                </c:pt>
                <c:pt idx="10">
                  <c:v>1010</c:v>
                </c:pt>
                <c:pt idx="11">
                  <c:v>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2-47D9-AAF0-055E74BD0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32648"/>
        <c:axId val="764473863"/>
      </c:lineChart>
      <c:catAx>
        <c:axId val="1604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73863"/>
        <c:crosses val="autoZero"/>
        <c:auto val="1"/>
        <c:lblAlgn val="ctr"/>
        <c:lblOffset val="100"/>
        <c:noMultiLvlLbl val="0"/>
      </c:catAx>
      <c:valAx>
        <c:axId val="76447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3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Resource Usage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Summary!$B$38:$C$38</c:f>
              <c:strCache>
                <c:ptCount val="2"/>
                <c:pt idx="0">
                  <c:v>Service Desk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Summary!$D$38:$O$38</c:f>
              <c:numCache>
                <c:formatCode>0%</c:formatCode>
                <c:ptCount val="12"/>
                <c:pt idx="0">
                  <c:v>0.90909090909090906</c:v>
                </c:pt>
                <c:pt idx="1">
                  <c:v>0.94374999999999998</c:v>
                </c:pt>
                <c:pt idx="2">
                  <c:v>0.7857142857142857</c:v>
                </c:pt>
                <c:pt idx="3">
                  <c:v>0.86250000000000004</c:v>
                </c:pt>
                <c:pt idx="4">
                  <c:v>0.88749999999999996</c:v>
                </c:pt>
                <c:pt idx="5">
                  <c:v>0.89500000000000002</c:v>
                </c:pt>
                <c:pt idx="6">
                  <c:v>0.82608695652173914</c:v>
                </c:pt>
                <c:pt idx="7">
                  <c:v>0.81874999999999998</c:v>
                </c:pt>
                <c:pt idx="8">
                  <c:v>0.74147727272727271</c:v>
                </c:pt>
                <c:pt idx="9">
                  <c:v>0.75271739130434778</c:v>
                </c:pt>
                <c:pt idx="10">
                  <c:v>0.93125000000000002</c:v>
                </c:pt>
                <c:pt idx="11">
                  <c:v>0.77976190476190477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5-4195-9592-BD77E8DEF1C8}"/>
            </c:ext>
          </c:extLst>
        </c:ser>
        <c:ser>
          <c:idx val="1"/>
          <c:order val="1"/>
          <c:tx>
            <c:strRef>
              <c:f>Summary!$B$39:$C$39</c:f>
              <c:strCache>
                <c:ptCount val="2"/>
                <c:pt idx="0">
                  <c:v>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Summary!$D$39:$O$39</c:f>
              <c:numCache>
                <c:formatCode>0%</c:formatCode>
                <c:ptCount val="12"/>
                <c:pt idx="0">
                  <c:v>1.5454545454545454</c:v>
                </c:pt>
                <c:pt idx="1">
                  <c:v>0.7</c:v>
                </c:pt>
                <c:pt idx="2">
                  <c:v>0.72486772486772511</c:v>
                </c:pt>
                <c:pt idx="3">
                  <c:v>0.82499999999999996</c:v>
                </c:pt>
                <c:pt idx="4">
                  <c:v>0.82499999999999996</c:v>
                </c:pt>
                <c:pt idx="5">
                  <c:v>0.8</c:v>
                </c:pt>
                <c:pt idx="6">
                  <c:v>1.1521739130434783</c:v>
                </c:pt>
                <c:pt idx="7">
                  <c:v>1.3</c:v>
                </c:pt>
                <c:pt idx="8">
                  <c:v>1.1590909090909092</c:v>
                </c:pt>
                <c:pt idx="9">
                  <c:v>0.76086956521739135</c:v>
                </c:pt>
                <c:pt idx="10">
                  <c:v>0.75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5-4195-9592-BD77E8DEF1C8}"/>
            </c:ext>
          </c:extLst>
        </c:ser>
        <c:ser>
          <c:idx val="2"/>
          <c:order val="2"/>
          <c:tx>
            <c:strRef>
              <c:f>Summary!$B$40:$C$40</c:f>
              <c:strCache>
                <c:ptCount val="2"/>
                <c:pt idx="0">
                  <c:v>OST BaB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Summary!$D$40:$O$40</c:f>
              <c:numCache>
                <c:formatCode>0%</c:formatCode>
                <c:ptCount val="12"/>
                <c:pt idx="0">
                  <c:v>0.90909090909090906</c:v>
                </c:pt>
                <c:pt idx="1">
                  <c:v>0.92500000000000004</c:v>
                </c:pt>
                <c:pt idx="2">
                  <c:v>0.76190476190476186</c:v>
                </c:pt>
                <c:pt idx="3">
                  <c:v>0.9</c:v>
                </c:pt>
                <c:pt idx="4">
                  <c:v>0.9</c:v>
                </c:pt>
                <c:pt idx="5">
                  <c:v>0.74</c:v>
                </c:pt>
                <c:pt idx="6">
                  <c:v>0.86956521739130432</c:v>
                </c:pt>
                <c:pt idx="7">
                  <c:v>0.77500000000000002</c:v>
                </c:pt>
                <c:pt idx="8">
                  <c:v>0.93181818181818177</c:v>
                </c:pt>
                <c:pt idx="9">
                  <c:v>1.1956521739130435</c:v>
                </c:pt>
                <c:pt idx="10">
                  <c:v>1.075</c:v>
                </c:pt>
                <c:pt idx="1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5-4195-9592-BD77E8DEF1C8}"/>
            </c:ext>
          </c:extLst>
        </c:ser>
        <c:ser>
          <c:idx val="3"/>
          <c:order val="3"/>
          <c:tx>
            <c:strRef>
              <c:f>Summary!$B$41:$C$41</c:f>
              <c:strCache>
                <c:ptCount val="2"/>
                <c:pt idx="0">
                  <c:v>Projects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Summary!$D$41:$O$41</c:f>
              <c:numCache>
                <c:formatCode>0%</c:formatCode>
                <c:ptCount val="12"/>
                <c:pt idx="0">
                  <c:v>0.96969696969696961</c:v>
                </c:pt>
                <c:pt idx="1">
                  <c:v>0.86666666666666659</c:v>
                </c:pt>
                <c:pt idx="2">
                  <c:v>0.93650793650793673</c:v>
                </c:pt>
                <c:pt idx="3">
                  <c:v>1.1333333333333333</c:v>
                </c:pt>
                <c:pt idx="4">
                  <c:v>1.1333333333333333</c:v>
                </c:pt>
                <c:pt idx="5">
                  <c:v>0.89333333333333331</c:v>
                </c:pt>
                <c:pt idx="6">
                  <c:v>0.8840579710144929</c:v>
                </c:pt>
                <c:pt idx="7">
                  <c:v>0.85</c:v>
                </c:pt>
                <c:pt idx="8">
                  <c:v>0.95454545454545436</c:v>
                </c:pt>
                <c:pt idx="9">
                  <c:v>0.8840579710144929</c:v>
                </c:pt>
                <c:pt idx="10">
                  <c:v>0.96666666666666679</c:v>
                </c:pt>
                <c:pt idx="11">
                  <c:v>0.96825396825396814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55-4195-9592-BD77E8DEF1C8}"/>
            </c:ext>
          </c:extLst>
        </c:ser>
        <c:ser>
          <c:idx val="4"/>
          <c:order val="4"/>
          <c:tx>
            <c:strRef>
              <c:f>Summary!$B$42:$C$42</c:f>
              <c:strCache>
                <c:ptCount val="2"/>
                <c:pt idx="0">
                  <c:v>MGMT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Summary!$D$42:$O$42</c:f>
              <c:numCache>
                <c:formatCode>0%</c:formatCode>
                <c:ptCount val="12"/>
                <c:pt idx="0">
                  <c:v>0.67451298701298701</c:v>
                </c:pt>
                <c:pt idx="1">
                  <c:v>0.8125</c:v>
                </c:pt>
                <c:pt idx="2">
                  <c:v>0.70238095238095233</c:v>
                </c:pt>
                <c:pt idx="3">
                  <c:v>0.61250000000000004</c:v>
                </c:pt>
                <c:pt idx="4">
                  <c:v>0.61250000000000004</c:v>
                </c:pt>
                <c:pt idx="5">
                  <c:v>0.82399999999999995</c:v>
                </c:pt>
                <c:pt idx="6">
                  <c:v>0.49565217391304339</c:v>
                </c:pt>
                <c:pt idx="7">
                  <c:v>0.52999999999999992</c:v>
                </c:pt>
                <c:pt idx="8">
                  <c:v>0.77272727272727271</c:v>
                </c:pt>
                <c:pt idx="9">
                  <c:v>0.67608695652173911</c:v>
                </c:pt>
                <c:pt idx="10">
                  <c:v>0.64</c:v>
                </c:pt>
                <c:pt idx="11">
                  <c:v>0.60952380952380958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55-4195-9592-BD77E8DE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8422088"/>
        <c:axId val="878423888"/>
      </c:barChart>
      <c:lineChart>
        <c:grouping val="standard"/>
        <c:varyColors val="0"/>
        <c:ser>
          <c:idx val="5"/>
          <c:order val="5"/>
          <c:tx>
            <c:strRef>
              <c:f>Summary!$B$109</c:f>
              <c:strCache>
                <c:ptCount val="1"/>
                <c:pt idx="0">
                  <c:v>Over Resourced</c:v>
                </c:pt>
              </c:strCache>
            </c:strRef>
          </c:tx>
          <c:spPr>
            <a:ln w="34925" cap="rnd">
              <a:solidFill>
                <a:srgbClr val="C0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Summary!$C$109:$N$109</c:f>
              <c:numCache>
                <c:formatCode>0%</c:formatCode>
                <c:ptCount val="12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55-4195-9592-BD77E8DEF1C8}"/>
            </c:ext>
          </c:extLst>
        </c:ser>
        <c:ser>
          <c:idx val="6"/>
          <c:order val="6"/>
          <c:tx>
            <c:strRef>
              <c:f>Summary!$B$110</c:f>
              <c:strCache>
                <c:ptCount val="1"/>
                <c:pt idx="0">
                  <c:v>Capacity</c:v>
                </c:pt>
              </c:strCache>
            </c:strRef>
          </c:tx>
          <c:spPr>
            <a:ln w="34925" cap="rnd">
              <a:solidFill>
                <a:schemeClr val="accent6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Summary!$C$110:$N$110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55-4195-9592-BD77E8DEF1C8}"/>
            </c:ext>
          </c:extLst>
        </c:ser>
        <c:ser>
          <c:idx val="7"/>
          <c:order val="7"/>
          <c:tx>
            <c:strRef>
              <c:f>Summary!$B$111</c:f>
              <c:strCache>
                <c:ptCount val="1"/>
                <c:pt idx="0">
                  <c:v>Under Resourced</c:v>
                </c:pt>
              </c:strCache>
            </c:strRef>
          </c:tx>
          <c:spPr>
            <a:ln w="34925" cap="rnd">
              <a:solidFill>
                <a:srgbClr val="C0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Summary!$C$111:$N$111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55-4195-9592-BD77E8DE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422088"/>
        <c:axId val="878423888"/>
      </c:lineChart>
      <c:catAx>
        <c:axId val="87842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23888"/>
        <c:crosses val="autoZero"/>
        <c:auto val="1"/>
        <c:lblAlgn val="ctr"/>
        <c:lblOffset val="100"/>
        <c:noMultiLvlLbl val="0"/>
      </c:catAx>
      <c:valAx>
        <c:axId val="8784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2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Open vs Closed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Summary!$R$40</c:f>
              <c:strCache>
                <c:ptCount val="1"/>
                <c:pt idx="0">
                  <c:v>Opened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Summary!$S$38:$AD$38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Summary!$S$9:$AD$9</c:f>
              <c:numCache>
                <c:formatCode>0</c:formatCode>
                <c:ptCount val="12"/>
                <c:pt idx="0">
                  <c:v>1664</c:v>
                </c:pt>
                <c:pt idx="1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5-49B2-B025-3EDC59FF5FAD}"/>
            </c:ext>
          </c:extLst>
        </c:ser>
        <c:ser>
          <c:idx val="2"/>
          <c:order val="2"/>
          <c:tx>
            <c:strRef>
              <c:f>Summary!$R$41</c:f>
              <c:strCache>
                <c:ptCount val="1"/>
                <c:pt idx="0">
                  <c:v>Closed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Summary!$S$38:$AD$38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Summary!$S$10:$AD$10</c:f>
              <c:numCache>
                <c:formatCode>0</c:formatCode>
                <c:ptCount val="12"/>
                <c:pt idx="0">
                  <c:v>1634</c:v>
                </c:pt>
                <c:pt idx="1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5-49B2-B025-3EDC59FF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32648"/>
        <c:axId val="764473863"/>
      </c:barChart>
      <c:lineChart>
        <c:grouping val="standard"/>
        <c:varyColors val="0"/>
        <c:ser>
          <c:idx val="0"/>
          <c:order val="0"/>
          <c:tx>
            <c:strRef>
              <c:f>Summary!$R$39</c:f>
              <c:strCache>
                <c:ptCount val="1"/>
                <c:pt idx="0">
                  <c:v>Capacity (Full Team)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Summary!$S$38:$AD$38</c:f>
              <c:strCache>
                <c:ptCount val="12"/>
                <c:pt idx="0">
                  <c:v>Jan</c:v>
                </c:pt>
                <c:pt idx="1">
                  <c:v>Feb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Summary!$S$8:$AD$8</c:f>
              <c:numCache>
                <c:formatCode>0</c:formatCode>
                <c:ptCount val="12"/>
                <c:pt idx="0">
                  <c:v>2500</c:v>
                </c:pt>
                <c:pt idx="1">
                  <c:v>2300</c:v>
                </c:pt>
                <c:pt idx="2">
                  <c:v>2300</c:v>
                </c:pt>
                <c:pt idx="3">
                  <c:v>2300</c:v>
                </c:pt>
                <c:pt idx="4">
                  <c:v>2300</c:v>
                </c:pt>
                <c:pt idx="5">
                  <c:v>2300</c:v>
                </c:pt>
                <c:pt idx="6">
                  <c:v>2300</c:v>
                </c:pt>
                <c:pt idx="7">
                  <c:v>2300</c:v>
                </c:pt>
                <c:pt idx="8">
                  <c:v>2300</c:v>
                </c:pt>
                <c:pt idx="9">
                  <c:v>2300</c:v>
                </c:pt>
                <c:pt idx="10">
                  <c:v>2300</c:v>
                </c:pt>
                <c:pt idx="11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F5-49B2-B025-3EDC59FF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32648"/>
        <c:axId val="76447386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Open 2025</c:v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Summary!$S$70:$AD$70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1587</c:v>
                      </c:pt>
                      <c:pt idx="1">
                        <c:v>1370</c:v>
                      </c:pt>
                      <c:pt idx="2">
                        <c:v>1400</c:v>
                      </c:pt>
                      <c:pt idx="3">
                        <c:v>1256</c:v>
                      </c:pt>
                      <c:pt idx="4">
                        <c:v>1008</c:v>
                      </c:pt>
                      <c:pt idx="5">
                        <c:v>1211</c:v>
                      </c:pt>
                      <c:pt idx="6">
                        <c:v>1107</c:v>
                      </c:pt>
                      <c:pt idx="7">
                        <c:v>912</c:v>
                      </c:pt>
                      <c:pt idx="8">
                        <c:v>1290</c:v>
                      </c:pt>
                      <c:pt idx="9">
                        <c:v>1114</c:v>
                      </c:pt>
                      <c:pt idx="10">
                        <c:v>1030</c:v>
                      </c:pt>
                      <c:pt idx="11">
                        <c:v>698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FF5-49B2-B025-3EDC59FF5FA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Closed 2024</c:v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Summary!$S$71:$AD$71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1076</c:v>
                      </c:pt>
                      <c:pt idx="1">
                        <c:v>900</c:v>
                      </c:pt>
                      <c:pt idx="2">
                        <c:v>1150</c:v>
                      </c:pt>
                      <c:pt idx="3">
                        <c:v>1175</c:v>
                      </c:pt>
                      <c:pt idx="4">
                        <c:v>1111</c:v>
                      </c:pt>
                      <c:pt idx="5">
                        <c:v>1063</c:v>
                      </c:pt>
                      <c:pt idx="6">
                        <c:v>1076</c:v>
                      </c:pt>
                      <c:pt idx="7">
                        <c:v>925</c:v>
                      </c:pt>
                      <c:pt idx="8">
                        <c:v>1270</c:v>
                      </c:pt>
                      <c:pt idx="9">
                        <c:v>1117</c:v>
                      </c:pt>
                      <c:pt idx="10">
                        <c:v>1010</c:v>
                      </c:pt>
                      <c:pt idx="11">
                        <c:v>711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F5-49B2-B025-3EDC59FF5FAD}"/>
                  </c:ext>
                </c:extLst>
              </c15:ser>
            </c15:filteredLineSeries>
          </c:ext>
        </c:extLst>
      </c:lineChart>
      <c:catAx>
        <c:axId val="1604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73863"/>
        <c:crosses val="autoZero"/>
        <c:auto val="1"/>
        <c:lblAlgn val="ctr"/>
        <c:lblOffset val="100"/>
        <c:noMultiLvlLbl val="0"/>
      </c:catAx>
      <c:valAx>
        <c:axId val="76447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3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Resource Usage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Summary!$B$42:$C$42</c:f>
              <c:strCache>
                <c:ptCount val="2"/>
                <c:pt idx="0">
                  <c:v>MGMT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Summary!$D$7:$O$7</c:f>
              <c:numCache>
                <c:formatCode>0%</c:formatCode>
                <c:ptCount val="12"/>
                <c:pt idx="0">
                  <c:v>0.8660714285714286</c:v>
                </c:pt>
                <c:pt idx="1">
                  <c:v>0.56500000000000006</c:v>
                </c:pt>
                <c:pt idx="2">
                  <c:v>0.66666666666666663</c:v>
                </c:pt>
                <c:pt idx="3">
                  <c:v>0.99473684210526303</c:v>
                </c:pt>
                <c:pt idx="4">
                  <c:v>0.97499999999999998</c:v>
                </c:pt>
                <c:pt idx="5">
                  <c:v>0.96</c:v>
                </c:pt>
                <c:pt idx="6">
                  <c:v>1</c:v>
                </c:pt>
                <c:pt idx="7">
                  <c:v>0.99047619047619051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A2-45AC-B208-6AA79E5E7988}"/>
            </c:ext>
          </c:extLst>
        </c:ser>
        <c:ser>
          <c:idx val="0"/>
          <c:order val="1"/>
          <c:tx>
            <c:strRef>
              <c:f>Summary!$B$38:$C$38</c:f>
              <c:strCache>
                <c:ptCount val="2"/>
                <c:pt idx="0">
                  <c:v>Service Desk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Summary!$D$8:$O$8</c:f>
              <c:numCache>
                <c:formatCode>0%</c:formatCode>
                <c:ptCount val="12"/>
                <c:pt idx="0">
                  <c:v>0.69523809523809521</c:v>
                </c:pt>
                <c:pt idx="1">
                  <c:v>0.88124999999999998</c:v>
                </c:pt>
                <c:pt idx="2">
                  <c:v>0.83333333333333337</c:v>
                </c:pt>
                <c:pt idx="3">
                  <c:v>0.99013157894736847</c:v>
                </c:pt>
                <c:pt idx="4">
                  <c:v>0.97499999999999998</c:v>
                </c:pt>
                <c:pt idx="5">
                  <c:v>0.99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0.88124999999999998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2-45AC-B208-6AA79E5E7988}"/>
            </c:ext>
          </c:extLst>
        </c:ser>
        <c:ser>
          <c:idx val="1"/>
          <c:order val="2"/>
          <c:tx>
            <c:strRef>
              <c:f>Summary!$B$39:$C$39</c:f>
              <c:strCache>
                <c:ptCount val="2"/>
                <c:pt idx="0">
                  <c:v>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Summary!$D$9:$O$9</c:f>
              <c:numCache>
                <c:formatCode>0%</c:formatCode>
                <c:ptCount val="12"/>
                <c:pt idx="0">
                  <c:v>0.8571428571428571</c:v>
                </c:pt>
                <c:pt idx="1">
                  <c:v>0.72499999999999998</c:v>
                </c:pt>
                <c:pt idx="2">
                  <c:v>0.95238095238095233</c:v>
                </c:pt>
                <c:pt idx="3">
                  <c:v>0.97368421052631582</c:v>
                </c:pt>
                <c:pt idx="4">
                  <c:v>0.97499999999999998</c:v>
                </c:pt>
                <c:pt idx="5">
                  <c:v>1</c:v>
                </c:pt>
                <c:pt idx="6">
                  <c:v>0.89130434782608692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2-45AC-B208-6AA79E5E7988}"/>
            </c:ext>
          </c:extLst>
        </c:ser>
        <c:ser>
          <c:idx val="2"/>
          <c:order val="3"/>
          <c:tx>
            <c:strRef>
              <c:f>Summary!$B$40:$C$40</c:f>
              <c:strCache>
                <c:ptCount val="2"/>
                <c:pt idx="0">
                  <c:v>OST BaB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Summary!$D$10:$O$10</c:f>
              <c:numCache>
                <c:formatCode>0%</c:formatCode>
                <c:ptCount val="12"/>
                <c:pt idx="0">
                  <c:v>0.84126984126984117</c:v>
                </c:pt>
                <c:pt idx="1">
                  <c:v>0.72499999999999998</c:v>
                </c:pt>
                <c:pt idx="2">
                  <c:v>0.7777777777777779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A2-45AC-B208-6AA79E5E7988}"/>
            </c:ext>
          </c:extLst>
        </c:ser>
        <c:ser>
          <c:idx val="3"/>
          <c:order val="4"/>
          <c:tx>
            <c:strRef>
              <c:f>Summary!$B$41:$C$41</c:f>
              <c:strCache>
                <c:ptCount val="2"/>
                <c:pt idx="0">
                  <c:v>Projects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Summary!$D$11:$O$11</c:f>
              <c:numCache>
                <c:formatCode>0%</c:formatCode>
                <c:ptCount val="12"/>
                <c:pt idx="0">
                  <c:v>0.8660714285714286</c:v>
                </c:pt>
                <c:pt idx="1">
                  <c:v>0.56500000000000006</c:v>
                </c:pt>
                <c:pt idx="2">
                  <c:v>0.66666666666666663</c:v>
                </c:pt>
                <c:pt idx="3">
                  <c:v>0.99473684210526303</c:v>
                </c:pt>
                <c:pt idx="4">
                  <c:v>0.97499999999999998</c:v>
                </c:pt>
                <c:pt idx="5">
                  <c:v>0.96</c:v>
                </c:pt>
                <c:pt idx="6">
                  <c:v>1</c:v>
                </c:pt>
                <c:pt idx="7">
                  <c:v>0.99047619047619051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A2-45AC-B208-6AA79E5E7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8422088"/>
        <c:axId val="878423888"/>
      </c:barChart>
      <c:lineChart>
        <c:grouping val="standard"/>
        <c:varyColors val="0"/>
        <c:ser>
          <c:idx val="5"/>
          <c:order val="5"/>
          <c:tx>
            <c:strRef>
              <c:f>Summary!$B$109</c:f>
              <c:strCache>
                <c:ptCount val="1"/>
                <c:pt idx="0">
                  <c:v>Over Resourced</c:v>
                </c:pt>
              </c:strCache>
            </c:strRef>
          </c:tx>
          <c:spPr>
            <a:ln w="34925" cap="rnd">
              <a:solidFill>
                <a:srgbClr val="C0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Summary!$C$109:$N$109</c:f>
              <c:numCache>
                <c:formatCode>0%</c:formatCode>
                <c:ptCount val="12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A2-45AC-B208-6AA79E5E7988}"/>
            </c:ext>
          </c:extLst>
        </c:ser>
        <c:ser>
          <c:idx val="6"/>
          <c:order val="6"/>
          <c:tx>
            <c:strRef>
              <c:f>Summary!$B$110</c:f>
              <c:strCache>
                <c:ptCount val="1"/>
                <c:pt idx="0">
                  <c:v>Capacity</c:v>
                </c:pt>
              </c:strCache>
            </c:strRef>
          </c:tx>
          <c:spPr>
            <a:ln w="34925" cap="rnd">
              <a:solidFill>
                <a:schemeClr val="accent6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Summary!$C$110:$N$110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A2-45AC-B208-6AA79E5E7988}"/>
            </c:ext>
          </c:extLst>
        </c:ser>
        <c:ser>
          <c:idx val="7"/>
          <c:order val="7"/>
          <c:tx>
            <c:strRef>
              <c:f>Summary!$B$111</c:f>
              <c:strCache>
                <c:ptCount val="1"/>
                <c:pt idx="0">
                  <c:v>Under Resourced</c:v>
                </c:pt>
              </c:strCache>
            </c:strRef>
          </c:tx>
          <c:spPr>
            <a:ln w="34925" cap="rnd">
              <a:solidFill>
                <a:srgbClr val="C0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Summary!$D$37:$O$37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Summary!$C$111:$N$111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A2-45AC-B208-6AA79E5E7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422088"/>
        <c:axId val="878423888"/>
      </c:lineChart>
      <c:catAx>
        <c:axId val="87842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23888"/>
        <c:crosses val="autoZero"/>
        <c:auto val="1"/>
        <c:lblAlgn val="ctr"/>
        <c:lblOffset val="100"/>
        <c:noMultiLvlLbl val="0"/>
      </c:catAx>
      <c:valAx>
        <c:axId val="87842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422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66675</xdr:rowOff>
    </xdr:from>
    <xdr:to>
      <xdr:col>6</xdr:col>
      <xdr:colOff>363855</xdr:colOff>
      <xdr:row>2</xdr:row>
      <xdr:rowOff>95885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C54AA1-1AF1-CFEC-5177-CBADFF0EC9DB}"/>
            </a:ext>
            <a:ext uri="{147F2762-F138-4A5C-976F-8EAC2B608ADB}">
              <a16:predDERef xmlns:a16="http://schemas.microsoft.com/office/drawing/2014/main" pred="{D5FBF38F-E038-F453-2AC6-B31F19368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6675"/>
          <a:ext cx="4572000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16</xdr:col>
      <xdr:colOff>38100</xdr:colOff>
      <xdr:row>96</xdr:row>
      <xdr:rowOff>171450</xdr:rowOff>
    </xdr:to>
    <xdr:graphicFrame macro="">
      <xdr:nvGraphicFramePr>
        <xdr:cNvPr id="4" name="Chart 3" descr="Chart type: Clustered Column. Multiple values by 'Field7'&#10;&#10;Description automatically generated">
          <a:extLst>
            <a:ext uri="{FF2B5EF4-FFF2-40B4-BE49-F238E27FC236}">
              <a16:creationId xmlns:a16="http://schemas.microsoft.com/office/drawing/2014/main" id="{56566BC4-7A66-44E8-BA4A-6E5F84338AB4}"/>
            </a:ext>
            <a:ext uri="{147F2762-F138-4A5C-976F-8EAC2B608ADB}">
              <a16:predDERef xmlns:a16="http://schemas.microsoft.com/office/drawing/2014/main" pred="{BEC54AA1-1AF1-CFEC-5177-CBADFF0EC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1905</xdr:colOff>
      <xdr:row>77</xdr:row>
      <xdr:rowOff>60960</xdr:rowOff>
    </xdr:from>
    <xdr:to>
      <xdr:col>30</xdr:col>
      <xdr:colOff>289560</xdr:colOff>
      <xdr:row>96</xdr:row>
      <xdr:rowOff>173355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6E2B2E-4EE1-5655-A163-B4E66326AA9E}"/>
            </a:ext>
            <a:ext uri="{147F2762-F138-4A5C-976F-8EAC2B608ADB}">
              <a16:predDERef xmlns:a16="http://schemas.microsoft.com/office/drawing/2014/main" pred="{56566BC4-7A66-44E8-BA4A-6E5F84338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0365" y="8115300"/>
          <a:ext cx="8869680" cy="3575685"/>
        </a:xfrm>
        <a:prstGeom prst="rect">
          <a:avLst/>
        </a:prstGeom>
      </xdr:spPr>
    </xdr:pic>
    <xdr:clientData/>
  </xdr:twoCellAnchor>
  <xdr:twoCellAnchor>
    <xdr:from>
      <xdr:col>16</xdr:col>
      <xdr:colOff>581025</xdr:colOff>
      <xdr:row>47</xdr:row>
      <xdr:rowOff>133350</xdr:rowOff>
    </xdr:from>
    <xdr:to>
      <xdr:col>30</xdr:col>
      <xdr:colOff>581025</xdr:colOff>
      <xdr:row>65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BAB4DE-19E8-044D-8659-65FA565F356D}"/>
            </a:ext>
            <a:ext uri="{147F2762-F138-4A5C-976F-8EAC2B608ADB}">
              <a16:predDERef xmlns:a16="http://schemas.microsoft.com/office/drawing/2014/main" pred="{996E2B2E-4EE1-5655-A163-B4E66326A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16</xdr:col>
      <xdr:colOff>0</xdr:colOff>
      <xdr:row>66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FE0094-0649-F005-FA71-D185C370380F}"/>
            </a:ext>
            <a:ext uri="{147F2762-F138-4A5C-976F-8EAC2B608ADB}">
              <a16:predDERef xmlns:a16="http://schemas.microsoft.com/office/drawing/2014/main" pred="{A8BAB4DE-19E8-044D-8659-65FA565F3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581025</xdr:colOff>
      <xdr:row>16</xdr:row>
      <xdr:rowOff>133350</xdr:rowOff>
    </xdr:from>
    <xdr:to>
      <xdr:col>30</xdr:col>
      <xdr:colOff>581025</xdr:colOff>
      <xdr:row>34</xdr:row>
      <xdr:rowOff>161925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CBC6E316-8780-465F-8E83-16784CDC4BB1}"/>
            </a:ext>
            <a:ext uri="{147F2762-F138-4A5C-976F-8EAC2B608ADB}">
              <a16:predDERef xmlns:a16="http://schemas.microsoft.com/office/drawing/2014/main" pred="{FCFE0094-0649-F005-FA71-D185C3703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9" name="Chart 6">
          <a:extLst>
            <a:ext uri="{FF2B5EF4-FFF2-40B4-BE49-F238E27FC236}">
              <a16:creationId xmlns:a16="http://schemas.microsoft.com/office/drawing/2014/main" id="{53F28A00-6E91-4F1E-939B-D20A310D767B}"/>
            </a:ext>
            <a:ext uri="{147F2762-F138-4A5C-976F-8EAC2B608ADB}">
              <a16:predDERef xmlns:a16="http://schemas.microsoft.com/office/drawing/2014/main" pred="{CBC6E316-8780-465F-8E83-16784CDC4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mber Baker" id="{9FAB5FD8-C39E-415E-88B2-7AA67009B203}" userId="S::amber.baker@gbeconverge.com::5abe89bc-f461-4d6a-a3a7-2525cac1934c" providerId="AD"/>
  <person displayName="Heide Stanley" id="{B97923AC-3CE2-4704-9B4B-A1A5B3474881}" userId="S::heide.stanley@gbeconverge.com::ed7b927c-2edf-4cb3-8d9c-2bb8c6c853d4" providerId="AD"/>
  <person displayName="Rebecca Smith" id="{7B3FA454-612A-4BFE-A5C6-4F919497201A}" userId="S::rebecca.smith@gbeconverge.com::2274167a-3e42-499c-be7d-1a2787c645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M1" dT="2026-01-06T14:21:50.87" personId="{9FAB5FD8-C39E-415E-88B2-7AA67009B203}" id="{5C8FC4F7-6D03-495F-BDE1-42BF79104117}">
    <text>GHC Coverage 2-4</text>
  </threadedComment>
  <threadedComment ref="P6" dT="2026-01-12T15:33:51.01" personId="{9FAB5FD8-C39E-415E-88B2-7AA67009B203}" id="{CD6C5B04-9B68-4E54-B641-28E564372145}">
    <text>2-3 Cab tidy prep</text>
  </threadedComment>
  <threadedComment ref="X6" dT="2026-01-19T14:28:39.74" personId="{9FAB5FD8-C39E-415E-88B2-7AA67009B203}" id="{13F4CA1D-3B9B-496E-A585-E3A963E719E8}">
    <text>2-4 prep work Cab Tidy</text>
  </threadedComment>
  <threadedComment ref="O12" dT="2026-01-09T15:03:23.82" personId="{9FAB5FD8-C39E-415E-88B2-7AA67009B203}" id="{E1925B41-7ADB-4C9B-BC13-930E2120BD38}">
    <text>Brighton 2035 Site Visit - Service Ticket #95462 - 2035 - POS_002 Cash Drawer Replacement
Kingston 2089 Site Visit - Service Ticket #92213 - 2089 - Cash Drawer Replacements on POS_002 and POS_003</text>
  </threadedComment>
  <threadedComment ref="Q12" dT="2026-01-09T15:04:42.78" personId="{9FAB5FD8-C39E-415E-88B2-7AA67009B203}" id="{9F340D3C-A2E6-46F0-8A73-436089B40B21}">
    <text>Cardiff 2033 Site Visit - Service Ticket #96777 - Store 2033 - HDMI replacement</text>
  </threadedComment>
  <threadedComment ref="AF12" dT="2026-01-20T11:04:11.13" personId="{9FAB5FD8-C39E-415E-88B2-7AA67009B203}" id="{C3696713-4441-47B6-9331-051A8709F8B0}">
    <text>Van Windscreen Replacement @ office between 09:30-12:30</text>
  </threadedComment>
  <threadedComment ref="AR12" dT="2026-02-09T15:02:39.86" personId="{9FAB5FD8-C39E-415E-88B2-7AA67009B203}" id="{9500D9B3-A7B0-4D1C-8056-ACB17C8E17BF}">
    <text xml:space="preserve">Asbestos refresher - Mattias request </text>
  </threadedComment>
  <threadedComment ref="BL12" dT="2026-02-23T09:07:12.22" personId="{9FAB5FD8-C39E-415E-88B2-7AA67009B203}" id="{08182CEF-5FA6-4CA3-AC49-12DE4F45EDAF}">
    <text>Travel day</text>
  </threadedComment>
  <threadedComment ref="BM12" dT="2026-02-23T09:05:31.52" personId="{9FAB5FD8-C39E-415E-88B2-7AA67009B203}" id="{2BEE0473-A02E-4228-B567-D7DAB851DD75}">
    <text>Belfast 9AM, Grafton Street 3PM</text>
  </threadedComment>
  <threadedComment ref="BN12" dT="2026-02-23T09:06:25.30" personId="{9FAB5FD8-C39E-415E-88B2-7AA67009B203}" id="{C386CBEF-9B3C-426B-9738-BC6D66E53B16}">
    <text>Dundrum 9AM, Blanchardstown 1PM</text>
  </threadedComment>
  <threadedComment ref="BO12" dT="2026-02-23T09:07:27.88" personId="{9FAB5FD8-C39E-415E-88B2-7AA67009B203}" id="{3CE4CAE5-557C-4F16-83FF-7E3FD117E55D}">
    <text>Travel day</text>
  </threadedComment>
  <threadedComment ref="Q13" dT="2026-01-12T09:55:53.22" personId="{9FAB5FD8-C39E-415E-88B2-7AA67009B203}" id="{C5EA1AEE-3798-4350-9AD6-98B6F3C8BDE2}">
    <text>BAB Selby AM</text>
  </threadedComment>
  <threadedComment ref="I25" dT="2026-01-05T14:40:33.89" personId="{9FAB5FD8-C39E-415E-88B2-7AA67009B203}" id="{1219355A-0F2E-4995-BF5E-1FB530828EB3}">
    <text>Appointment @10am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B3" dT="2025-10-16T08:41:04.19" personId="{B97923AC-3CE2-4704-9B4B-A1A5B3474881}" id="{57BE1B54-D6B5-4BED-A0EC-2ABFA2B54A6F}">
    <text>App at 9.00, working remotely for the day.</text>
  </threadedComment>
  <threadedComment ref="LB3" dT="2025-11-03T09:00:05.80" personId="{7B3FA454-612A-4BFE-A5C6-4F919497201A}" id="{F7EB2B07-3815-4E7E-B5DA-56763BD4DB5E}" parentId="{57BE1B54-D6B5-4BED-A0EC-2ABFA2B54A6F}">
    <text>Sarah - I will wfh until I leave at 8:30 then I’ll be back in the office at lunch time.</text>
  </threadedComment>
  <threadedComment ref="MW3" dT="2025-12-24T09:39:09.15" personId="{B97923AC-3CE2-4704-9B4B-A1A5B3474881}" id="{45E2FDE3-9A83-44E5-A64A-C5F7C98D6A36}">
    <text>A/L PM</text>
  </threadedComment>
  <threadedComment ref="LM4" dT="2025-11-17T15:14:18.66" personId="{9FAB5FD8-C39E-415E-88B2-7AA67009B203}" id="{EE1F5F39-2AB4-4A2F-AF66-73F2A3E7F972}">
    <text>wfh</text>
  </threadedComment>
  <threadedComment ref="JO7" dT="2025-09-26T09:38:14.47" personId="{B97923AC-3CE2-4704-9B4B-A1A5B3474881}" id="{6827D765-99AA-4FB3-ABDC-3000DE013F95}">
    <text>Drop laptop off at Red Sav</text>
  </threadedComment>
  <threadedComment ref="JO7" dT="2025-09-29T10:40:17.35" personId="{7B3FA454-612A-4BFE-A5C6-4F919497201A}" id="{DCDE712B-AA0B-4FD8-B43B-F7591F799777}" parentId="{6827D765-99AA-4FB3-ABDC-3000DE013F95}">
    <text xml:space="preserve">Finish DWP Desks at Windor and Start on DWP Workstations </text>
  </threadedComment>
  <threadedComment ref="LE7" dT="2025-11-07T11:13:33.10" personId="{9FAB5FD8-C39E-415E-88B2-7AA67009B203}" id="{22CF4B55-EB7D-446A-A30A-BE39847F91BE}">
    <text>Tom will do late shift</text>
  </threadedComment>
  <threadedComment ref="JR8" dT="2025-10-02T08:23:08.63" personId="{9FAB5FD8-C39E-415E-88B2-7AA67009B203}" id="{F9BACDA9-6A76-4330-8F40-CB4AAED9201F}">
    <text>Dentist</text>
  </threadedComment>
  <threadedComment ref="JQ10" dT="2025-09-12T09:58:19.75" personId="{B97923AC-3CE2-4704-9B4B-A1A5B3474881}" id="{20CDE2DA-23DC-47B9-B56D-C9CEBDD63C6E}">
    <text>Place holder for DWP support</text>
  </threadedComment>
  <threadedComment ref="JR10" dT="2025-09-12T09:58:19.75" personId="{B97923AC-3CE2-4704-9B4B-A1A5B3474881}" id="{FD73A14F-3405-4147-84E1-2B0FC9E7D875}">
    <text>Place holder for DWP support</text>
  </threadedComment>
  <threadedComment ref="JS10" dT="2025-09-12T09:58:19.75" personId="{B97923AC-3CE2-4704-9B4B-A1A5B3474881}" id="{61B6C667-13CE-4E18-8C1C-A4EFC7C13770}">
    <text>Place holder for DWP support</text>
  </threadedComment>
  <threadedComment ref="JY12" dT="2025-10-08T15:45:54.81" personId="{9FAB5FD8-C39E-415E-88B2-7AA67009B203}" id="{4C9A6EFD-8120-427E-9B5A-B40D1AF970FC}">
    <text>Bullring after CW82807</text>
  </threadedComment>
  <threadedComment ref="LI12" dT="2025-11-04T12:14:18.66" personId="{9FAB5FD8-C39E-415E-88B2-7AA67009B203}" id="{491DD4BF-1C3A-42EB-B63D-C98326F461D3}">
    <text>Mi Review @10</text>
  </threadedComment>
  <threadedComment ref="KE13" dT="2025-10-14T09:09:56.26" personId="{9FAB5FD8-C39E-415E-88B2-7AA67009B203}" id="{89C7124E-727A-4086-B4A1-E73DDFE11A9F}">
    <text>89253 - name me stand</text>
  </threadedComment>
  <threadedComment ref="LE13" dT="2025-11-04T12:10:13.07" personId="{9FAB5FD8-C39E-415E-88B2-7AA67009B203}" id="{0CF57ACF-1EC4-4AD4-AD98-8E754EE2F74B}">
    <text>Mi Review @ 11:30</text>
  </threadedComment>
  <threadedComment ref="LF13" dT="2025-11-11T11:11:58.85" personId="{9FAB5FD8-C39E-415E-88B2-7AA67009B203}" id="{E6CDF48D-E531-467F-BC3E-19FF3D4684AE}">
    <text>Chesterfield office PM</text>
  </threadedComment>
  <threadedComment ref="LO13" dT="2025-11-18T13:56:43.38" personId="{9FAB5FD8-C39E-415E-88B2-7AA67009B203}" id="{FDA8D32E-BD0C-4A41-BE1C-DB55FE539E94}">
    <text xml:space="preserve">will then head to Buchanan </text>
  </threadedComment>
  <threadedComment ref="LS13" dT="2025-11-24T10:04:03.30" personId="{9FAB5FD8-C39E-415E-88B2-7AA67009B203}" id="{9E1DBC26-4D37-4A6A-8BEC-B94C135FDF6E}">
    <text>Chesterfield office pm</text>
  </threadedComment>
  <threadedComment ref="LZ13" dT="2025-12-01T08:56:01.36" personId="{9FAB5FD8-C39E-415E-88B2-7AA67009B203}" id="{6AAD606B-7A0B-459C-AAFF-7208CFD6223F}">
    <text>Gloucester office</text>
  </threadedComment>
  <threadedComment ref="MD13" dT="2025-12-05T09:26:03.46" personId="{9FAB5FD8-C39E-415E-88B2-7AA67009B203}" id="{71BF11C4-6575-4812-9385-B7DAF8B3055C}">
    <text xml:space="preserve">Leeds store- cable replacement
</text>
  </threadedComment>
  <threadedComment ref="MO13" dT="2025-12-15T15:06:58.14" personId="{9FAB5FD8-C39E-415E-88B2-7AA67009B203}" id="{D8D092E6-D0A5-4BD5-8415-539A9F84D8AD}">
    <text xml:space="preserve">9-11 ITIL Training </text>
  </threadedComment>
  <threadedComment ref="MP13" dT="2025-12-15T15:07:13.48" personId="{9FAB5FD8-C39E-415E-88B2-7AA67009B203}" id="{491574D0-4161-4112-A7D4-387E4C2994CA}">
    <text>9-11 ITIL</text>
  </threadedComment>
  <threadedComment ref="MR13" dT="2025-12-15T15:07:37.72" personId="{9FAB5FD8-C39E-415E-88B2-7AA67009B203}" id="{B79B1887-B6FB-4CA7-A447-C44C3E29E872}">
    <text>2:30-4:30 ITIL</text>
  </threadedComment>
  <threadedComment ref="NF15" dT="2025-12-31T11:15:52.06" personId="{B97923AC-3CE2-4704-9B4B-A1A5B3474881}" id="{D45BE062-9B65-4B0E-A881-09A81F0292AA}">
    <text>Potentially in from 2pm, speak to Becca</text>
  </threadedComment>
  <threadedComment ref="JQ19" dT="2025-09-12T09:58:05.39" personId="{B97923AC-3CE2-4704-9B4B-A1A5B3474881}" id="{1C7BED5A-414B-4CC8-A193-29091ADB63DE}">
    <text>Place holder for DWP support</text>
  </threadedComment>
  <threadedComment ref="JR19" dT="2025-09-12T09:58:19.75" personId="{B97923AC-3CE2-4704-9B4B-A1A5B3474881}" id="{4EE8FDFE-DCEA-4373-9C38-EA5665C485B9}">
    <text>Place holder for DWP support</text>
  </threadedComment>
  <threadedComment ref="JQ24" dT="2025-09-10T14:21:02.18" personId="{9FAB5FD8-C39E-415E-88B2-7AA67009B203}" id="{11B20830-ABD1-4F61-924B-A6BFFFD21F0F}">
    <text xml:space="preserve">wfh am - Dr appointment </text>
  </threadedComment>
  <threadedComment ref="JX24" dT="2025-10-07T11:19:36.48" personId="{9FAB5FD8-C39E-415E-88B2-7AA67009B203}" id="{88255EB0-C861-4DA3-B5C9-8B67492452FF}">
    <text xml:space="preserve">Dr appointment @ 3 </text>
  </threadedComment>
  <threadedComment ref="JY24" dT="2025-09-10T14:21:02.18" personId="{9FAB5FD8-C39E-415E-88B2-7AA67009B203}" id="{116DB0BF-D4EE-45E6-8399-15443C18469B}">
    <text xml:space="preserve">wfh am - Dr appointment </text>
  </threadedComment>
  <threadedComment ref="KY24" dT="2025-10-31T08:43:38.22" personId="{9FAB5FD8-C39E-415E-88B2-7AA67009B203}" id="{BDF06C34-8443-4335-BC23-11B207A34DFE}">
    <text>DRs appointment 8:30</text>
  </threadedComment>
  <threadedComment ref="LE24" dT="2025-11-04T12:33:45.91" personId="{9FAB5FD8-C39E-415E-88B2-7AA67009B203}" id="{C04F65F8-D25A-4C98-B90B-83E1C8236B92}">
    <text>Hospital app 9:30</text>
  </threadedComment>
  <threadedComment ref="LS24" dT="2025-11-04T12:33:45.91" personId="{9FAB5FD8-C39E-415E-88B2-7AA67009B203}" id="{4868A2A2-8B19-4ECA-9ED9-1302630FCFC0}">
    <text>Hospital app 10:30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0B6DFE-F7FF-49D0-BF59-CFF08A3329E9}">
  <we:reference id="WA200009404" version="1.0.0.8" store="en-gb" storeType="omex"/>
  <we:alternateReferences>
    <we:reference id="WA200009404" version="1.0.0.8" store="en-gb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12DD3-0FEF-4374-8F08-281B27BE5E5D}">
  <sheetPr codeName="Sheet1"/>
  <dimension ref="A1:AE111"/>
  <sheetViews>
    <sheetView workbookViewId="0">
      <selection activeCell="U8" sqref="U8"/>
    </sheetView>
  </sheetViews>
  <sheetFormatPr defaultRowHeight="14.45"/>
  <cols>
    <col min="3" max="3" width="11.42578125" customWidth="1"/>
    <col min="4" max="14" width="11.140625" bestFit="1" customWidth="1"/>
    <col min="18" max="18" width="18.42578125" bestFit="1" customWidth="1"/>
  </cols>
  <sheetData>
    <row r="1" spans="1:3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</row>
    <row r="2" spans="1:3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</row>
    <row r="3" spans="1:3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</row>
    <row r="4" spans="1:31">
      <c r="A4" s="117" t="s">
        <v>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</row>
    <row r="5" spans="1:31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</row>
    <row r="6" spans="1:31">
      <c r="A6" s="140" t="s">
        <v>1</v>
      </c>
      <c r="B6" s="141"/>
      <c r="C6" s="141"/>
      <c r="D6" s="166" t="s">
        <v>2</v>
      </c>
      <c r="E6" s="166" t="s">
        <v>3</v>
      </c>
      <c r="F6" s="166" t="s">
        <v>4</v>
      </c>
      <c r="G6" s="166" t="s">
        <v>5</v>
      </c>
      <c r="H6" s="166" t="s">
        <v>6</v>
      </c>
      <c r="I6" s="166" t="s">
        <v>7</v>
      </c>
      <c r="J6" s="166" t="s">
        <v>8</v>
      </c>
      <c r="K6" s="166" t="s">
        <v>9</v>
      </c>
      <c r="L6" s="166" t="s">
        <v>10</v>
      </c>
      <c r="M6" s="166" t="s">
        <v>11</v>
      </c>
      <c r="N6" s="166" t="s">
        <v>12</v>
      </c>
      <c r="O6" s="148" t="s">
        <v>13</v>
      </c>
      <c r="P6" s="141"/>
      <c r="Q6" s="141" t="s">
        <v>14</v>
      </c>
      <c r="R6" s="141" t="s">
        <v>14</v>
      </c>
      <c r="S6" s="141" t="s">
        <v>14</v>
      </c>
      <c r="T6" s="141" t="s">
        <v>14</v>
      </c>
      <c r="U6" s="141" t="s">
        <v>14</v>
      </c>
      <c r="V6" s="141" t="s">
        <v>14</v>
      </c>
      <c r="W6" s="141" t="s">
        <v>14</v>
      </c>
      <c r="X6" s="141" t="s">
        <v>14</v>
      </c>
      <c r="Y6" s="141" t="s">
        <v>14</v>
      </c>
      <c r="Z6" s="141" t="s">
        <v>14</v>
      </c>
      <c r="AA6" s="141" t="s">
        <v>14</v>
      </c>
      <c r="AB6" s="141" t="s">
        <v>14</v>
      </c>
      <c r="AC6" s="141" t="s">
        <v>14</v>
      </c>
      <c r="AD6" s="141" t="s">
        <v>14</v>
      </c>
      <c r="AE6" s="141" t="s">
        <v>14</v>
      </c>
    </row>
    <row r="7" spans="1:31">
      <c r="A7" s="142" t="s">
        <v>14</v>
      </c>
      <c r="B7" s="343" t="s">
        <v>15</v>
      </c>
      <c r="C7" s="344"/>
      <c r="D7" s="164" cm="1">
        <f t="array" ref="D7:O7">'2026'!D52:O52</f>
        <v>0.8660714285714286</v>
      </c>
      <c r="E7" s="164">
        <v>0.56500000000000006</v>
      </c>
      <c r="F7" s="164">
        <v>0.66666666666666663</v>
      </c>
      <c r="G7" s="164">
        <v>0.99473684210526303</v>
      </c>
      <c r="H7" s="164">
        <v>0.97499999999999998</v>
      </c>
      <c r="I7" s="164">
        <v>0.96</v>
      </c>
      <c r="J7" s="164">
        <v>1</v>
      </c>
      <c r="K7" s="164">
        <v>0.99047619047619051</v>
      </c>
      <c r="L7" s="164">
        <v>1</v>
      </c>
      <c r="M7" s="164">
        <v>1</v>
      </c>
      <c r="N7" s="164">
        <v>1</v>
      </c>
      <c r="O7" s="167">
        <v>1</v>
      </c>
      <c r="P7" s="143">
        <f>AVERAGE(_xlfn.ANCHORARRAY(D7))</f>
        <v>0.91816259398496236</v>
      </c>
      <c r="Q7" s="141" t="s">
        <v>14</v>
      </c>
      <c r="R7" s="144" t="s">
        <v>14</v>
      </c>
      <c r="S7" s="228" t="s">
        <v>2</v>
      </c>
      <c r="T7" s="228" t="s">
        <v>16</v>
      </c>
      <c r="U7" s="228" t="s">
        <v>4</v>
      </c>
      <c r="V7" s="228" t="s">
        <v>5</v>
      </c>
      <c r="W7" s="228" t="s">
        <v>6</v>
      </c>
      <c r="X7" s="228" t="s">
        <v>7</v>
      </c>
      <c r="Y7" s="228" t="s">
        <v>8</v>
      </c>
      <c r="Z7" s="228" t="s">
        <v>9</v>
      </c>
      <c r="AA7" s="228" t="s">
        <v>10</v>
      </c>
      <c r="AB7" s="228" t="s">
        <v>11</v>
      </c>
      <c r="AC7" s="228" t="s">
        <v>12</v>
      </c>
      <c r="AD7" s="228" t="s">
        <v>13</v>
      </c>
      <c r="AE7" s="202" t="s">
        <v>17</v>
      </c>
    </row>
    <row r="8" spans="1:31">
      <c r="A8" s="145" t="s">
        <v>14</v>
      </c>
      <c r="B8" s="160" t="s">
        <v>18</v>
      </c>
      <c r="C8" s="161"/>
      <c r="D8" s="159" cm="1">
        <f t="array" ref="D8:O8">'2026'!D47:O47</f>
        <v>0.69523809523809521</v>
      </c>
      <c r="E8" s="159">
        <v>0.88124999999999998</v>
      </c>
      <c r="F8" s="159">
        <v>0.83333333333333337</v>
      </c>
      <c r="G8" s="159">
        <v>0.99013157894736847</v>
      </c>
      <c r="H8" s="159">
        <v>0.97499999999999998</v>
      </c>
      <c r="I8" s="159">
        <v>0.99</v>
      </c>
      <c r="J8" s="159">
        <v>1</v>
      </c>
      <c r="K8" s="159">
        <v>1</v>
      </c>
      <c r="L8" s="159">
        <v>1</v>
      </c>
      <c r="M8" s="159">
        <v>1</v>
      </c>
      <c r="N8" s="159">
        <v>0.88124999999999998</v>
      </c>
      <c r="O8" s="168">
        <v>1</v>
      </c>
      <c r="P8" s="143">
        <f>AVERAGE(D8:O8)</f>
        <v>0.93718358395989965</v>
      </c>
      <c r="Q8" s="141" t="s">
        <v>14</v>
      </c>
      <c r="R8" s="203" t="s">
        <v>19</v>
      </c>
      <c r="S8" s="229">
        <v>2500</v>
      </c>
      <c r="T8" s="229">
        <v>2300</v>
      </c>
      <c r="U8" s="229">
        <v>2300</v>
      </c>
      <c r="V8" s="229">
        <v>2300</v>
      </c>
      <c r="W8" s="229">
        <v>2300</v>
      </c>
      <c r="X8" s="229">
        <v>2300</v>
      </c>
      <c r="Y8" s="229">
        <v>2300</v>
      </c>
      <c r="Z8" s="229">
        <v>2300</v>
      </c>
      <c r="AA8" s="229">
        <v>2300</v>
      </c>
      <c r="AB8" s="229">
        <v>2300</v>
      </c>
      <c r="AC8" s="229">
        <v>2300</v>
      </c>
      <c r="AD8" s="229">
        <v>2300</v>
      </c>
      <c r="AE8" s="205">
        <f>SUM(S8:AD8)</f>
        <v>27800</v>
      </c>
    </row>
    <row r="9" spans="1:31">
      <c r="A9" s="145" t="s">
        <v>14</v>
      </c>
      <c r="B9" s="160" t="s">
        <v>20</v>
      </c>
      <c r="C9" s="161"/>
      <c r="D9" s="159" cm="1">
        <f t="array" ref="D9:O9">'2026'!D50:O50</f>
        <v>0.8571428571428571</v>
      </c>
      <c r="E9" s="159">
        <v>0.72499999999999998</v>
      </c>
      <c r="F9" s="159">
        <v>0.95238095238095233</v>
      </c>
      <c r="G9" s="159">
        <v>0.97368421052631582</v>
      </c>
      <c r="H9" s="159">
        <v>0.97499999999999998</v>
      </c>
      <c r="I9" s="159">
        <v>1</v>
      </c>
      <c r="J9" s="159">
        <v>0.89130434782608692</v>
      </c>
      <c r="K9" s="159">
        <v>1</v>
      </c>
      <c r="L9" s="159">
        <v>1</v>
      </c>
      <c r="M9" s="159">
        <v>1</v>
      </c>
      <c r="N9" s="159">
        <v>1</v>
      </c>
      <c r="O9" s="168">
        <v>1</v>
      </c>
      <c r="P9" s="143">
        <f>AVERAGE(D9:O9)</f>
        <v>0.94787603065635107</v>
      </c>
      <c r="Q9" s="141" t="s">
        <v>14</v>
      </c>
      <c r="R9" s="203" t="s">
        <v>21</v>
      </c>
      <c r="S9" s="229">
        <v>1664</v>
      </c>
      <c r="T9" s="229">
        <v>1520</v>
      </c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05">
        <f t="shared" ref="AE9:AE10" si="0">SUM(S9:AD9)</f>
        <v>3184</v>
      </c>
    </row>
    <row r="10" spans="1:31">
      <c r="A10" s="145" t="s">
        <v>14</v>
      </c>
      <c r="B10" s="160" t="s">
        <v>22</v>
      </c>
      <c r="C10" s="161"/>
      <c r="D10" s="159" cm="1">
        <f t="array" ref="D10:O10">'2026'!D51:O51</f>
        <v>0.84126984126984117</v>
      </c>
      <c r="E10" s="159">
        <v>0.72499999999999998</v>
      </c>
      <c r="F10" s="159">
        <v>0.7777777777777779</v>
      </c>
      <c r="G10" s="159">
        <v>1</v>
      </c>
      <c r="H10" s="159">
        <v>1</v>
      </c>
      <c r="I10" s="159">
        <v>1</v>
      </c>
      <c r="J10" s="159">
        <v>1</v>
      </c>
      <c r="K10" s="159">
        <v>1</v>
      </c>
      <c r="L10" s="159">
        <v>1</v>
      </c>
      <c r="M10" s="159">
        <v>1</v>
      </c>
      <c r="N10" s="159">
        <v>1</v>
      </c>
      <c r="O10" s="168">
        <v>1</v>
      </c>
      <c r="P10" s="143">
        <f>AVERAGE(D10:O10)</f>
        <v>0.94533730158730156</v>
      </c>
      <c r="Q10" s="141" t="s">
        <v>14</v>
      </c>
      <c r="R10" s="204" t="s">
        <v>23</v>
      </c>
      <c r="S10" s="230">
        <v>1634</v>
      </c>
      <c r="T10" s="230">
        <v>1530</v>
      </c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06">
        <f t="shared" si="0"/>
        <v>3164</v>
      </c>
    </row>
    <row r="11" spans="1:31">
      <c r="A11" s="145" t="s">
        <v>14</v>
      </c>
      <c r="B11" s="162" t="s">
        <v>24</v>
      </c>
      <c r="C11" s="163"/>
      <c r="D11" s="165" cm="1">
        <f t="array" ref="D11:O11">'2026'!D52:O52</f>
        <v>0.8660714285714286</v>
      </c>
      <c r="E11" s="165">
        <v>0.56500000000000006</v>
      </c>
      <c r="F11" s="165">
        <v>0.66666666666666663</v>
      </c>
      <c r="G11" s="165">
        <v>0.99473684210526303</v>
      </c>
      <c r="H11" s="165">
        <v>0.97499999999999998</v>
      </c>
      <c r="I11" s="165">
        <v>0.96</v>
      </c>
      <c r="J11" s="165">
        <v>1</v>
      </c>
      <c r="K11" s="165">
        <v>0.99047619047619051</v>
      </c>
      <c r="L11" s="165">
        <v>1</v>
      </c>
      <c r="M11" s="165">
        <v>1</v>
      </c>
      <c r="N11" s="165">
        <v>1</v>
      </c>
      <c r="O11" s="169">
        <v>1</v>
      </c>
      <c r="P11" s="223">
        <f>AVERAGE(D11:O11)</f>
        <v>0.91816259398496236</v>
      </c>
      <c r="Q11" s="141" t="s">
        <v>14</v>
      </c>
      <c r="R11" s="141" t="s">
        <v>14</v>
      </c>
      <c r="S11" s="298" t="s">
        <v>25</v>
      </c>
      <c r="T11" s="298"/>
      <c r="U11" s="298"/>
      <c r="V11" s="300"/>
      <c r="W11" s="300"/>
      <c r="X11" s="300"/>
      <c r="Y11" s="300"/>
      <c r="Z11" s="117"/>
      <c r="AA11" s="117"/>
      <c r="AB11" s="141" t="s">
        <v>14</v>
      </c>
      <c r="AC11" s="141" t="s">
        <v>14</v>
      </c>
      <c r="AD11" s="141" t="s">
        <v>14</v>
      </c>
      <c r="AE11" s="141" t="s">
        <v>14</v>
      </c>
    </row>
    <row r="12" spans="1:31">
      <c r="A12" s="142" t="s">
        <v>14</v>
      </c>
      <c r="B12" s="146"/>
      <c r="C12" s="147"/>
      <c r="D12" s="166" t="s">
        <v>2</v>
      </c>
      <c r="E12" s="166" t="s">
        <v>3</v>
      </c>
      <c r="F12" s="166" t="s">
        <v>4</v>
      </c>
      <c r="G12" s="166" t="s">
        <v>5</v>
      </c>
      <c r="H12" s="166" t="s">
        <v>6</v>
      </c>
      <c r="I12" s="166" t="s">
        <v>7</v>
      </c>
      <c r="J12" s="166" t="s">
        <v>8</v>
      </c>
      <c r="K12" s="166" t="s">
        <v>9</v>
      </c>
      <c r="L12" s="166" t="s">
        <v>10</v>
      </c>
      <c r="M12" s="166" t="s">
        <v>11</v>
      </c>
      <c r="N12" s="166" t="s">
        <v>12</v>
      </c>
      <c r="O12" s="148" t="s">
        <v>13</v>
      </c>
      <c r="P12" s="149">
        <f>AVERAGE(P7:P11)</f>
        <v>0.93334442083469538</v>
      </c>
      <c r="Q12" s="141" t="s">
        <v>14</v>
      </c>
      <c r="R12" s="141" t="s">
        <v>14</v>
      </c>
      <c r="S12" s="141"/>
      <c r="T12" s="141" t="s">
        <v>26</v>
      </c>
      <c r="U12" s="141"/>
      <c r="V12" s="301"/>
      <c r="W12" s="301"/>
      <c r="X12" s="301"/>
      <c r="Y12" s="301"/>
      <c r="Z12" s="141" t="s">
        <v>14</v>
      </c>
      <c r="AA12" s="141" t="s">
        <v>14</v>
      </c>
      <c r="AB12" s="141" t="s">
        <v>14</v>
      </c>
      <c r="AC12" s="141" t="s">
        <v>14</v>
      </c>
      <c r="AD12" s="141" t="s">
        <v>14</v>
      </c>
      <c r="AE12" s="141" t="s">
        <v>14</v>
      </c>
    </row>
    <row r="13" spans="1:31">
      <c r="A13" s="150" t="s">
        <v>14</v>
      </c>
      <c r="B13" s="151" t="s">
        <v>14</v>
      </c>
      <c r="C13" s="151" t="s">
        <v>14</v>
      </c>
      <c r="D13" s="325" t="s">
        <v>27</v>
      </c>
      <c r="E13" s="326"/>
      <c r="F13" s="326"/>
      <c r="G13" s="304" t="s">
        <v>28</v>
      </c>
      <c r="H13" s="305"/>
      <c r="I13" s="305"/>
      <c r="J13" s="304" t="s">
        <v>29</v>
      </c>
      <c r="K13" s="305"/>
      <c r="L13" s="306"/>
      <c r="M13" s="305" t="s">
        <v>30</v>
      </c>
      <c r="N13" s="305"/>
      <c r="O13" s="306"/>
      <c r="P13" s="152" t="s">
        <v>14</v>
      </c>
      <c r="Q13" s="141" t="s">
        <v>14</v>
      </c>
      <c r="R13" s="141" t="s">
        <v>14</v>
      </c>
      <c r="S13" s="141"/>
      <c r="T13" s="141"/>
      <c r="U13" s="141"/>
      <c r="V13" s="335"/>
      <c r="W13" s="335"/>
      <c r="X13" s="141"/>
      <c r="Y13" s="141"/>
      <c r="Z13" s="141" t="s">
        <v>14</v>
      </c>
      <c r="AA13" s="141" t="s">
        <v>14</v>
      </c>
      <c r="AB13" s="141" t="s">
        <v>14</v>
      </c>
      <c r="AC13" s="141" t="s">
        <v>14</v>
      </c>
      <c r="AD13" s="141" t="s">
        <v>14</v>
      </c>
      <c r="AE13" s="141" t="s">
        <v>14</v>
      </c>
    </row>
    <row r="14" spans="1:31">
      <c r="A14" s="153" t="s">
        <v>14</v>
      </c>
      <c r="B14" s="345" t="s">
        <v>31</v>
      </c>
      <c r="C14" s="345"/>
      <c r="D14" s="332">
        <f>AVERAGE(D7:F11)</f>
        <v>0.76559126984126979</v>
      </c>
      <c r="E14" s="333"/>
      <c r="F14" s="333"/>
      <c r="G14" s="332">
        <f>AVERAGE(G7:I11)</f>
        <v>0.98421929824561405</v>
      </c>
      <c r="H14" s="333"/>
      <c r="I14" s="333"/>
      <c r="J14" s="332">
        <f>AVERAGE(J7:L11)</f>
        <v>0.99148378191856446</v>
      </c>
      <c r="K14" s="333"/>
      <c r="L14" s="333"/>
      <c r="M14" s="332">
        <f>AVERAGE(M7:O11)</f>
        <v>0.99208333333333332</v>
      </c>
      <c r="N14" s="333"/>
      <c r="O14" s="334"/>
      <c r="P14" s="147" t="s">
        <v>14</v>
      </c>
      <c r="Q14" s="141" t="s">
        <v>14</v>
      </c>
      <c r="R14" s="141" t="s">
        <v>14</v>
      </c>
      <c r="S14" s="141" t="s">
        <v>14</v>
      </c>
      <c r="T14" s="141" t="s">
        <v>14</v>
      </c>
      <c r="U14" s="141" t="s">
        <v>14</v>
      </c>
      <c r="V14" s="141" t="s">
        <v>14</v>
      </c>
      <c r="W14" s="141" t="s">
        <v>14</v>
      </c>
      <c r="X14" s="141" t="s">
        <v>14</v>
      </c>
      <c r="Y14" s="141" t="s">
        <v>14</v>
      </c>
      <c r="Z14" s="141" t="s">
        <v>14</v>
      </c>
      <c r="AA14" s="141" t="s">
        <v>14</v>
      </c>
      <c r="AB14" s="141" t="s">
        <v>14</v>
      </c>
      <c r="AC14" s="141" t="s">
        <v>14</v>
      </c>
      <c r="AD14" s="141" t="s">
        <v>14</v>
      </c>
      <c r="AE14" s="141" t="s">
        <v>14</v>
      </c>
    </row>
    <row r="15" spans="1:31">
      <c r="A15" s="313" t="s">
        <v>32</v>
      </c>
      <c r="B15" s="315" t="s">
        <v>33</v>
      </c>
      <c r="C15" s="315" t="s">
        <v>34</v>
      </c>
      <c r="D15" s="336" t="s">
        <v>35</v>
      </c>
      <c r="E15" s="336"/>
      <c r="F15" s="336"/>
      <c r="G15" s="336"/>
      <c r="H15" s="336"/>
      <c r="I15" s="336"/>
      <c r="J15" s="336"/>
      <c r="K15" s="336"/>
      <c r="L15" s="336"/>
      <c r="M15" s="336"/>
      <c r="N15" s="336"/>
      <c r="O15" s="336"/>
      <c r="P15" s="147" t="s">
        <v>14</v>
      </c>
      <c r="Q15" s="141" t="s">
        <v>14</v>
      </c>
      <c r="R15" s="141" t="s">
        <v>14</v>
      </c>
      <c r="S15" s="141" t="s">
        <v>14</v>
      </c>
      <c r="T15" s="141" t="s">
        <v>14</v>
      </c>
      <c r="U15" s="141" t="s">
        <v>14</v>
      </c>
      <c r="V15" s="141" t="s">
        <v>14</v>
      </c>
      <c r="W15" s="141" t="s">
        <v>14</v>
      </c>
      <c r="X15" s="141" t="s">
        <v>14</v>
      </c>
      <c r="Y15" s="141" t="s">
        <v>14</v>
      </c>
      <c r="Z15" s="141" t="s">
        <v>14</v>
      </c>
      <c r="AA15" s="141" t="s">
        <v>14</v>
      </c>
      <c r="AB15" s="141" t="s">
        <v>14</v>
      </c>
      <c r="AC15" s="141" t="s">
        <v>14</v>
      </c>
      <c r="AD15" s="141" t="s">
        <v>14</v>
      </c>
      <c r="AE15" s="141" t="s">
        <v>14</v>
      </c>
    </row>
    <row r="16" spans="1:31">
      <c r="A16" s="314"/>
      <c r="B16" s="316"/>
      <c r="C16" s="316"/>
      <c r="D16" s="337"/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155" t="s">
        <v>14</v>
      </c>
      <c r="Q16" s="141" t="s">
        <v>14</v>
      </c>
      <c r="R16" s="141" t="s">
        <v>14</v>
      </c>
      <c r="S16" s="141" t="s">
        <v>14</v>
      </c>
      <c r="T16" s="141" t="s">
        <v>14</v>
      </c>
      <c r="U16" s="141" t="s">
        <v>14</v>
      </c>
      <c r="V16" s="141" t="s">
        <v>14</v>
      </c>
      <c r="W16" s="141" t="s">
        <v>14</v>
      </c>
      <c r="X16" s="141" t="s">
        <v>14</v>
      </c>
      <c r="Y16" s="141" t="s">
        <v>14</v>
      </c>
      <c r="Z16" s="141" t="s">
        <v>14</v>
      </c>
      <c r="AA16" s="141" t="s">
        <v>14</v>
      </c>
      <c r="AB16" s="141" t="s">
        <v>14</v>
      </c>
      <c r="AC16" s="141" t="s">
        <v>14</v>
      </c>
      <c r="AD16" s="141" t="s">
        <v>14</v>
      </c>
      <c r="AE16" s="141" t="s">
        <v>14</v>
      </c>
    </row>
    <row r="17" spans="1:31">
      <c r="A17" s="141" t="s">
        <v>14</v>
      </c>
      <c r="B17" s="141" t="s">
        <v>14</v>
      </c>
      <c r="C17" s="141" t="s">
        <v>14</v>
      </c>
      <c r="D17" s="141" t="s">
        <v>14</v>
      </c>
      <c r="E17" s="141" t="s">
        <v>14</v>
      </c>
      <c r="F17" s="141" t="s">
        <v>14</v>
      </c>
      <c r="G17" s="141" t="s">
        <v>14</v>
      </c>
      <c r="H17" s="141" t="s">
        <v>14</v>
      </c>
      <c r="I17" s="141" t="s">
        <v>14</v>
      </c>
      <c r="J17" s="141" t="s">
        <v>14</v>
      </c>
      <c r="K17" s="141" t="s">
        <v>14</v>
      </c>
      <c r="L17" s="141" t="s">
        <v>14</v>
      </c>
      <c r="M17" s="141" t="s">
        <v>14</v>
      </c>
      <c r="N17" s="141" t="s">
        <v>14</v>
      </c>
      <c r="O17" s="141" t="s">
        <v>14</v>
      </c>
      <c r="P17" s="141" t="s">
        <v>14</v>
      </c>
      <c r="Q17" s="141" t="s">
        <v>14</v>
      </c>
      <c r="R17" s="141" t="s">
        <v>14</v>
      </c>
      <c r="S17" s="141" t="s">
        <v>14</v>
      </c>
      <c r="T17" s="141" t="s">
        <v>14</v>
      </c>
      <c r="U17" s="141" t="s">
        <v>14</v>
      </c>
      <c r="V17" s="141" t="s">
        <v>14</v>
      </c>
      <c r="W17" s="141" t="s">
        <v>14</v>
      </c>
      <c r="X17" s="141" t="s">
        <v>14</v>
      </c>
      <c r="Y17" s="141" t="s">
        <v>14</v>
      </c>
      <c r="Z17" s="141" t="s">
        <v>14</v>
      </c>
      <c r="AA17" s="141" t="s">
        <v>14</v>
      </c>
      <c r="AB17" s="141" t="s">
        <v>14</v>
      </c>
      <c r="AC17" s="141" t="s">
        <v>14</v>
      </c>
      <c r="AD17" s="141" t="s">
        <v>14</v>
      </c>
      <c r="AE17" s="141" t="s">
        <v>14</v>
      </c>
    </row>
    <row r="18" spans="1:31">
      <c r="A18" s="141" t="s">
        <v>14</v>
      </c>
      <c r="B18" s="141" t="s">
        <v>14</v>
      </c>
      <c r="C18" s="141" t="s">
        <v>14</v>
      </c>
      <c r="D18" s="141" t="s">
        <v>14</v>
      </c>
      <c r="E18" s="141" t="s">
        <v>14</v>
      </c>
      <c r="F18" s="141" t="s">
        <v>14</v>
      </c>
      <c r="G18" s="141" t="s">
        <v>14</v>
      </c>
      <c r="H18" s="141" t="s">
        <v>14</v>
      </c>
      <c r="I18" s="154" t="s">
        <v>14</v>
      </c>
      <c r="J18" s="141" t="s">
        <v>14</v>
      </c>
      <c r="K18" s="141" t="s">
        <v>14</v>
      </c>
      <c r="L18" s="141" t="s">
        <v>14</v>
      </c>
      <c r="M18" s="141" t="s">
        <v>14</v>
      </c>
      <c r="N18" s="141" t="s">
        <v>14</v>
      </c>
      <c r="O18" s="141" t="s">
        <v>14</v>
      </c>
      <c r="P18" s="141" t="s">
        <v>14</v>
      </c>
      <c r="Q18" s="141" t="s">
        <v>14</v>
      </c>
      <c r="R18" s="141" t="s">
        <v>14</v>
      </c>
      <c r="S18" s="141" t="s">
        <v>14</v>
      </c>
      <c r="T18" s="141" t="s">
        <v>14</v>
      </c>
      <c r="U18" s="141" t="s">
        <v>14</v>
      </c>
      <c r="V18" s="141" t="s">
        <v>14</v>
      </c>
      <c r="W18" s="141" t="s">
        <v>14</v>
      </c>
      <c r="X18" s="141" t="s">
        <v>14</v>
      </c>
      <c r="Y18" s="141" t="s">
        <v>14</v>
      </c>
      <c r="Z18" s="141" t="s">
        <v>14</v>
      </c>
      <c r="AA18" s="141" t="s">
        <v>14</v>
      </c>
      <c r="AB18" s="141" t="s">
        <v>14</v>
      </c>
      <c r="AC18" s="141" t="s">
        <v>14</v>
      </c>
      <c r="AD18" s="141" t="s">
        <v>14</v>
      </c>
      <c r="AE18" s="141" t="s">
        <v>14</v>
      </c>
    </row>
    <row r="19" spans="1:31">
      <c r="A19" s="141" t="s">
        <v>14</v>
      </c>
      <c r="B19" s="141" t="s">
        <v>14</v>
      </c>
      <c r="C19" s="141" t="s">
        <v>14</v>
      </c>
      <c r="D19" s="141" t="s">
        <v>14</v>
      </c>
      <c r="E19" s="141" t="s">
        <v>14</v>
      </c>
      <c r="F19" s="141" t="s">
        <v>14</v>
      </c>
      <c r="G19" s="141" t="s">
        <v>14</v>
      </c>
      <c r="H19" s="141" t="s">
        <v>14</v>
      </c>
      <c r="I19" s="141" t="s">
        <v>14</v>
      </c>
      <c r="J19" s="141" t="s">
        <v>14</v>
      </c>
      <c r="K19" s="141" t="s">
        <v>14</v>
      </c>
      <c r="L19" s="141" t="s">
        <v>14</v>
      </c>
      <c r="M19" s="141" t="s">
        <v>14</v>
      </c>
      <c r="N19" s="141" t="s">
        <v>14</v>
      </c>
      <c r="O19" s="141" t="s">
        <v>14</v>
      </c>
      <c r="P19" s="141" t="s">
        <v>14</v>
      </c>
      <c r="Q19" s="141" t="s">
        <v>14</v>
      </c>
      <c r="R19" s="141" t="s">
        <v>14</v>
      </c>
      <c r="S19" s="141" t="s">
        <v>14</v>
      </c>
      <c r="T19" s="141" t="s">
        <v>14</v>
      </c>
      <c r="U19" s="141" t="s">
        <v>14</v>
      </c>
      <c r="V19" s="141" t="s">
        <v>14</v>
      </c>
      <c r="W19" s="141" t="s">
        <v>14</v>
      </c>
      <c r="X19" s="141" t="s">
        <v>14</v>
      </c>
      <c r="Y19" s="141" t="s">
        <v>14</v>
      </c>
      <c r="Z19" s="141" t="s">
        <v>14</v>
      </c>
      <c r="AA19" s="141" t="s">
        <v>14</v>
      </c>
      <c r="AB19" s="141" t="s">
        <v>14</v>
      </c>
      <c r="AC19" s="141" t="s">
        <v>14</v>
      </c>
      <c r="AD19" s="141" t="s">
        <v>14</v>
      </c>
      <c r="AE19" s="141" t="s">
        <v>14</v>
      </c>
    </row>
    <row r="20" spans="1:31">
      <c r="A20" s="141" t="s">
        <v>14</v>
      </c>
      <c r="B20" s="141" t="s">
        <v>14</v>
      </c>
      <c r="C20" s="141" t="s">
        <v>14</v>
      </c>
      <c r="D20" s="141" t="s">
        <v>14</v>
      </c>
      <c r="E20" s="141" t="s">
        <v>14</v>
      </c>
      <c r="F20" s="141" t="s">
        <v>14</v>
      </c>
      <c r="G20" s="141" t="s">
        <v>14</v>
      </c>
      <c r="H20" s="141" t="s">
        <v>14</v>
      </c>
      <c r="I20" s="141" t="s">
        <v>14</v>
      </c>
      <c r="J20" s="141" t="s">
        <v>14</v>
      </c>
      <c r="K20" s="141" t="s">
        <v>14</v>
      </c>
      <c r="L20" s="141" t="s">
        <v>14</v>
      </c>
      <c r="M20" s="141" t="s">
        <v>14</v>
      </c>
      <c r="N20" s="141" t="s">
        <v>14</v>
      </c>
      <c r="O20" s="141" t="s">
        <v>14</v>
      </c>
      <c r="P20" s="141" t="s">
        <v>14</v>
      </c>
      <c r="Q20" s="141" t="s">
        <v>14</v>
      </c>
      <c r="R20" s="141" t="s">
        <v>14</v>
      </c>
      <c r="S20" s="141" t="s">
        <v>14</v>
      </c>
      <c r="T20" s="141" t="s">
        <v>14</v>
      </c>
      <c r="U20" s="141" t="s">
        <v>14</v>
      </c>
      <c r="V20" s="141" t="s">
        <v>14</v>
      </c>
      <c r="W20" s="141" t="s">
        <v>14</v>
      </c>
      <c r="X20" s="141" t="s">
        <v>14</v>
      </c>
      <c r="Y20" s="141" t="s">
        <v>14</v>
      </c>
      <c r="Z20" s="141" t="s">
        <v>14</v>
      </c>
      <c r="AA20" s="141" t="s">
        <v>14</v>
      </c>
      <c r="AB20" s="141" t="s">
        <v>14</v>
      </c>
      <c r="AC20" s="141" t="s">
        <v>14</v>
      </c>
      <c r="AD20" s="141" t="s">
        <v>14</v>
      </c>
      <c r="AE20" s="141" t="s">
        <v>14</v>
      </c>
    </row>
    <row r="21" spans="1:31">
      <c r="A21" s="141" t="s">
        <v>14</v>
      </c>
      <c r="B21" s="141" t="s">
        <v>14</v>
      </c>
      <c r="C21" s="141" t="s">
        <v>14</v>
      </c>
      <c r="D21" s="141" t="s">
        <v>14</v>
      </c>
      <c r="E21" s="141" t="s">
        <v>14</v>
      </c>
      <c r="F21" s="141" t="s">
        <v>14</v>
      </c>
      <c r="G21" s="141" t="s">
        <v>14</v>
      </c>
      <c r="H21" s="141" t="s">
        <v>14</v>
      </c>
      <c r="I21" s="141" t="s">
        <v>14</v>
      </c>
      <c r="J21" s="141" t="s">
        <v>14</v>
      </c>
      <c r="K21" s="141" t="s">
        <v>14</v>
      </c>
      <c r="L21" s="141" t="s">
        <v>14</v>
      </c>
      <c r="M21" s="141" t="s">
        <v>14</v>
      </c>
      <c r="N21" s="141" t="s">
        <v>14</v>
      </c>
      <c r="O21" s="141" t="s">
        <v>14</v>
      </c>
      <c r="P21" s="141" t="s">
        <v>14</v>
      </c>
      <c r="Q21" s="141" t="s">
        <v>14</v>
      </c>
      <c r="R21" s="141" t="s">
        <v>14</v>
      </c>
      <c r="S21" s="141" t="s">
        <v>14</v>
      </c>
      <c r="T21" s="141" t="s">
        <v>14</v>
      </c>
      <c r="U21" s="141" t="s">
        <v>14</v>
      </c>
      <c r="V21" s="141" t="s">
        <v>14</v>
      </c>
      <c r="W21" s="141" t="s">
        <v>14</v>
      </c>
      <c r="X21" s="141" t="s">
        <v>14</v>
      </c>
      <c r="Y21" s="141" t="s">
        <v>14</v>
      </c>
      <c r="Z21" s="141" t="s">
        <v>14</v>
      </c>
      <c r="AA21" s="141" t="s">
        <v>14</v>
      </c>
      <c r="AB21" s="141" t="s">
        <v>14</v>
      </c>
      <c r="AC21" s="141" t="s">
        <v>14</v>
      </c>
      <c r="AD21" s="141" t="s">
        <v>14</v>
      </c>
      <c r="AE21" s="141" t="s">
        <v>14</v>
      </c>
    </row>
    <row r="22" spans="1:31">
      <c r="A22" s="141" t="s">
        <v>14</v>
      </c>
      <c r="B22" s="141" t="s">
        <v>14</v>
      </c>
      <c r="C22" s="141" t="s">
        <v>14</v>
      </c>
      <c r="D22" s="141" t="s">
        <v>14</v>
      </c>
      <c r="E22" s="141" t="s">
        <v>14</v>
      </c>
      <c r="F22" s="141" t="s">
        <v>14</v>
      </c>
      <c r="G22" s="141" t="s">
        <v>14</v>
      </c>
      <c r="H22" s="141" t="s">
        <v>14</v>
      </c>
      <c r="I22" s="141" t="s">
        <v>14</v>
      </c>
      <c r="J22" s="141" t="s">
        <v>14</v>
      </c>
      <c r="K22" s="141" t="s">
        <v>14</v>
      </c>
      <c r="L22" s="141" t="s">
        <v>14</v>
      </c>
      <c r="M22" s="141" t="s">
        <v>14</v>
      </c>
      <c r="N22" s="141" t="s">
        <v>14</v>
      </c>
      <c r="O22" s="141" t="s">
        <v>14</v>
      </c>
      <c r="P22" s="141" t="s">
        <v>14</v>
      </c>
      <c r="Q22" s="141" t="s">
        <v>14</v>
      </c>
      <c r="R22" s="141" t="s">
        <v>14</v>
      </c>
      <c r="S22" s="141" t="s">
        <v>14</v>
      </c>
      <c r="T22" s="141" t="s">
        <v>14</v>
      </c>
      <c r="U22" s="141" t="s">
        <v>14</v>
      </c>
      <c r="V22" s="141" t="s">
        <v>14</v>
      </c>
      <c r="W22" s="141" t="s">
        <v>14</v>
      </c>
      <c r="X22" s="141" t="s">
        <v>14</v>
      </c>
      <c r="Y22" s="141" t="s">
        <v>14</v>
      </c>
      <c r="Z22" s="141" t="s">
        <v>14</v>
      </c>
      <c r="AA22" s="141" t="s">
        <v>14</v>
      </c>
      <c r="AB22" s="141" t="s">
        <v>14</v>
      </c>
      <c r="AC22" s="141" t="s">
        <v>14</v>
      </c>
      <c r="AD22" s="141" t="s">
        <v>14</v>
      </c>
      <c r="AE22" s="141" t="s">
        <v>14</v>
      </c>
    </row>
    <row r="23" spans="1:31">
      <c r="A23" s="141" t="s">
        <v>14</v>
      </c>
      <c r="B23" s="141" t="s">
        <v>14</v>
      </c>
      <c r="C23" s="141" t="s">
        <v>14</v>
      </c>
      <c r="D23" s="141" t="s">
        <v>14</v>
      </c>
      <c r="E23" s="141" t="s">
        <v>14</v>
      </c>
      <c r="F23" s="141" t="s">
        <v>14</v>
      </c>
      <c r="G23" s="141" t="s">
        <v>14</v>
      </c>
      <c r="H23" s="141" t="s">
        <v>14</v>
      </c>
      <c r="I23" s="141" t="s">
        <v>14</v>
      </c>
      <c r="J23" s="141" t="s">
        <v>14</v>
      </c>
      <c r="K23" s="141" t="s">
        <v>14</v>
      </c>
      <c r="L23" s="141" t="s">
        <v>14</v>
      </c>
      <c r="M23" s="141" t="s">
        <v>14</v>
      </c>
      <c r="N23" s="141" t="s">
        <v>14</v>
      </c>
      <c r="O23" s="141" t="s">
        <v>14</v>
      </c>
      <c r="P23" s="141" t="s">
        <v>14</v>
      </c>
      <c r="Q23" s="141" t="s">
        <v>14</v>
      </c>
      <c r="R23" s="141" t="s">
        <v>14</v>
      </c>
      <c r="S23" s="141" t="s">
        <v>14</v>
      </c>
      <c r="T23" s="141" t="s">
        <v>14</v>
      </c>
      <c r="U23" s="141" t="s">
        <v>14</v>
      </c>
      <c r="V23" s="141" t="s">
        <v>14</v>
      </c>
      <c r="W23" s="141" t="s">
        <v>14</v>
      </c>
      <c r="X23" s="141" t="s">
        <v>14</v>
      </c>
      <c r="Y23" s="141" t="s">
        <v>14</v>
      </c>
      <c r="Z23" s="141" t="s">
        <v>14</v>
      </c>
      <c r="AA23" s="141" t="s">
        <v>14</v>
      </c>
      <c r="AB23" s="141" t="s">
        <v>14</v>
      </c>
      <c r="AC23" s="141" t="s">
        <v>14</v>
      </c>
      <c r="AD23" s="141" t="s">
        <v>14</v>
      </c>
      <c r="AE23" s="141" t="s">
        <v>14</v>
      </c>
    </row>
    <row r="24" spans="1:31">
      <c r="A24" s="141" t="s">
        <v>14</v>
      </c>
      <c r="B24" s="141" t="s">
        <v>14</v>
      </c>
      <c r="C24" s="141" t="s">
        <v>14</v>
      </c>
      <c r="D24" s="141" t="s">
        <v>14</v>
      </c>
      <c r="E24" s="141" t="s">
        <v>14</v>
      </c>
      <c r="F24" s="141" t="s">
        <v>14</v>
      </c>
      <c r="G24" s="141" t="s">
        <v>14</v>
      </c>
      <c r="H24" s="141" t="s">
        <v>14</v>
      </c>
      <c r="I24" s="141" t="s">
        <v>14</v>
      </c>
      <c r="J24" s="141" t="s">
        <v>14</v>
      </c>
      <c r="K24" s="141" t="s">
        <v>14</v>
      </c>
      <c r="L24" s="141" t="s">
        <v>14</v>
      </c>
      <c r="M24" s="141" t="s">
        <v>14</v>
      </c>
      <c r="N24" s="141" t="s">
        <v>14</v>
      </c>
      <c r="O24" s="141" t="s">
        <v>14</v>
      </c>
      <c r="P24" s="141" t="s">
        <v>14</v>
      </c>
      <c r="Q24" s="141" t="s">
        <v>14</v>
      </c>
      <c r="R24" s="141" t="s">
        <v>14</v>
      </c>
      <c r="S24" s="141" t="s">
        <v>14</v>
      </c>
      <c r="T24" s="141" t="s">
        <v>14</v>
      </c>
      <c r="U24" s="141" t="s">
        <v>14</v>
      </c>
      <c r="V24" s="141" t="s">
        <v>14</v>
      </c>
      <c r="W24" s="141" t="s">
        <v>14</v>
      </c>
      <c r="X24" s="141" t="s">
        <v>14</v>
      </c>
      <c r="Y24" s="141" t="s">
        <v>14</v>
      </c>
      <c r="Z24" s="141" t="s">
        <v>14</v>
      </c>
      <c r="AA24" s="141" t="s">
        <v>14</v>
      </c>
      <c r="AB24" s="141" t="s">
        <v>14</v>
      </c>
      <c r="AC24" s="141" t="s">
        <v>14</v>
      </c>
      <c r="AD24" s="141" t="s">
        <v>14</v>
      </c>
      <c r="AE24" s="141" t="s">
        <v>14</v>
      </c>
    </row>
    <row r="25" spans="1:31">
      <c r="A25" s="141" t="s">
        <v>14</v>
      </c>
      <c r="B25" s="141" t="s">
        <v>14</v>
      </c>
      <c r="C25" s="141" t="s">
        <v>14</v>
      </c>
      <c r="D25" s="141" t="s">
        <v>14</v>
      </c>
      <c r="E25" s="141" t="s">
        <v>14</v>
      </c>
      <c r="F25" s="141" t="s">
        <v>14</v>
      </c>
      <c r="G25" s="141" t="s">
        <v>14</v>
      </c>
      <c r="H25" s="141" t="s">
        <v>14</v>
      </c>
      <c r="I25" s="141" t="s">
        <v>14</v>
      </c>
      <c r="J25" s="141" t="s">
        <v>14</v>
      </c>
      <c r="K25" s="141" t="s">
        <v>14</v>
      </c>
      <c r="L25" s="141" t="s">
        <v>14</v>
      </c>
      <c r="M25" s="141" t="s">
        <v>14</v>
      </c>
      <c r="N25" s="141" t="s">
        <v>14</v>
      </c>
      <c r="O25" s="141" t="s">
        <v>14</v>
      </c>
      <c r="P25" s="141" t="s">
        <v>14</v>
      </c>
      <c r="Q25" s="141" t="s">
        <v>14</v>
      </c>
      <c r="R25" s="141" t="s">
        <v>14</v>
      </c>
      <c r="S25" s="141" t="s">
        <v>14</v>
      </c>
      <c r="T25" s="141" t="s">
        <v>14</v>
      </c>
      <c r="U25" s="141" t="s">
        <v>14</v>
      </c>
      <c r="V25" s="141" t="s">
        <v>14</v>
      </c>
      <c r="W25" s="141" t="s">
        <v>14</v>
      </c>
      <c r="X25" s="141" t="s">
        <v>14</v>
      </c>
      <c r="Y25" s="141" t="s">
        <v>14</v>
      </c>
      <c r="Z25" s="141" t="s">
        <v>14</v>
      </c>
      <c r="AA25" s="141" t="s">
        <v>14</v>
      </c>
      <c r="AB25" s="141" t="s">
        <v>14</v>
      </c>
      <c r="AC25" s="141" t="s">
        <v>14</v>
      </c>
      <c r="AD25" s="141" t="s">
        <v>14</v>
      </c>
      <c r="AE25" s="141" t="s">
        <v>14</v>
      </c>
    </row>
    <row r="26" spans="1:31">
      <c r="A26" s="141" t="s">
        <v>14</v>
      </c>
      <c r="B26" s="141" t="s">
        <v>14</v>
      </c>
      <c r="C26" s="141" t="s">
        <v>14</v>
      </c>
      <c r="D26" s="141" t="s">
        <v>14</v>
      </c>
      <c r="E26" s="141" t="s">
        <v>14</v>
      </c>
      <c r="F26" s="141" t="s">
        <v>14</v>
      </c>
      <c r="G26" s="141" t="s">
        <v>14</v>
      </c>
      <c r="H26" s="141" t="s">
        <v>14</v>
      </c>
      <c r="I26" s="141" t="s">
        <v>14</v>
      </c>
      <c r="J26" s="141" t="s">
        <v>14</v>
      </c>
      <c r="K26" s="141" t="s">
        <v>14</v>
      </c>
      <c r="L26" s="141" t="s">
        <v>14</v>
      </c>
      <c r="M26" s="141" t="s">
        <v>14</v>
      </c>
      <c r="N26" s="141" t="s">
        <v>14</v>
      </c>
      <c r="O26" s="141" t="s">
        <v>14</v>
      </c>
      <c r="P26" s="141" t="s">
        <v>14</v>
      </c>
      <c r="Q26" s="141" t="s">
        <v>14</v>
      </c>
      <c r="R26" s="141" t="s">
        <v>14</v>
      </c>
      <c r="S26" s="141" t="s">
        <v>14</v>
      </c>
      <c r="T26" s="141" t="s">
        <v>14</v>
      </c>
      <c r="U26" s="141" t="s">
        <v>14</v>
      </c>
      <c r="V26" s="141" t="s">
        <v>14</v>
      </c>
      <c r="W26" s="141" t="s">
        <v>14</v>
      </c>
      <c r="X26" s="141" t="s">
        <v>14</v>
      </c>
      <c r="Y26" s="141" t="s">
        <v>14</v>
      </c>
      <c r="Z26" s="141" t="s">
        <v>14</v>
      </c>
      <c r="AA26" s="141" t="s">
        <v>14</v>
      </c>
      <c r="AB26" s="141" t="s">
        <v>14</v>
      </c>
      <c r="AC26" s="141" t="s">
        <v>14</v>
      </c>
      <c r="AD26" s="141" t="s">
        <v>14</v>
      </c>
      <c r="AE26" s="141" t="s">
        <v>14</v>
      </c>
    </row>
    <row r="27" spans="1:31">
      <c r="A27" s="141" t="s">
        <v>14</v>
      </c>
      <c r="B27" s="141" t="s">
        <v>14</v>
      </c>
      <c r="C27" s="141" t="s">
        <v>14</v>
      </c>
      <c r="D27" s="141" t="s">
        <v>14</v>
      </c>
      <c r="E27" s="141" t="s">
        <v>14</v>
      </c>
      <c r="F27" s="141" t="s">
        <v>14</v>
      </c>
      <c r="G27" s="141" t="s">
        <v>14</v>
      </c>
      <c r="H27" s="141" t="s">
        <v>14</v>
      </c>
      <c r="I27" s="141" t="s">
        <v>14</v>
      </c>
      <c r="J27" s="141" t="s">
        <v>14</v>
      </c>
      <c r="K27" s="141" t="s">
        <v>14</v>
      </c>
      <c r="L27" s="141" t="s">
        <v>14</v>
      </c>
      <c r="M27" s="141" t="s">
        <v>14</v>
      </c>
      <c r="N27" s="141" t="s">
        <v>14</v>
      </c>
      <c r="O27" s="141" t="s">
        <v>14</v>
      </c>
      <c r="P27" s="141" t="s">
        <v>14</v>
      </c>
      <c r="Q27" s="141" t="s">
        <v>14</v>
      </c>
      <c r="R27" s="141" t="s">
        <v>14</v>
      </c>
      <c r="S27" s="141" t="s">
        <v>14</v>
      </c>
      <c r="T27" s="141" t="s">
        <v>14</v>
      </c>
      <c r="U27" s="141" t="s">
        <v>14</v>
      </c>
      <c r="V27" s="141" t="s">
        <v>14</v>
      </c>
      <c r="W27" s="141" t="s">
        <v>14</v>
      </c>
      <c r="X27" s="141" t="s">
        <v>14</v>
      </c>
      <c r="Y27" s="141" t="s">
        <v>14</v>
      </c>
      <c r="Z27" s="141" t="s">
        <v>14</v>
      </c>
      <c r="AA27" s="141" t="s">
        <v>14</v>
      </c>
      <c r="AB27" s="141" t="s">
        <v>14</v>
      </c>
      <c r="AC27" s="141" t="s">
        <v>14</v>
      </c>
      <c r="AD27" s="141" t="s">
        <v>14</v>
      </c>
      <c r="AE27" s="141" t="s">
        <v>14</v>
      </c>
    </row>
    <row r="28" spans="1:31">
      <c r="A28" s="141" t="s">
        <v>14</v>
      </c>
      <c r="B28" s="141" t="s">
        <v>14</v>
      </c>
      <c r="C28" s="141" t="s">
        <v>14</v>
      </c>
      <c r="D28" s="141" t="s">
        <v>14</v>
      </c>
      <c r="E28" s="141" t="s">
        <v>14</v>
      </c>
      <c r="F28" s="141" t="s">
        <v>14</v>
      </c>
      <c r="G28" s="141" t="s">
        <v>14</v>
      </c>
      <c r="H28" s="141" t="s">
        <v>14</v>
      </c>
      <c r="I28" s="141" t="s">
        <v>14</v>
      </c>
      <c r="J28" s="141" t="s">
        <v>14</v>
      </c>
      <c r="K28" s="141" t="s">
        <v>14</v>
      </c>
      <c r="L28" s="141" t="s">
        <v>14</v>
      </c>
      <c r="M28" s="141" t="s">
        <v>14</v>
      </c>
      <c r="N28" s="141" t="s">
        <v>14</v>
      </c>
      <c r="O28" s="141" t="s">
        <v>14</v>
      </c>
      <c r="P28" s="141" t="s">
        <v>14</v>
      </c>
      <c r="Q28" s="141" t="s">
        <v>14</v>
      </c>
      <c r="R28" s="141" t="s">
        <v>14</v>
      </c>
      <c r="S28" s="141" t="s">
        <v>14</v>
      </c>
      <c r="T28" s="141" t="s">
        <v>14</v>
      </c>
      <c r="U28" s="141" t="s">
        <v>14</v>
      </c>
      <c r="V28" s="141" t="s">
        <v>14</v>
      </c>
      <c r="W28" s="141" t="s">
        <v>14</v>
      </c>
      <c r="X28" s="141" t="s">
        <v>14</v>
      </c>
      <c r="Y28" s="141" t="s">
        <v>14</v>
      </c>
      <c r="Z28" s="141" t="s">
        <v>14</v>
      </c>
      <c r="AA28" s="141" t="s">
        <v>14</v>
      </c>
      <c r="AB28" s="141" t="s">
        <v>14</v>
      </c>
      <c r="AC28" s="141" t="s">
        <v>14</v>
      </c>
      <c r="AD28" s="141" t="s">
        <v>14</v>
      </c>
      <c r="AE28" s="141" t="s">
        <v>14</v>
      </c>
    </row>
    <row r="29" spans="1:31">
      <c r="A29" s="141" t="s">
        <v>14</v>
      </c>
      <c r="B29" s="141" t="s">
        <v>14</v>
      </c>
      <c r="C29" s="141" t="s">
        <v>14</v>
      </c>
      <c r="D29" s="141" t="s">
        <v>14</v>
      </c>
      <c r="E29" s="141" t="s">
        <v>14</v>
      </c>
      <c r="F29" s="141" t="s">
        <v>14</v>
      </c>
      <c r="G29" s="141" t="s">
        <v>14</v>
      </c>
      <c r="H29" s="141" t="s">
        <v>14</v>
      </c>
      <c r="I29" s="141" t="s">
        <v>14</v>
      </c>
      <c r="J29" s="141" t="s">
        <v>14</v>
      </c>
      <c r="K29" s="141" t="s">
        <v>14</v>
      </c>
      <c r="L29" s="141" t="s">
        <v>14</v>
      </c>
      <c r="M29" s="141" t="s">
        <v>14</v>
      </c>
      <c r="N29" s="141" t="s">
        <v>14</v>
      </c>
      <c r="O29" s="141" t="s">
        <v>14</v>
      </c>
      <c r="P29" s="141" t="s">
        <v>14</v>
      </c>
      <c r="Q29" s="141" t="s">
        <v>14</v>
      </c>
      <c r="R29" s="141" t="s">
        <v>14</v>
      </c>
      <c r="S29" s="141" t="s">
        <v>14</v>
      </c>
      <c r="T29" s="141" t="s">
        <v>14</v>
      </c>
      <c r="U29" s="141" t="s">
        <v>14</v>
      </c>
      <c r="V29" s="141" t="s">
        <v>14</v>
      </c>
      <c r="W29" s="141" t="s">
        <v>14</v>
      </c>
      <c r="X29" s="141" t="s">
        <v>14</v>
      </c>
      <c r="Y29" s="141" t="s">
        <v>14</v>
      </c>
      <c r="Z29" s="141" t="s">
        <v>14</v>
      </c>
      <c r="AA29" s="141" t="s">
        <v>14</v>
      </c>
      <c r="AB29" s="141" t="s">
        <v>14</v>
      </c>
      <c r="AC29" s="141" t="s">
        <v>14</v>
      </c>
      <c r="AD29" s="141" t="s">
        <v>14</v>
      </c>
      <c r="AE29" s="141" t="s">
        <v>14</v>
      </c>
    </row>
    <row r="30" spans="1:31">
      <c r="A30" s="141" t="s">
        <v>14</v>
      </c>
      <c r="B30" s="141" t="s">
        <v>14</v>
      </c>
      <c r="C30" s="141" t="s">
        <v>14</v>
      </c>
      <c r="D30" s="141" t="s">
        <v>14</v>
      </c>
      <c r="E30" s="141" t="s">
        <v>14</v>
      </c>
      <c r="F30" s="141" t="s">
        <v>14</v>
      </c>
      <c r="G30" s="141" t="s">
        <v>14</v>
      </c>
      <c r="H30" s="141" t="s">
        <v>14</v>
      </c>
      <c r="I30" s="141" t="s">
        <v>14</v>
      </c>
      <c r="J30" s="141" t="s">
        <v>14</v>
      </c>
      <c r="K30" s="141" t="s">
        <v>14</v>
      </c>
      <c r="L30" s="141" t="s">
        <v>14</v>
      </c>
      <c r="M30" s="141" t="s">
        <v>14</v>
      </c>
      <c r="N30" s="141" t="s">
        <v>14</v>
      </c>
      <c r="O30" s="141" t="s">
        <v>14</v>
      </c>
      <c r="P30" s="141" t="s">
        <v>14</v>
      </c>
      <c r="Q30" s="141" t="s">
        <v>14</v>
      </c>
      <c r="R30" s="141" t="s">
        <v>14</v>
      </c>
      <c r="S30" s="141" t="s">
        <v>14</v>
      </c>
      <c r="T30" s="141" t="s">
        <v>14</v>
      </c>
      <c r="U30" s="141" t="s">
        <v>14</v>
      </c>
      <c r="V30" s="141" t="s">
        <v>14</v>
      </c>
      <c r="W30" s="141" t="s">
        <v>14</v>
      </c>
      <c r="X30" s="141" t="s">
        <v>14</v>
      </c>
      <c r="Y30" s="141" t="s">
        <v>14</v>
      </c>
      <c r="Z30" s="141" t="s">
        <v>14</v>
      </c>
      <c r="AA30" s="141" t="s">
        <v>14</v>
      </c>
      <c r="AB30" s="141" t="s">
        <v>14</v>
      </c>
      <c r="AC30" s="141" t="s">
        <v>14</v>
      </c>
      <c r="AD30" s="141" t="s">
        <v>14</v>
      </c>
      <c r="AE30" s="141" t="s">
        <v>14</v>
      </c>
    </row>
    <row r="31" spans="1:31">
      <c r="A31" s="141" t="s">
        <v>14</v>
      </c>
      <c r="B31" s="141" t="s">
        <v>14</v>
      </c>
      <c r="C31" s="141" t="s">
        <v>14</v>
      </c>
      <c r="D31" s="141" t="s">
        <v>14</v>
      </c>
      <c r="E31" s="141" t="s">
        <v>14</v>
      </c>
      <c r="F31" s="141" t="s">
        <v>14</v>
      </c>
      <c r="G31" s="141" t="s">
        <v>14</v>
      </c>
      <c r="H31" s="141" t="s">
        <v>14</v>
      </c>
      <c r="I31" s="141" t="s">
        <v>14</v>
      </c>
      <c r="J31" s="141" t="s">
        <v>14</v>
      </c>
      <c r="K31" s="141" t="s">
        <v>14</v>
      </c>
      <c r="L31" s="141" t="s">
        <v>14</v>
      </c>
      <c r="M31" s="141" t="s">
        <v>14</v>
      </c>
      <c r="N31" s="141" t="s">
        <v>14</v>
      </c>
      <c r="O31" s="141" t="s">
        <v>14</v>
      </c>
      <c r="P31" s="141" t="s">
        <v>14</v>
      </c>
      <c r="Q31" s="141" t="s">
        <v>14</v>
      </c>
      <c r="R31" s="141" t="s">
        <v>14</v>
      </c>
      <c r="S31" s="141" t="s">
        <v>14</v>
      </c>
      <c r="T31" s="141" t="s">
        <v>14</v>
      </c>
      <c r="U31" s="141" t="s">
        <v>14</v>
      </c>
      <c r="V31" s="141" t="s">
        <v>14</v>
      </c>
      <c r="W31" s="141" t="s">
        <v>14</v>
      </c>
      <c r="X31" s="141" t="s">
        <v>14</v>
      </c>
      <c r="Y31" s="141" t="s">
        <v>14</v>
      </c>
      <c r="Z31" s="141" t="s">
        <v>14</v>
      </c>
      <c r="AA31" s="141" t="s">
        <v>14</v>
      </c>
      <c r="AB31" s="141" t="s">
        <v>14</v>
      </c>
      <c r="AC31" s="141" t="s">
        <v>14</v>
      </c>
      <c r="AD31" s="141" t="s">
        <v>14</v>
      </c>
      <c r="AE31" s="141" t="s">
        <v>14</v>
      </c>
    </row>
    <row r="32" spans="1:31">
      <c r="A32" s="141" t="s">
        <v>14</v>
      </c>
      <c r="B32" s="141" t="s">
        <v>14</v>
      </c>
      <c r="C32" s="141" t="s">
        <v>14</v>
      </c>
      <c r="D32" s="141" t="s">
        <v>14</v>
      </c>
      <c r="E32" s="141" t="s">
        <v>14</v>
      </c>
      <c r="F32" s="141" t="s">
        <v>14</v>
      </c>
      <c r="G32" s="141" t="s">
        <v>14</v>
      </c>
      <c r="H32" s="141" t="s">
        <v>14</v>
      </c>
      <c r="I32" s="141" t="s">
        <v>14</v>
      </c>
      <c r="J32" s="141" t="s">
        <v>14</v>
      </c>
      <c r="K32" s="141" t="s">
        <v>14</v>
      </c>
      <c r="L32" s="141" t="s">
        <v>14</v>
      </c>
      <c r="M32" s="141" t="s">
        <v>14</v>
      </c>
      <c r="N32" s="141" t="s">
        <v>14</v>
      </c>
      <c r="O32" s="141" t="s">
        <v>14</v>
      </c>
      <c r="P32" s="141" t="s">
        <v>14</v>
      </c>
      <c r="Q32" s="141" t="s">
        <v>14</v>
      </c>
      <c r="R32" s="141" t="s">
        <v>14</v>
      </c>
      <c r="S32" s="141" t="s">
        <v>14</v>
      </c>
      <c r="T32" s="141" t="s">
        <v>14</v>
      </c>
      <c r="U32" s="141" t="s">
        <v>14</v>
      </c>
      <c r="V32" s="141" t="s">
        <v>14</v>
      </c>
      <c r="W32" s="141" t="s">
        <v>14</v>
      </c>
      <c r="X32" s="141" t="s">
        <v>14</v>
      </c>
      <c r="Y32" s="141" t="s">
        <v>14</v>
      </c>
      <c r="Z32" s="141" t="s">
        <v>14</v>
      </c>
      <c r="AA32" s="141" t="s">
        <v>14</v>
      </c>
      <c r="AB32" s="141" t="s">
        <v>14</v>
      </c>
      <c r="AC32" s="141" t="s">
        <v>14</v>
      </c>
      <c r="AD32" s="141" t="s">
        <v>14</v>
      </c>
      <c r="AE32" s="141" t="s">
        <v>14</v>
      </c>
    </row>
    <row r="33" spans="1:31">
      <c r="A33" s="141" t="s">
        <v>14</v>
      </c>
      <c r="B33" s="141" t="s">
        <v>14</v>
      </c>
      <c r="C33" s="141" t="s">
        <v>14</v>
      </c>
      <c r="D33" s="141" t="s">
        <v>14</v>
      </c>
      <c r="E33" s="141" t="s">
        <v>14</v>
      </c>
      <c r="F33" s="141" t="s">
        <v>14</v>
      </c>
      <c r="G33" s="141" t="s">
        <v>14</v>
      </c>
      <c r="H33" s="141" t="s">
        <v>14</v>
      </c>
      <c r="I33" s="141" t="s">
        <v>14</v>
      </c>
      <c r="J33" s="141" t="s">
        <v>14</v>
      </c>
      <c r="K33" s="141" t="s">
        <v>14</v>
      </c>
      <c r="L33" s="141" t="s">
        <v>14</v>
      </c>
      <c r="M33" s="141" t="s">
        <v>14</v>
      </c>
      <c r="N33" s="141" t="s">
        <v>14</v>
      </c>
      <c r="O33" s="141" t="s">
        <v>14</v>
      </c>
      <c r="P33" s="141" t="s">
        <v>14</v>
      </c>
      <c r="Q33" s="141" t="s">
        <v>14</v>
      </c>
      <c r="R33" s="141" t="s">
        <v>14</v>
      </c>
      <c r="S33" s="141" t="s">
        <v>14</v>
      </c>
      <c r="T33" s="141" t="s">
        <v>14</v>
      </c>
      <c r="U33" s="141" t="s">
        <v>14</v>
      </c>
      <c r="V33" s="141" t="s">
        <v>14</v>
      </c>
      <c r="W33" s="141" t="s">
        <v>14</v>
      </c>
      <c r="X33" s="141" t="s">
        <v>14</v>
      </c>
      <c r="Y33" s="141" t="s">
        <v>14</v>
      </c>
      <c r="Z33" s="141" t="s">
        <v>14</v>
      </c>
      <c r="AA33" s="141" t="s">
        <v>14</v>
      </c>
      <c r="AB33" s="141" t="s">
        <v>14</v>
      </c>
      <c r="AC33" s="141" t="s">
        <v>14</v>
      </c>
      <c r="AD33" s="141" t="s">
        <v>14</v>
      </c>
      <c r="AE33" s="141" t="s">
        <v>14</v>
      </c>
    </row>
    <row r="34" spans="1:31">
      <c r="A34" s="141" t="s">
        <v>14</v>
      </c>
      <c r="B34" s="141" t="s">
        <v>14</v>
      </c>
      <c r="C34" s="141" t="s">
        <v>14</v>
      </c>
      <c r="D34" s="141" t="s">
        <v>14</v>
      </c>
      <c r="E34" s="141" t="s">
        <v>14</v>
      </c>
      <c r="F34" s="141" t="s">
        <v>14</v>
      </c>
      <c r="G34" s="141" t="s">
        <v>14</v>
      </c>
      <c r="H34" s="141" t="s">
        <v>14</v>
      </c>
      <c r="I34" s="141" t="s">
        <v>14</v>
      </c>
      <c r="J34" s="141" t="s">
        <v>14</v>
      </c>
      <c r="K34" s="141" t="s">
        <v>14</v>
      </c>
      <c r="L34" s="141" t="s">
        <v>14</v>
      </c>
      <c r="M34" s="141" t="s">
        <v>14</v>
      </c>
      <c r="N34" s="141" t="s">
        <v>14</v>
      </c>
      <c r="O34" s="141" t="s">
        <v>14</v>
      </c>
      <c r="P34" s="141" t="s">
        <v>14</v>
      </c>
      <c r="Q34" s="141" t="s">
        <v>14</v>
      </c>
      <c r="R34" s="141" t="s">
        <v>14</v>
      </c>
      <c r="S34" s="141" t="s">
        <v>14</v>
      </c>
      <c r="T34" s="141" t="s">
        <v>14</v>
      </c>
      <c r="U34" s="141" t="s">
        <v>14</v>
      </c>
      <c r="V34" s="141" t="s">
        <v>14</v>
      </c>
      <c r="W34" s="141" t="s">
        <v>14</v>
      </c>
      <c r="X34" s="141" t="s">
        <v>14</v>
      </c>
      <c r="Y34" s="141" t="s">
        <v>14</v>
      </c>
      <c r="Z34" s="141" t="s">
        <v>14</v>
      </c>
      <c r="AA34" s="141" t="s">
        <v>14</v>
      </c>
      <c r="AB34" s="141" t="s">
        <v>14</v>
      </c>
      <c r="AC34" s="141" t="s">
        <v>14</v>
      </c>
      <c r="AD34" s="141" t="s">
        <v>14</v>
      </c>
      <c r="AE34" s="141" t="s">
        <v>14</v>
      </c>
    </row>
    <row r="35" spans="1:3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</row>
    <row r="36" spans="1:3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</row>
    <row r="37" spans="1:31">
      <c r="A37" s="140" t="s">
        <v>36</v>
      </c>
      <c r="B37" s="141"/>
      <c r="C37" s="141"/>
      <c r="D37" s="166" t="s">
        <v>2</v>
      </c>
      <c r="E37" s="166" t="s">
        <v>3</v>
      </c>
      <c r="F37" s="166" t="s">
        <v>4</v>
      </c>
      <c r="G37" s="166" t="s">
        <v>5</v>
      </c>
      <c r="H37" s="166" t="s">
        <v>6</v>
      </c>
      <c r="I37" s="166" t="s">
        <v>7</v>
      </c>
      <c r="J37" s="166" t="s">
        <v>8</v>
      </c>
      <c r="K37" s="166" t="s">
        <v>9</v>
      </c>
      <c r="L37" s="166" t="s">
        <v>10</v>
      </c>
      <c r="M37" s="166" t="s">
        <v>11</v>
      </c>
      <c r="N37" s="166" t="s">
        <v>12</v>
      </c>
      <c r="O37" s="148" t="s">
        <v>13</v>
      </c>
      <c r="P37" s="141"/>
      <c r="Q37" s="141" t="s">
        <v>14</v>
      </c>
      <c r="R37" s="141" t="s">
        <v>14</v>
      </c>
      <c r="S37" s="141" t="s">
        <v>14</v>
      </c>
      <c r="T37" s="141" t="s">
        <v>14</v>
      </c>
      <c r="U37" s="141" t="s">
        <v>14</v>
      </c>
      <c r="V37" s="141" t="s">
        <v>14</v>
      </c>
      <c r="W37" s="141" t="s">
        <v>14</v>
      </c>
      <c r="X37" s="141" t="s">
        <v>14</v>
      </c>
      <c r="Y37" s="141" t="s">
        <v>14</v>
      </c>
      <c r="Z37" s="141" t="s">
        <v>14</v>
      </c>
      <c r="AA37" s="141" t="s">
        <v>14</v>
      </c>
      <c r="AB37" s="141" t="s">
        <v>14</v>
      </c>
      <c r="AC37" s="141" t="s">
        <v>14</v>
      </c>
      <c r="AD37" s="141" t="s">
        <v>14</v>
      </c>
      <c r="AE37" s="141" t="s">
        <v>14</v>
      </c>
    </row>
    <row r="38" spans="1:31">
      <c r="A38" s="142" t="s">
        <v>14</v>
      </c>
      <c r="B38" s="343" t="s">
        <v>18</v>
      </c>
      <c r="C38" s="344"/>
      <c r="D38" s="164" cm="1">
        <f t="array" ref="D38:O38">'2025'!E45:P45</f>
        <v>0.90909090909090906</v>
      </c>
      <c r="E38" s="164">
        <v>0.94374999999999998</v>
      </c>
      <c r="F38" s="164">
        <v>0.7857142857142857</v>
      </c>
      <c r="G38" s="164">
        <v>0.86250000000000004</v>
      </c>
      <c r="H38" s="164">
        <v>0.88749999999999996</v>
      </c>
      <c r="I38" s="164">
        <v>0.89500000000000002</v>
      </c>
      <c r="J38" s="164">
        <v>0.82608695652173914</v>
      </c>
      <c r="K38" s="164">
        <v>0.81874999999999998</v>
      </c>
      <c r="L38" s="164">
        <v>0.74147727272727271</v>
      </c>
      <c r="M38" s="164">
        <v>0.75271739130434778</v>
      </c>
      <c r="N38" s="164">
        <v>0.93125000000000002</v>
      </c>
      <c r="O38" s="167">
        <v>0.77976190476190477</v>
      </c>
      <c r="P38" s="143">
        <f>AVERAGE(_xlfn.ANCHORARRAY(D38))</f>
        <v>0.84446656001003839</v>
      </c>
      <c r="Q38" s="141" t="s">
        <v>14</v>
      </c>
      <c r="R38" s="144" t="s">
        <v>14</v>
      </c>
      <c r="S38" s="228" t="s">
        <v>2</v>
      </c>
      <c r="T38" s="228" t="s">
        <v>16</v>
      </c>
      <c r="U38" s="228" t="s">
        <v>4</v>
      </c>
      <c r="V38" s="228" t="s">
        <v>5</v>
      </c>
      <c r="W38" s="228" t="s">
        <v>6</v>
      </c>
      <c r="X38" s="228" t="s">
        <v>7</v>
      </c>
      <c r="Y38" s="228" t="s">
        <v>8</v>
      </c>
      <c r="Z38" s="228" t="s">
        <v>9</v>
      </c>
      <c r="AA38" s="228" t="s">
        <v>10</v>
      </c>
      <c r="AB38" s="228" t="s">
        <v>11</v>
      </c>
      <c r="AC38" s="228" t="s">
        <v>12</v>
      </c>
      <c r="AD38" s="228" t="s">
        <v>13</v>
      </c>
      <c r="AE38" s="202" t="s">
        <v>17</v>
      </c>
    </row>
    <row r="39" spans="1:31">
      <c r="A39" s="145" t="s">
        <v>14</v>
      </c>
      <c r="B39" s="160" t="s">
        <v>37</v>
      </c>
      <c r="C39" s="161"/>
      <c r="D39" s="159" cm="1">
        <f t="array" ref="D39:O42">'2025'!E47:P50</f>
        <v>1.5454545454545454</v>
      </c>
      <c r="E39" s="159">
        <v>0.7</v>
      </c>
      <c r="F39" s="159">
        <v>0.72486772486772511</v>
      </c>
      <c r="G39" s="159">
        <v>0.82499999999999996</v>
      </c>
      <c r="H39" s="159">
        <v>0.82499999999999996</v>
      </c>
      <c r="I39" s="159">
        <v>0.8</v>
      </c>
      <c r="J39" s="159">
        <v>1.1521739130434783</v>
      </c>
      <c r="K39" s="159">
        <v>1.3</v>
      </c>
      <c r="L39" s="159">
        <v>1.1590909090909092</v>
      </c>
      <c r="M39" s="159">
        <v>0.76086956521739135</v>
      </c>
      <c r="N39" s="159">
        <v>0.75</v>
      </c>
      <c r="O39" s="168">
        <v>1</v>
      </c>
      <c r="P39" s="143">
        <f>AVERAGE(D39:O39)</f>
        <v>0.96187138813950401</v>
      </c>
      <c r="Q39" s="141" t="s">
        <v>14</v>
      </c>
      <c r="R39" s="203" t="s">
        <v>19</v>
      </c>
      <c r="S39" s="229">
        <v>1312</v>
      </c>
      <c r="T39" s="229">
        <v>1312</v>
      </c>
      <c r="U39" s="229">
        <v>1312</v>
      </c>
      <c r="V39" s="229">
        <v>2500</v>
      </c>
      <c r="W39" s="229">
        <v>2500</v>
      </c>
      <c r="X39" s="229">
        <v>2500</v>
      </c>
      <c r="Y39" s="229">
        <v>2500</v>
      </c>
      <c r="Z39" s="229">
        <v>2500</v>
      </c>
      <c r="AA39" s="229">
        <v>2500</v>
      </c>
      <c r="AB39" s="229">
        <v>2500</v>
      </c>
      <c r="AC39" s="229">
        <v>2500</v>
      </c>
      <c r="AD39" s="229">
        <v>2500</v>
      </c>
      <c r="AE39" s="205">
        <f>SUM(S39:AD39)</f>
        <v>26436</v>
      </c>
    </row>
    <row r="40" spans="1:31">
      <c r="A40" s="145" t="s">
        <v>14</v>
      </c>
      <c r="B40" s="160" t="s">
        <v>22</v>
      </c>
      <c r="C40" s="161"/>
      <c r="D40" s="159">
        <v>0.90909090909090906</v>
      </c>
      <c r="E40" s="159">
        <v>0.92500000000000004</v>
      </c>
      <c r="F40" s="159">
        <v>0.76190476190476186</v>
      </c>
      <c r="G40" s="159">
        <v>0.9</v>
      </c>
      <c r="H40" s="159">
        <v>0.9</v>
      </c>
      <c r="I40" s="159">
        <v>0.74</v>
      </c>
      <c r="J40" s="159">
        <v>0.86956521739130432</v>
      </c>
      <c r="K40" s="159">
        <v>0.77500000000000002</v>
      </c>
      <c r="L40" s="159">
        <v>0.93181818181818177</v>
      </c>
      <c r="M40" s="159">
        <v>1.1956521739130435</v>
      </c>
      <c r="N40" s="159">
        <v>1.075</v>
      </c>
      <c r="O40" s="168">
        <v>0.83333333333333337</v>
      </c>
      <c r="P40" s="143">
        <f>AVERAGE(D40:O40)</f>
        <v>0.90136371478762778</v>
      </c>
      <c r="Q40" s="141" t="s">
        <v>14</v>
      </c>
      <c r="R40" s="203" t="s">
        <v>21</v>
      </c>
      <c r="S40" s="229">
        <v>1075</v>
      </c>
      <c r="T40" s="229">
        <v>1040</v>
      </c>
      <c r="U40" s="229">
        <v>991</v>
      </c>
      <c r="V40" s="229">
        <v>1795</v>
      </c>
      <c r="W40" s="229">
        <v>2447</v>
      </c>
      <c r="X40" s="229">
        <v>3702</v>
      </c>
      <c r="Y40" s="229">
        <v>3702</v>
      </c>
      <c r="Z40" s="229">
        <v>2555</v>
      </c>
      <c r="AA40" s="229">
        <v>2121</v>
      </c>
      <c r="AB40" s="229">
        <v>2005</v>
      </c>
      <c r="AC40" s="229">
        <v>2226</v>
      </c>
      <c r="AD40" s="229">
        <v>1487</v>
      </c>
      <c r="AE40" s="205">
        <f t="shared" ref="AE40:AE41" si="1">SUM(S40:AD40)</f>
        <v>25146</v>
      </c>
    </row>
    <row r="41" spans="1:31">
      <c r="A41" s="145" t="s">
        <v>14</v>
      </c>
      <c r="B41" s="160" t="s">
        <v>38</v>
      </c>
      <c r="C41" s="161"/>
      <c r="D41" s="159">
        <v>0.96969696969696961</v>
      </c>
      <c r="E41" s="159">
        <v>0.86666666666666659</v>
      </c>
      <c r="F41" s="159">
        <v>0.93650793650793673</v>
      </c>
      <c r="G41" s="159">
        <v>1.1333333333333333</v>
      </c>
      <c r="H41" s="159">
        <v>1.1333333333333333</v>
      </c>
      <c r="I41" s="159">
        <v>0.89333333333333331</v>
      </c>
      <c r="J41" s="159">
        <v>0.8840579710144929</v>
      </c>
      <c r="K41" s="159">
        <v>0.85</v>
      </c>
      <c r="L41" s="159">
        <v>0.95454545454545436</v>
      </c>
      <c r="M41" s="159">
        <v>0.8840579710144929</v>
      </c>
      <c r="N41" s="159">
        <v>0.96666666666666679</v>
      </c>
      <c r="O41" s="168">
        <v>0.96825396825396814</v>
      </c>
      <c r="P41" s="143">
        <f>AVERAGE(D41:O41)</f>
        <v>0.9533711336972206</v>
      </c>
      <c r="Q41" s="141" t="s">
        <v>14</v>
      </c>
      <c r="R41" s="204" t="s">
        <v>23</v>
      </c>
      <c r="S41" s="230">
        <v>910</v>
      </c>
      <c r="T41" s="230">
        <v>1040</v>
      </c>
      <c r="U41" s="230">
        <v>1000</v>
      </c>
      <c r="V41" s="230">
        <v>1773</v>
      </c>
      <c r="W41" s="230">
        <v>2620</v>
      </c>
      <c r="X41" s="230">
        <v>3687</v>
      </c>
      <c r="Y41" s="230">
        <v>3678</v>
      </c>
      <c r="Z41" s="230">
        <v>2451</v>
      </c>
      <c r="AA41" s="230">
        <v>2235</v>
      </c>
      <c r="AB41" s="230">
        <v>2068</v>
      </c>
      <c r="AC41" s="230">
        <v>2183</v>
      </c>
      <c r="AD41" s="230">
        <v>1548</v>
      </c>
      <c r="AE41" s="206">
        <f t="shared" si="1"/>
        <v>25193</v>
      </c>
    </row>
    <row r="42" spans="1:31">
      <c r="A42" s="145" t="s">
        <v>14</v>
      </c>
      <c r="B42" s="162" t="s">
        <v>15</v>
      </c>
      <c r="C42" s="163"/>
      <c r="D42" s="165">
        <v>0.67451298701298701</v>
      </c>
      <c r="E42" s="165">
        <v>0.8125</v>
      </c>
      <c r="F42" s="165">
        <v>0.70238095238095233</v>
      </c>
      <c r="G42" s="165">
        <v>0.61250000000000004</v>
      </c>
      <c r="H42" s="165">
        <v>0.61250000000000004</v>
      </c>
      <c r="I42" s="165">
        <v>0.82399999999999995</v>
      </c>
      <c r="J42" s="165">
        <v>0.49565217391304339</v>
      </c>
      <c r="K42" s="165">
        <v>0.52999999999999992</v>
      </c>
      <c r="L42" s="165">
        <v>0.77272727272727271</v>
      </c>
      <c r="M42" s="165">
        <v>0.67608695652173911</v>
      </c>
      <c r="N42" s="165">
        <v>0.64</v>
      </c>
      <c r="O42" s="169">
        <v>0.60952380952380958</v>
      </c>
      <c r="P42" s="223">
        <f>AVERAGE(D42:O42)</f>
        <v>0.66353201267331696</v>
      </c>
      <c r="Q42" s="141" t="s">
        <v>14</v>
      </c>
      <c r="R42" s="141" t="s">
        <v>14</v>
      </c>
      <c r="S42" s="298" t="s">
        <v>39</v>
      </c>
      <c r="T42" s="298"/>
      <c r="U42" s="298"/>
      <c r="V42" s="300" t="s">
        <v>40</v>
      </c>
      <c r="W42" s="300"/>
      <c r="X42" s="300"/>
      <c r="Y42" s="300"/>
      <c r="Z42" s="117"/>
      <c r="AA42" s="117"/>
      <c r="AB42" s="141" t="s">
        <v>14</v>
      </c>
      <c r="AC42" s="141" t="s">
        <v>14</v>
      </c>
      <c r="AD42" s="141" t="s">
        <v>14</v>
      </c>
      <c r="AE42" s="141" t="s">
        <v>14</v>
      </c>
    </row>
    <row r="43" spans="1:31">
      <c r="A43" s="142" t="s">
        <v>14</v>
      </c>
      <c r="B43" s="146"/>
      <c r="C43" s="147"/>
      <c r="D43" s="166" t="s">
        <v>2</v>
      </c>
      <c r="E43" s="166" t="s">
        <v>3</v>
      </c>
      <c r="F43" s="166" t="s">
        <v>4</v>
      </c>
      <c r="G43" s="166" t="s">
        <v>5</v>
      </c>
      <c r="H43" s="166" t="s">
        <v>6</v>
      </c>
      <c r="I43" s="166" t="s">
        <v>7</v>
      </c>
      <c r="J43" s="166" t="s">
        <v>8</v>
      </c>
      <c r="K43" s="166" t="s">
        <v>9</v>
      </c>
      <c r="L43" s="166" t="s">
        <v>10</v>
      </c>
      <c r="M43" s="166" t="s">
        <v>11</v>
      </c>
      <c r="N43" s="166" t="s">
        <v>12</v>
      </c>
      <c r="O43" s="148" t="s">
        <v>13</v>
      </c>
      <c r="P43" s="149">
        <f>AVERAGE(P38:P42)</f>
        <v>0.86492096186154155</v>
      </c>
      <c r="Q43" s="141" t="s">
        <v>14</v>
      </c>
      <c r="R43" s="141" t="s">
        <v>14</v>
      </c>
      <c r="S43" s="141" t="s">
        <v>14</v>
      </c>
      <c r="T43" s="141" t="s">
        <v>14</v>
      </c>
      <c r="U43" s="141" t="s">
        <v>14</v>
      </c>
      <c r="V43" s="301" t="s">
        <v>41</v>
      </c>
      <c r="W43" s="301"/>
      <c r="X43" s="301"/>
      <c r="Y43" s="301"/>
      <c r="Z43" s="141" t="s">
        <v>14</v>
      </c>
      <c r="AA43" s="141" t="s">
        <v>14</v>
      </c>
      <c r="AB43" s="141" t="s">
        <v>14</v>
      </c>
      <c r="AC43" s="141" t="s">
        <v>14</v>
      </c>
      <c r="AD43" s="141" t="s">
        <v>14</v>
      </c>
      <c r="AE43" s="141" t="s">
        <v>14</v>
      </c>
    </row>
    <row r="44" spans="1:31">
      <c r="A44" s="150" t="s">
        <v>14</v>
      </c>
      <c r="B44" s="151" t="s">
        <v>14</v>
      </c>
      <c r="C44" s="151" t="s">
        <v>14</v>
      </c>
      <c r="D44" s="325" t="s">
        <v>27</v>
      </c>
      <c r="E44" s="326"/>
      <c r="F44" s="326"/>
      <c r="G44" s="304" t="s">
        <v>28</v>
      </c>
      <c r="H44" s="305"/>
      <c r="I44" s="305"/>
      <c r="J44" s="304" t="s">
        <v>29</v>
      </c>
      <c r="K44" s="305"/>
      <c r="L44" s="306"/>
      <c r="M44" s="305" t="s">
        <v>30</v>
      </c>
      <c r="N44" s="305"/>
      <c r="O44" s="306"/>
      <c r="P44" s="152" t="s">
        <v>14</v>
      </c>
      <c r="Q44" s="141" t="s">
        <v>14</v>
      </c>
      <c r="R44" s="141" t="s">
        <v>14</v>
      </c>
      <c r="S44" s="141" t="s">
        <v>14</v>
      </c>
      <c r="T44" s="141" t="s">
        <v>14</v>
      </c>
      <c r="U44" s="141" t="s">
        <v>14</v>
      </c>
      <c r="V44" s="299" t="s">
        <v>42</v>
      </c>
      <c r="W44" s="299"/>
      <c r="X44" s="141" t="s">
        <v>14</v>
      </c>
      <c r="Y44" s="141" t="s">
        <v>14</v>
      </c>
      <c r="Z44" s="141" t="s">
        <v>14</v>
      </c>
      <c r="AA44" s="141" t="s">
        <v>14</v>
      </c>
      <c r="AB44" s="141" t="s">
        <v>14</v>
      </c>
      <c r="AC44" s="141" t="s">
        <v>14</v>
      </c>
      <c r="AD44" s="141" t="s">
        <v>14</v>
      </c>
      <c r="AE44" s="141" t="s">
        <v>14</v>
      </c>
    </row>
    <row r="45" spans="1:31">
      <c r="A45" s="153" t="s">
        <v>14</v>
      </c>
      <c r="B45" s="345" t="s">
        <v>31</v>
      </c>
      <c r="C45" s="345"/>
      <c r="D45" s="332">
        <f>AVERAGE(D38:F42)</f>
        <v>0.87780924322590992</v>
      </c>
      <c r="E45" s="333"/>
      <c r="F45" s="333"/>
      <c r="G45" s="332">
        <f>AVERAGE(G38:I42)</f>
        <v>0.85626666666666673</v>
      </c>
      <c r="H45" s="333"/>
      <c r="I45" s="333"/>
      <c r="J45" s="332">
        <f>AVERAGE(J38:L42)</f>
        <v>0.87072968818620988</v>
      </c>
      <c r="K45" s="333"/>
      <c r="L45" s="333"/>
      <c r="M45" s="332">
        <f>AVERAGE(M38:O42)</f>
        <v>0.85487824936737977</v>
      </c>
      <c r="N45" s="333"/>
      <c r="O45" s="334"/>
      <c r="P45" s="147" t="s">
        <v>14</v>
      </c>
      <c r="Q45" s="141" t="s">
        <v>14</v>
      </c>
      <c r="R45" s="141" t="s">
        <v>14</v>
      </c>
      <c r="S45" s="141" t="s">
        <v>14</v>
      </c>
      <c r="T45" s="141" t="s">
        <v>14</v>
      </c>
      <c r="U45" s="141" t="s">
        <v>14</v>
      </c>
      <c r="V45" s="141" t="s">
        <v>14</v>
      </c>
      <c r="W45" s="141" t="s">
        <v>14</v>
      </c>
      <c r="X45" s="141" t="s">
        <v>14</v>
      </c>
      <c r="Y45" s="141" t="s">
        <v>14</v>
      </c>
      <c r="Z45" s="141" t="s">
        <v>14</v>
      </c>
      <c r="AA45" s="141" t="s">
        <v>14</v>
      </c>
      <c r="AB45" s="141" t="s">
        <v>14</v>
      </c>
      <c r="AC45" s="141" t="s">
        <v>14</v>
      </c>
      <c r="AD45" s="141" t="s">
        <v>14</v>
      </c>
      <c r="AE45" s="141" t="s">
        <v>14</v>
      </c>
    </row>
    <row r="46" spans="1:31">
      <c r="A46" s="313" t="s">
        <v>32</v>
      </c>
      <c r="B46" s="315" t="s">
        <v>33</v>
      </c>
      <c r="C46" s="315" t="s">
        <v>34</v>
      </c>
      <c r="D46" s="323" t="s">
        <v>43</v>
      </c>
      <c r="E46" s="323"/>
      <c r="F46" s="323"/>
      <c r="G46" s="323"/>
      <c r="H46" s="323"/>
      <c r="I46" s="323"/>
      <c r="J46" s="323"/>
      <c r="K46" s="323"/>
      <c r="L46" s="323"/>
      <c r="M46" s="323"/>
      <c r="N46" s="323"/>
      <c r="O46" s="323"/>
      <c r="P46" s="147" t="s">
        <v>14</v>
      </c>
      <c r="Q46" s="141" t="s">
        <v>14</v>
      </c>
      <c r="R46" s="141" t="s">
        <v>14</v>
      </c>
      <c r="S46" s="141" t="s">
        <v>14</v>
      </c>
      <c r="T46" s="141" t="s">
        <v>14</v>
      </c>
      <c r="U46" s="141" t="s">
        <v>14</v>
      </c>
      <c r="V46" s="141" t="s">
        <v>14</v>
      </c>
      <c r="W46" s="141" t="s">
        <v>14</v>
      </c>
      <c r="X46" s="141" t="s">
        <v>14</v>
      </c>
      <c r="Y46" s="141" t="s">
        <v>14</v>
      </c>
      <c r="Z46" s="141" t="s">
        <v>14</v>
      </c>
      <c r="AA46" s="141" t="s">
        <v>14</v>
      </c>
      <c r="AB46" s="141" t="s">
        <v>14</v>
      </c>
      <c r="AC46" s="141" t="s">
        <v>14</v>
      </c>
      <c r="AD46" s="141" t="s">
        <v>14</v>
      </c>
      <c r="AE46" s="141" t="s">
        <v>14</v>
      </c>
    </row>
    <row r="47" spans="1:31" ht="15" customHeight="1">
      <c r="A47" s="314"/>
      <c r="B47" s="316"/>
      <c r="C47" s="316"/>
      <c r="D47" s="324"/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155" t="s">
        <v>14</v>
      </c>
      <c r="Q47" s="141" t="s">
        <v>14</v>
      </c>
      <c r="R47" s="141" t="s">
        <v>14</v>
      </c>
      <c r="S47" s="141" t="s">
        <v>14</v>
      </c>
      <c r="T47" s="141" t="s">
        <v>14</v>
      </c>
      <c r="U47" s="141" t="s">
        <v>14</v>
      </c>
      <c r="V47" s="141" t="s">
        <v>14</v>
      </c>
      <c r="W47" s="141" t="s">
        <v>14</v>
      </c>
      <c r="X47" s="141" t="s">
        <v>14</v>
      </c>
      <c r="Y47" s="141" t="s">
        <v>14</v>
      </c>
      <c r="Z47" s="141" t="s">
        <v>14</v>
      </c>
      <c r="AA47" s="141" t="s">
        <v>14</v>
      </c>
      <c r="AB47" s="141" t="s">
        <v>14</v>
      </c>
      <c r="AC47" s="141" t="s">
        <v>14</v>
      </c>
      <c r="AD47" s="141" t="s">
        <v>14</v>
      </c>
      <c r="AE47" s="141" t="s">
        <v>14</v>
      </c>
    </row>
    <row r="48" spans="1:31">
      <c r="A48" s="141" t="s">
        <v>14</v>
      </c>
      <c r="B48" s="141" t="s">
        <v>14</v>
      </c>
      <c r="C48" s="141" t="s">
        <v>14</v>
      </c>
      <c r="D48" s="141" t="s">
        <v>14</v>
      </c>
      <c r="E48" s="141" t="s">
        <v>14</v>
      </c>
      <c r="F48" s="141" t="s">
        <v>14</v>
      </c>
      <c r="G48" s="141" t="s">
        <v>14</v>
      </c>
      <c r="H48" s="141" t="s">
        <v>14</v>
      </c>
      <c r="I48" s="141" t="s">
        <v>14</v>
      </c>
      <c r="J48" s="141" t="s">
        <v>14</v>
      </c>
      <c r="K48" s="141" t="s">
        <v>14</v>
      </c>
      <c r="L48" s="141" t="s">
        <v>14</v>
      </c>
      <c r="M48" s="141" t="s">
        <v>14</v>
      </c>
      <c r="N48" s="141" t="s">
        <v>14</v>
      </c>
      <c r="O48" s="141" t="s">
        <v>14</v>
      </c>
      <c r="P48" s="141" t="s">
        <v>14</v>
      </c>
      <c r="Q48" s="141" t="s">
        <v>14</v>
      </c>
      <c r="R48" s="141" t="s">
        <v>14</v>
      </c>
      <c r="S48" s="141" t="s">
        <v>14</v>
      </c>
      <c r="T48" s="141" t="s">
        <v>14</v>
      </c>
      <c r="U48" s="141" t="s">
        <v>14</v>
      </c>
      <c r="V48" s="141" t="s">
        <v>14</v>
      </c>
      <c r="W48" s="141" t="s">
        <v>14</v>
      </c>
      <c r="X48" s="141" t="s">
        <v>14</v>
      </c>
      <c r="Y48" s="141" t="s">
        <v>14</v>
      </c>
      <c r="Z48" s="141" t="s">
        <v>14</v>
      </c>
      <c r="AA48" s="141" t="s">
        <v>14</v>
      </c>
      <c r="AB48" s="141" t="s">
        <v>14</v>
      </c>
      <c r="AC48" s="141" t="s">
        <v>14</v>
      </c>
      <c r="AD48" s="141" t="s">
        <v>14</v>
      </c>
      <c r="AE48" s="141" t="s">
        <v>14</v>
      </c>
    </row>
    <row r="49" spans="1:31">
      <c r="A49" s="141" t="s">
        <v>14</v>
      </c>
      <c r="B49" s="141" t="s">
        <v>14</v>
      </c>
      <c r="C49" s="141" t="s">
        <v>14</v>
      </c>
      <c r="D49" s="141" t="s">
        <v>14</v>
      </c>
      <c r="E49" s="141" t="s">
        <v>14</v>
      </c>
      <c r="F49" s="141" t="s">
        <v>14</v>
      </c>
      <c r="G49" s="141" t="s">
        <v>14</v>
      </c>
      <c r="H49" s="141" t="s">
        <v>14</v>
      </c>
      <c r="I49" s="154" t="s">
        <v>14</v>
      </c>
      <c r="J49" s="141" t="s">
        <v>14</v>
      </c>
      <c r="K49" s="141" t="s">
        <v>14</v>
      </c>
      <c r="L49" s="141" t="s">
        <v>14</v>
      </c>
      <c r="M49" s="141" t="s">
        <v>14</v>
      </c>
      <c r="N49" s="141" t="s">
        <v>14</v>
      </c>
      <c r="O49" s="141" t="s">
        <v>14</v>
      </c>
      <c r="P49" s="141" t="s">
        <v>14</v>
      </c>
      <c r="Q49" s="141" t="s">
        <v>14</v>
      </c>
      <c r="R49" s="141" t="s">
        <v>14</v>
      </c>
      <c r="S49" s="141" t="s">
        <v>14</v>
      </c>
      <c r="T49" s="141" t="s">
        <v>14</v>
      </c>
      <c r="U49" s="141" t="s">
        <v>14</v>
      </c>
      <c r="V49" s="141" t="s">
        <v>14</v>
      </c>
      <c r="W49" s="141" t="s">
        <v>14</v>
      </c>
      <c r="X49" s="141" t="s">
        <v>14</v>
      </c>
      <c r="Y49" s="141" t="s">
        <v>14</v>
      </c>
      <c r="Z49" s="141" t="s">
        <v>14</v>
      </c>
      <c r="AA49" s="141" t="s">
        <v>14</v>
      </c>
      <c r="AB49" s="141" t="s">
        <v>14</v>
      </c>
      <c r="AC49" s="141" t="s">
        <v>14</v>
      </c>
      <c r="AD49" s="141" t="s">
        <v>14</v>
      </c>
      <c r="AE49" s="141" t="s">
        <v>14</v>
      </c>
    </row>
    <row r="50" spans="1:31">
      <c r="A50" s="141" t="s">
        <v>14</v>
      </c>
      <c r="B50" s="141" t="s">
        <v>14</v>
      </c>
      <c r="C50" s="141" t="s">
        <v>14</v>
      </c>
      <c r="D50" s="141" t="s">
        <v>14</v>
      </c>
      <c r="E50" s="141" t="s">
        <v>14</v>
      </c>
      <c r="F50" s="141" t="s">
        <v>14</v>
      </c>
      <c r="G50" s="141" t="s">
        <v>14</v>
      </c>
      <c r="H50" s="141" t="s">
        <v>14</v>
      </c>
      <c r="I50" s="141" t="s">
        <v>14</v>
      </c>
      <c r="J50" s="141" t="s">
        <v>14</v>
      </c>
      <c r="K50" s="141" t="s">
        <v>14</v>
      </c>
      <c r="L50" s="141" t="s">
        <v>14</v>
      </c>
      <c r="M50" s="141" t="s">
        <v>14</v>
      </c>
      <c r="N50" s="141" t="s">
        <v>14</v>
      </c>
      <c r="O50" s="141" t="s">
        <v>14</v>
      </c>
      <c r="P50" s="141" t="s">
        <v>14</v>
      </c>
      <c r="Q50" s="141" t="s">
        <v>14</v>
      </c>
      <c r="R50" s="141" t="s">
        <v>14</v>
      </c>
      <c r="S50" s="141" t="s">
        <v>14</v>
      </c>
      <c r="T50" s="141" t="s">
        <v>14</v>
      </c>
      <c r="U50" s="141" t="s">
        <v>14</v>
      </c>
      <c r="V50" s="141" t="s">
        <v>14</v>
      </c>
      <c r="W50" s="141" t="s">
        <v>14</v>
      </c>
      <c r="X50" s="141" t="s">
        <v>14</v>
      </c>
      <c r="Y50" s="141" t="s">
        <v>14</v>
      </c>
      <c r="Z50" s="141" t="s">
        <v>14</v>
      </c>
      <c r="AA50" s="141" t="s">
        <v>14</v>
      </c>
      <c r="AB50" s="141" t="s">
        <v>14</v>
      </c>
      <c r="AC50" s="141" t="s">
        <v>14</v>
      </c>
      <c r="AD50" s="141" t="s">
        <v>14</v>
      </c>
      <c r="AE50" s="141" t="s">
        <v>14</v>
      </c>
    </row>
    <row r="51" spans="1:31">
      <c r="A51" s="141" t="s">
        <v>14</v>
      </c>
      <c r="B51" s="141" t="s">
        <v>14</v>
      </c>
      <c r="C51" s="141" t="s">
        <v>14</v>
      </c>
      <c r="D51" s="141" t="s">
        <v>14</v>
      </c>
      <c r="E51" s="141" t="s">
        <v>14</v>
      </c>
      <c r="F51" s="141" t="s">
        <v>14</v>
      </c>
      <c r="G51" s="141" t="s">
        <v>14</v>
      </c>
      <c r="H51" s="141" t="s">
        <v>14</v>
      </c>
      <c r="I51" s="141" t="s">
        <v>14</v>
      </c>
      <c r="J51" s="141" t="s">
        <v>14</v>
      </c>
      <c r="K51" s="141" t="s">
        <v>14</v>
      </c>
      <c r="L51" s="141" t="s">
        <v>14</v>
      </c>
      <c r="M51" s="141" t="s">
        <v>14</v>
      </c>
      <c r="N51" s="141" t="s">
        <v>14</v>
      </c>
      <c r="O51" s="141" t="s">
        <v>14</v>
      </c>
      <c r="P51" s="141" t="s">
        <v>14</v>
      </c>
      <c r="Q51" s="141" t="s">
        <v>14</v>
      </c>
      <c r="R51" s="141" t="s">
        <v>14</v>
      </c>
      <c r="S51" s="141" t="s">
        <v>14</v>
      </c>
      <c r="T51" s="141" t="s">
        <v>14</v>
      </c>
      <c r="U51" s="141" t="s">
        <v>14</v>
      </c>
      <c r="V51" s="141" t="s">
        <v>14</v>
      </c>
      <c r="W51" s="141" t="s">
        <v>14</v>
      </c>
      <c r="X51" s="141" t="s">
        <v>14</v>
      </c>
      <c r="Y51" s="141" t="s">
        <v>14</v>
      </c>
      <c r="Z51" s="141" t="s">
        <v>14</v>
      </c>
      <c r="AA51" s="141" t="s">
        <v>14</v>
      </c>
      <c r="AB51" s="141" t="s">
        <v>14</v>
      </c>
      <c r="AC51" s="141" t="s">
        <v>14</v>
      </c>
      <c r="AD51" s="141" t="s">
        <v>14</v>
      </c>
      <c r="AE51" s="141" t="s">
        <v>14</v>
      </c>
    </row>
    <row r="52" spans="1:31">
      <c r="A52" s="141" t="s">
        <v>14</v>
      </c>
      <c r="B52" s="141" t="s">
        <v>14</v>
      </c>
      <c r="C52" s="141" t="s">
        <v>14</v>
      </c>
      <c r="D52" s="141" t="s">
        <v>14</v>
      </c>
      <c r="E52" s="141" t="s">
        <v>14</v>
      </c>
      <c r="F52" s="141" t="s">
        <v>14</v>
      </c>
      <c r="G52" s="141" t="s">
        <v>14</v>
      </c>
      <c r="H52" s="141" t="s">
        <v>14</v>
      </c>
      <c r="I52" s="141" t="s">
        <v>14</v>
      </c>
      <c r="J52" s="141" t="s">
        <v>14</v>
      </c>
      <c r="K52" s="141" t="s">
        <v>14</v>
      </c>
      <c r="L52" s="141" t="s">
        <v>14</v>
      </c>
      <c r="M52" s="141" t="s">
        <v>14</v>
      </c>
      <c r="N52" s="141" t="s">
        <v>14</v>
      </c>
      <c r="O52" s="141" t="s">
        <v>14</v>
      </c>
      <c r="P52" s="141" t="s">
        <v>14</v>
      </c>
      <c r="Q52" s="141" t="s">
        <v>14</v>
      </c>
      <c r="R52" s="141" t="s">
        <v>14</v>
      </c>
      <c r="S52" s="141" t="s">
        <v>14</v>
      </c>
      <c r="T52" s="141" t="s">
        <v>14</v>
      </c>
      <c r="U52" s="141" t="s">
        <v>14</v>
      </c>
      <c r="V52" s="141" t="s">
        <v>14</v>
      </c>
      <c r="W52" s="141" t="s">
        <v>14</v>
      </c>
      <c r="X52" s="141" t="s">
        <v>14</v>
      </c>
      <c r="Y52" s="141" t="s">
        <v>14</v>
      </c>
      <c r="Z52" s="141" t="s">
        <v>14</v>
      </c>
      <c r="AA52" s="141" t="s">
        <v>14</v>
      </c>
      <c r="AB52" s="141" t="s">
        <v>14</v>
      </c>
      <c r="AC52" s="141" t="s">
        <v>14</v>
      </c>
      <c r="AD52" s="141" t="s">
        <v>14</v>
      </c>
      <c r="AE52" s="141" t="s">
        <v>14</v>
      </c>
    </row>
    <row r="53" spans="1:31">
      <c r="A53" s="141" t="s">
        <v>14</v>
      </c>
      <c r="B53" s="141" t="s">
        <v>14</v>
      </c>
      <c r="C53" s="141" t="s">
        <v>14</v>
      </c>
      <c r="D53" s="141" t="s">
        <v>14</v>
      </c>
      <c r="E53" s="141" t="s">
        <v>14</v>
      </c>
      <c r="F53" s="141" t="s">
        <v>14</v>
      </c>
      <c r="G53" s="141" t="s">
        <v>14</v>
      </c>
      <c r="H53" s="141" t="s">
        <v>14</v>
      </c>
      <c r="I53" s="141" t="s">
        <v>14</v>
      </c>
      <c r="J53" s="141" t="s">
        <v>14</v>
      </c>
      <c r="K53" s="141" t="s">
        <v>14</v>
      </c>
      <c r="L53" s="141" t="s">
        <v>14</v>
      </c>
      <c r="M53" s="141" t="s">
        <v>14</v>
      </c>
      <c r="N53" s="141" t="s">
        <v>14</v>
      </c>
      <c r="O53" s="141" t="s">
        <v>14</v>
      </c>
      <c r="P53" s="141" t="s">
        <v>14</v>
      </c>
      <c r="Q53" s="141" t="s">
        <v>14</v>
      </c>
      <c r="R53" s="141" t="s">
        <v>14</v>
      </c>
      <c r="S53" s="141" t="s">
        <v>14</v>
      </c>
      <c r="T53" s="141" t="s">
        <v>14</v>
      </c>
      <c r="U53" s="141" t="s">
        <v>14</v>
      </c>
      <c r="V53" s="141" t="s">
        <v>14</v>
      </c>
      <c r="W53" s="141" t="s">
        <v>14</v>
      </c>
      <c r="X53" s="141" t="s">
        <v>14</v>
      </c>
      <c r="Y53" s="141" t="s">
        <v>14</v>
      </c>
      <c r="Z53" s="141" t="s">
        <v>14</v>
      </c>
      <c r="AA53" s="141" t="s">
        <v>14</v>
      </c>
      <c r="AB53" s="141" t="s">
        <v>14</v>
      </c>
      <c r="AC53" s="141" t="s">
        <v>14</v>
      </c>
      <c r="AD53" s="141" t="s">
        <v>14</v>
      </c>
      <c r="AE53" s="141" t="s">
        <v>14</v>
      </c>
    </row>
    <row r="54" spans="1:31">
      <c r="A54" s="141" t="s">
        <v>14</v>
      </c>
      <c r="B54" s="141" t="s">
        <v>14</v>
      </c>
      <c r="C54" s="141" t="s">
        <v>14</v>
      </c>
      <c r="D54" s="141" t="s">
        <v>14</v>
      </c>
      <c r="E54" s="141" t="s">
        <v>14</v>
      </c>
      <c r="F54" s="141" t="s">
        <v>14</v>
      </c>
      <c r="G54" s="141" t="s">
        <v>14</v>
      </c>
      <c r="H54" s="141" t="s">
        <v>14</v>
      </c>
      <c r="I54" s="141" t="s">
        <v>14</v>
      </c>
      <c r="J54" s="141" t="s">
        <v>14</v>
      </c>
      <c r="K54" s="141" t="s">
        <v>14</v>
      </c>
      <c r="L54" s="141" t="s">
        <v>14</v>
      </c>
      <c r="M54" s="141" t="s">
        <v>14</v>
      </c>
      <c r="N54" s="141" t="s">
        <v>14</v>
      </c>
      <c r="O54" s="141" t="s">
        <v>14</v>
      </c>
      <c r="P54" s="141" t="s">
        <v>14</v>
      </c>
      <c r="Q54" s="141" t="s">
        <v>14</v>
      </c>
      <c r="R54" s="141" t="s">
        <v>14</v>
      </c>
      <c r="S54" s="141" t="s">
        <v>14</v>
      </c>
      <c r="T54" s="141" t="s">
        <v>14</v>
      </c>
      <c r="U54" s="141" t="s">
        <v>14</v>
      </c>
      <c r="V54" s="141" t="s">
        <v>14</v>
      </c>
      <c r="W54" s="141" t="s">
        <v>14</v>
      </c>
      <c r="X54" s="141" t="s">
        <v>14</v>
      </c>
      <c r="Y54" s="141" t="s">
        <v>14</v>
      </c>
      <c r="Z54" s="141" t="s">
        <v>14</v>
      </c>
      <c r="AA54" s="141" t="s">
        <v>14</v>
      </c>
      <c r="AB54" s="141" t="s">
        <v>14</v>
      </c>
      <c r="AC54" s="141" t="s">
        <v>14</v>
      </c>
      <c r="AD54" s="141" t="s">
        <v>14</v>
      </c>
      <c r="AE54" s="141" t="s">
        <v>14</v>
      </c>
    </row>
    <row r="55" spans="1:31">
      <c r="A55" s="141" t="s">
        <v>14</v>
      </c>
      <c r="B55" s="141" t="s">
        <v>14</v>
      </c>
      <c r="C55" s="141" t="s">
        <v>14</v>
      </c>
      <c r="D55" s="141" t="s">
        <v>14</v>
      </c>
      <c r="E55" s="141" t="s">
        <v>14</v>
      </c>
      <c r="F55" s="141" t="s">
        <v>14</v>
      </c>
      <c r="G55" s="141" t="s">
        <v>14</v>
      </c>
      <c r="H55" s="141" t="s">
        <v>14</v>
      </c>
      <c r="I55" s="141" t="s">
        <v>14</v>
      </c>
      <c r="J55" s="141" t="s">
        <v>14</v>
      </c>
      <c r="K55" s="141" t="s">
        <v>14</v>
      </c>
      <c r="L55" s="141" t="s">
        <v>14</v>
      </c>
      <c r="M55" s="141" t="s">
        <v>14</v>
      </c>
      <c r="N55" s="141" t="s">
        <v>14</v>
      </c>
      <c r="O55" s="141" t="s">
        <v>14</v>
      </c>
      <c r="P55" s="141" t="s">
        <v>14</v>
      </c>
      <c r="Q55" s="141" t="s">
        <v>14</v>
      </c>
      <c r="R55" s="141" t="s">
        <v>14</v>
      </c>
      <c r="S55" s="141" t="s">
        <v>14</v>
      </c>
      <c r="T55" s="141" t="s">
        <v>14</v>
      </c>
      <c r="U55" s="141" t="s">
        <v>14</v>
      </c>
      <c r="V55" s="141" t="s">
        <v>14</v>
      </c>
      <c r="W55" s="141" t="s">
        <v>14</v>
      </c>
      <c r="X55" s="141" t="s">
        <v>14</v>
      </c>
      <c r="Y55" s="141" t="s">
        <v>14</v>
      </c>
      <c r="Z55" s="141" t="s">
        <v>14</v>
      </c>
      <c r="AA55" s="141" t="s">
        <v>14</v>
      </c>
      <c r="AB55" s="141" t="s">
        <v>14</v>
      </c>
      <c r="AC55" s="141" t="s">
        <v>14</v>
      </c>
      <c r="AD55" s="141" t="s">
        <v>14</v>
      </c>
      <c r="AE55" s="141" t="s">
        <v>14</v>
      </c>
    </row>
    <row r="56" spans="1:31">
      <c r="A56" s="141" t="s">
        <v>14</v>
      </c>
      <c r="B56" s="141" t="s">
        <v>14</v>
      </c>
      <c r="C56" s="141" t="s">
        <v>14</v>
      </c>
      <c r="D56" s="141" t="s">
        <v>14</v>
      </c>
      <c r="E56" s="141" t="s">
        <v>14</v>
      </c>
      <c r="F56" s="141" t="s">
        <v>14</v>
      </c>
      <c r="G56" s="141" t="s">
        <v>14</v>
      </c>
      <c r="H56" s="141" t="s">
        <v>14</v>
      </c>
      <c r="I56" s="141" t="s">
        <v>14</v>
      </c>
      <c r="J56" s="141" t="s">
        <v>14</v>
      </c>
      <c r="K56" s="141" t="s">
        <v>14</v>
      </c>
      <c r="L56" s="141" t="s">
        <v>14</v>
      </c>
      <c r="M56" s="141" t="s">
        <v>14</v>
      </c>
      <c r="N56" s="141" t="s">
        <v>14</v>
      </c>
      <c r="O56" s="141" t="s">
        <v>14</v>
      </c>
      <c r="P56" s="141" t="s">
        <v>14</v>
      </c>
      <c r="Q56" s="141" t="s">
        <v>14</v>
      </c>
      <c r="R56" s="141" t="s">
        <v>14</v>
      </c>
      <c r="S56" s="141" t="s">
        <v>14</v>
      </c>
      <c r="T56" s="141" t="s">
        <v>14</v>
      </c>
      <c r="U56" s="141" t="s">
        <v>14</v>
      </c>
      <c r="V56" s="141" t="s">
        <v>14</v>
      </c>
      <c r="W56" s="141" t="s">
        <v>14</v>
      </c>
      <c r="X56" s="141" t="s">
        <v>14</v>
      </c>
      <c r="Y56" s="141" t="s">
        <v>14</v>
      </c>
      <c r="Z56" s="141" t="s">
        <v>14</v>
      </c>
      <c r="AA56" s="141" t="s">
        <v>14</v>
      </c>
      <c r="AB56" s="141" t="s">
        <v>14</v>
      </c>
      <c r="AC56" s="141" t="s">
        <v>14</v>
      </c>
      <c r="AD56" s="141" t="s">
        <v>14</v>
      </c>
      <c r="AE56" s="141" t="s">
        <v>14</v>
      </c>
    </row>
    <row r="57" spans="1:31">
      <c r="A57" s="141" t="s">
        <v>14</v>
      </c>
      <c r="B57" s="141" t="s">
        <v>14</v>
      </c>
      <c r="C57" s="141" t="s">
        <v>14</v>
      </c>
      <c r="D57" s="141" t="s">
        <v>14</v>
      </c>
      <c r="E57" s="141" t="s">
        <v>14</v>
      </c>
      <c r="F57" s="141" t="s">
        <v>14</v>
      </c>
      <c r="G57" s="141" t="s">
        <v>14</v>
      </c>
      <c r="H57" s="141" t="s">
        <v>14</v>
      </c>
      <c r="I57" s="141" t="s">
        <v>14</v>
      </c>
      <c r="J57" s="141" t="s">
        <v>14</v>
      </c>
      <c r="K57" s="141" t="s">
        <v>14</v>
      </c>
      <c r="L57" s="141" t="s">
        <v>14</v>
      </c>
      <c r="M57" s="141" t="s">
        <v>14</v>
      </c>
      <c r="N57" s="141" t="s">
        <v>14</v>
      </c>
      <c r="O57" s="141" t="s">
        <v>14</v>
      </c>
      <c r="P57" s="141" t="s">
        <v>14</v>
      </c>
      <c r="Q57" s="141" t="s">
        <v>14</v>
      </c>
      <c r="R57" s="141" t="s">
        <v>14</v>
      </c>
      <c r="S57" s="141" t="s">
        <v>14</v>
      </c>
      <c r="T57" s="141" t="s">
        <v>14</v>
      </c>
      <c r="U57" s="141" t="s">
        <v>14</v>
      </c>
      <c r="V57" s="141" t="s">
        <v>14</v>
      </c>
      <c r="W57" s="141" t="s">
        <v>14</v>
      </c>
      <c r="X57" s="141" t="s">
        <v>14</v>
      </c>
      <c r="Y57" s="141" t="s">
        <v>14</v>
      </c>
      <c r="Z57" s="141" t="s">
        <v>14</v>
      </c>
      <c r="AA57" s="141" t="s">
        <v>14</v>
      </c>
      <c r="AB57" s="141" t="s">
        <v>14</v>
      </c>
      <c r="AC57" s="141" t="s">
        <v>14</v>
      </c>
      <c r="AD57" s="141" t="s">
        <v>14</v>
      </c>
      <c r="AE57" s="141" t="s">
        <v>14</v>
      </c>
    </row>
    <row r="58" spans="1:31">
      <c r="A58" s="141" t="s">
        <v>14</v>
      </c>
      <c r="B58" s="141" t="s">
        <v>14</v>
      </c>
      <c r="C58" s="141" t="s">
        <v>14</v>
      </c>
      <c r="D58" s="141" t="s">
        <v>14</v>
      </c>
      <c r="E58" s="141" t="s">
        <v>14</v>
      </c>
      <c r="F58" s="141" t="s">
        <v>14</v>
      </c>
      <c r="G58" s="141" t="s">
        <v>14</v>
      </c>
      <c r="H58" s="141" t="s">
        <v>14</v>
      </c>
      <c r="I58" s="141" t="s">
        <v>14</v>
      </c>
      <c r="J58" s="141" t="s">
        <v>14</v>
      </c>
      <c r="K58" s="141" t="s">
        <v>14</v>
      </c>
      <c r="L58" s="141" t="s">
        <v>14</v>
      </c>
      <c r="M58" s="141" t="s">
        <v>14</v>
      </c>
      <c r="N58" s="141" t="s">
        <v>14</v>
      </c>
      <c r="O58" s="141" t="s">
        <v>14</v>
      </c>
      <c r="P58" s="141" t="s">
        <v>14</v>
      </c>
      <c r="Q58" s="141" t="s">
        <v>14</v>
      </c>
      <c r="R58" s="141" t="s">
        <v>14</v>
      </c>
      <c r="S58" s="141" t="s">
        <v>14</v>
      </c>
      <c r="T58" s="141" t="s">
        <v>14</v>
      </c>
      <c r="U58" s="141" t="s">
        <v>14</v>
      </c>
      <c r="V58" s="141" t="s">
        <v>14</v>
      </c>
      <c r="W58" s="141" t="s">
        <v>14</v>
      </c>
      <c r="X58" s="141" t="s">
        <v>14</v>
      </c>
      <c r="Y58" s="141" t="s">
        <v>14</v>
      </c>
      <c r="Z58" s="141" t="s">
        <v>14</v>
      </c>
      <c r="AA58" s="141" t="s">
        <v>14</v>
      </c>
      <c r="AB58" s="141" t="s">
        <v>14</v>
      </c>
      <c r="AC58" s="141" t="s">
        <v>14</v>
      </c>
      <c r="AD58" s="141" t="s">
        <v>14</v>
      </c>
      <c r="AE58" s="141" t="s">
        <v>14</v>
      </c>
    </row>
    <row r="59" spans="1:31">
      <c r="A59" s="141" t="s">
        <v>14</v>
      </c>
      <c r="B59" s="141" t="s">
        <v>14</v>
      </c>
      <c r="C59" s="141" t="s">
        <v>14</v>
      </c>
      <c r="D59" s="141" t="s">
        <v>14</v>
      </c>
      <c r="E59" s="141" t="s">
        <v>14</v>
      </c>
      <c r="F59" s="141" t="s">
        <v>14</v>
      </c>
      <c r="G59" s="141" t="s">
        <v>14</v>
      </c>
      <c r="H59" s="141" t="s">
        <v>14</v>
      </c>
      <c r="I59" s="141" t="s">
        <v>14</v>
      </c>
      <c r="J59" s="141" t="s">
        <v>14</v>
      </c>
      <c r="K59" s="141" t="s">
        <v>14</v>
      </c>
      <c r="L59" s="141" t="s">
        <v>14</v>
      </c>
      <c r="M59" s="141" t="s">
        <v>14</v>
      </c>
      <c r="N59" s="141" t="s">
        <v>14</v>
      </c>
      <c r="O59" s="141" t="s">
        <v>14</v>
      </c>
      <c r="P59" s="141" t="s">
        <v>14</v>
      </c>
      <c r="Q59" s="141" t="s">
        <v>14</v>
      </c>
      <c r="R59" s="141" t="s">
        <v>14</v>
      </c>
      <c r="S59" s="141" t="s">
        <v>14</v>
      </c>
      <c r="T59" s="141" t="s">
        <v>14</v>
      </c>
      <c r="U59" s="141" t="s">
        <v>14</v>
      </c>
      <c r="V59" s="141" t="s">
        <v>14</v>
      </c>
      <c r="W59" s="141" t="s">
        <v>14</v>
      </c>
      <c r="X59" s="141" t="s">
        <v>14</v>
      </c>
      <c r="Y59" s="141" t="s">
        <v>14</v>
      </c>
      <c r="Z59" s="141" t="s">
        <v>14</v>
      </c>
      <c r="AA59" s="141" t="s">
        <v>14</v>
      </c>
      <c r="AB59" s="141" t="s">
        <v>14</v>
      </c>
      <c r="AC59" s="141" t="s">
        <v>14</v>
      </c>
      <c r="AD59" s="141" t="s">
        <v>14</v>
      </c>
      <c r="AE59" s="141" t="s">
        <v>14</v>
      </c>
    </row>
    <row r="60" spans="1:31">
      <c r="A60" s="141" t="s">
        <v>14</v>
      </c>
      <c r="B60" s="141" t="s">
        <v>14</v>
      </c>
      <c r="C60" s="141" t="s">
        <v>14</v>
      </c>
      <c r="D60" s="141" t="s">
        <v>14</v>
      </c>
      <c r="E60" s="141" t="s">
        <v>14</v>
      </c>
      <c r="F60" s="141" t="s">
        <v>14</v>
      </c>
      <c r="G60" s="141" t="s">
        <v>14</v>
      </c>
      <c r="H60" s="141" t="s">
        <v>14</v>
      </c>
      <c r="I60" s="141" t="s">
        <v>14</v>
      </c>
      <c r="J60" s="141" t="s">
        <v>14</v>
      </c>
      <c r="K60" s="141" t="s">
        <v>14</v>
      </c>
      <c r="L60" s="141" t="s">
        <v>14</v>
      </c>
      <c r="M60" s="141" t="s">
        <v>14</v>
      </c>
      <c r="N60" s="141" t="s">
        <v>14</v>
      </c>
      <c r="O60" s="141" t="s">
        <v>14</v>
      </c>
      <c r="P60" s="141" t="s">
        <v>14</v>
      </c>
      <c r="Q60" s="141" t="s">
        <v>14</v>
      </c>
      <c r="R60" s="141" t="s">
        <v>14</v>
      </c>
      <c r="S60" s="141" t="s">
        <v>14</v>
      </c>
      <c r="T60" s="141" t="s">
        <v>14</v>
      </c>
      <c r="U60" s="141" t="s">
        <v>14</v>
      </c>
      <c r="V60" s="141" t="s">
        <v>14</v>
      </c>
      <c r="W60" s="141" t="s">
        <v>14</v>
      </c>
      <c r="X60" s="141" t="s">
        <v>14</v>
      </c>
      <c r="Y60" s="141" t="s">
        <v>14</v>
      </c>
      <c r="Z60" s="141" t="s">
        <v>14</v>
      </c>
      <c r="AA60" s="141" t="s">
        <v>14</v>
      </c>
      <c r="AB60" s="141" t="s">
        <v>14</v>
      </c>
      <c r="AC60" s="141" t="s">
        <v>14</v>
      </c>
      <c r="AD60" s="141" t="s">
        <v>14</v>
      </c>
      <c r="AE60" s="141" t="s">
        <v>14</v>
      </c>
    </row>
    <row r="61" spans="1:31">
      <c r="A61" s="141" t="s">
        <v>14</v>
      </c>
      <c r="B61" s="141" t="s">
        <v>14</v>
      </c>
      <c r="C61" s="141" t="s">
        <v>14</v>
      </c>
      <c r="D61" s="141" t="s">
        <v>14</v>
      </c>
      <c r="E61" s="141" t="s">
        <v>14</v>
      </c>
      <c r="F61" s="141" t="s">
        <v>14</v>
      </c>
      <c r="G61" s="141" t="s">
        <v>14</v>
      </c>
      <c r="H61" s="141" t="s">
        <v>14</v>
      </c>
      <c r="I61" s="141" t="s">
        <v>14</v>
      </c>
      <c r="J61" s="141" t="s">
        <v>14</v>
      </c>
      <c r="K61" s="141" t="s">
        <v>14</v>
      </c>
      <c r="L61" s="141" t="s">
        <v>14</v>
      </c>
      <c r="M61" s="141" t="s">
        <v>14</v>
      </c>
      <c r="N61" s="141" t="s">
        <v>14</v>
      </c>
      <c r="O61" s="141" t="s">
        <v>14</v>
      </c>
      <c r="P61" s="141" t="s">
        <v>14</v>
      </c>
      <c r="Q61" s="141" t="s">
        <v>14</v>
      </c>
      <c r="R61" s="141" t="s">
        <v>14</v>
      </c>
      <c r="S61" s="141" t="s">
        <v>14</v>
      </c>
      <c r="T61" s="141" t="s">
        <v>14</v>
      </c>
      <c r="U61" s="141" t="s">
        <v>14</v>
      </c>
      <c r="V61" s="141" t="s">
        <v>14</v>
      </c>
      <c r="W61" s="141" t="s">
        <v>14</v>
      </c>
      <c r="X61" s="141" t="s">
        <v>14</v>
      </c>
      <c r="Y61" s="141" t="s">
        <v>14</v>
      </c>
      <c r="Z61" s="141" t="s">
        <v>14</v>
      </c>
      <c r="AA61" s="141" t="s">
        <v>14</v>
      </c>
      <c r="AB61" s="141" t="s">
        <v>14</v>
      </c>
      <c r="AC61" s="141" t="s">
        <v>14</v>
      </c>
      <c r="AD61" s="141" t="s">
        <v>14</v>
      </c>
      <c r="AE61" s="141" t="s">
        <v>14</v>
      </c>
    </row>
    <row r="62" spans="1:31">
      <c r="A62" s="141" t="s">
        <v>14</v>
      </c>
      <c r="B62" s="141" t="s">
        <v>14</v>
      </c>
      <c r="C62" s="141" t="s">
        <v>14</v>
      </c>
      <c r="D62" s="141" t="s">
        <v>14</v>
      </c>
      <c r="E62" s="141" t="s">
        <v>14</v>
      </c>
      <c r="F62" s="141" t="s">
        <v>14</v>
      </c>
      <c r="G62" s="141" t="s">
        <v>14</v>
      </c>
      <c r="H62" s="141" t="s">
        <v>14</v>
      </c>
      <c r="I62" s="141" t="s">
        <v>14</v>
      </c>
      <c r="J62" s="141" t="s">
        <v>14</v>
      </c>
      <c r="K62" s="141" t="s">
        <v>14</v>
      </c>
      <c r="L62" s="141" t="s">
        <v>14</v>
      </c>
      <c r="M62" s="141" t="s">
        <v>14</v>
      </c>
      <c r="N62" s="141" t="s">
        <v>14</v>
      </c>
      <c r="O62" s="141" t="s">
        <v>14</v>
      </c>
      <c r="P62" s="141" t="s">
        <v>14</v>
      </c>
      <c r="Q62" s="141" t="s">
        <v>14</v>
      </c>
      <c r="R62" s="141" t="s">
        <v>14</v>
      </c>
      <c r="S62" s="141" t="s">
        <v>14</v>
      </c>
      <c r="T62" s="141" t="s">
        <v>14</v>
      </c>
      <c r="U62" s="141" t="s">
        <v>14</v>
      </c>
      <c r="V62" s="141" t="s">
        <v>14</v>
      </c>
      <c r="W62" s="141" t="s">
        <v>14</v>
      </c>
      <c r="X62" s="141" t="s">
        <v>14</v>
      </c>
      <c r="Y62" s="141" t="s">
        <v>14</v>
      </c>
      <c r="Z62" s="141" t="s">
        <v>14</v>
      </c>
      <c r="AA62" s="141" t="s">
        <v>14</v>
      </c>
      <c r="AB62" s="141" t="s">
        <v>14</v>
      </c>
      <c r="AC62" s="141" t="s">
        <v>14</v>
      </c>
      <c r="AD62" s="141" t="s">
        <v>14</v>
      </c>
      <c r="AE62" s="141" t="s">
        <v>14</v>
      </c>
    </row>
    <row r="63" spans="1:31">
      <c r="A63" s="141" t="s">
        <v>14</v>
      </c>
      <c r="B63" s="141" t="s">
        <v>14</v>
      </c>
      <c r="C63" s="141" t="s">
        <v>14</v>
      </c>
      <c r="D63" s="141" t="s">
        <v>14</v>
      </c>
      <c r="E63" s="141" t="s">
        <v>14</v>
      </c>
      <c r="F63" s="141" t="s">
        <v>14</v>
      </c>
      <c r="G63" s="141" t="s">
        <v>14</v>
      </c>
      <c r="H63" s="141" t="s">
        <v>14</v>
      </c>
      <c r="I63" s="141" t="s">
        <v>14</v>
      </c>
      <c r="J63" s="141" t="s">
        <v>14</v>
      </c>
      <c r="K63" s="141" t="s">
        <v>14</v>
      </c>
      <c r="L63" s="141" t="s">
        <v>14</v>
      </c>
      <c r="M63" s="141" t="s">
        <v>14</v>
      </c>
      <c r="N63" s="141" t="s">
        <v>14</v>
      </c>
      <c r="O63" s="141" t="s">
        <v>14</v>
      </c>
      <c r="P63" s="141" t="s">
        <v>14</v>
      </c>
      <c r="Q63" s="141" t="s">
        <v>14</v>
      </c>
      <c r="R63" s="141" t="s">
        <v>14</v>
      </c>
      <c r="S63" s="141" t="s">
        <v>14</v>
      </c>
      <c r="T63" s="141" t="s">
        <v>14</v>
      </c>
      <c r="U63" s="141" t="s">
        <v>14</v>
      </c>
      <c r="V63" s="141" t="s">
        <v>14</v>
      </c>
      <c r="W63" s="141" t="s">
        <v>14</v>
      </c>
      <c r="X63" s="141" t="s">
        <v>14</v>
      </c>
      <c r="Y63" s="141" t="s">
        <v>14</v>
      </c>
      <c r="Z63" s="141" t="s">
        <v>14</v>
      </c>
      <c r="AA63" s="141" t="s">
        <v>14</v>
      </c>
      <c r="AB63" s="141" t="s">
        <v>14</v>
      </c>
      <c r="AC63" s="141" t="s">
        <v>14</v>
      </c>
      <c r="AD63" s="141" t="s">
        <v>14</v>
      </c>
      <c r="AE63" s="141" t="s">
        <v>14</v>
      </c>
    </row>
    <row r="64" spans="1:31">
      <c r="A64" s="141" t="s">
        <v>14</v>
      </c>
      <c r="B64" s="141" t="s">
        <v>14</v>
      </c>
      <c r="C64" s="141" t="s">
        <v>14</v>
      </c>
      <c r="D64" s="141" t="s">
        <v>14</v>
      </c>
      <c r="E64" s="141" t="s">
        <v>14</v>
      </c>
      <c r="F64" s="141" t="s">
        <v>14</v>
      </c>
      <c r="G64" s="141" t="s">
        <v>14</v>
      </c>
      <c r="H64" s="141" t="s">
        <v>14</v>
      </c>
      <c r="I64" s="141" t="s">
        <v>14</v>
      </c>
      <c r="J64" s="141" t="s">
        <v>14</v>
      </c>
      <c r="K64" s="141" t="s">
        <v>14</v>
      </c>
      <c r="L64" s="141" t="s">
        <v>14</v>
      </c>
      <c r="M64" s="141" t="s">
        <v>14</v>
      </c>
      <c r="N64" s="141" t="s">
        <v>14</v>
      </c>
      <c r="O64" s="141" t="s">
        <v>14</v>
      </c>
      <c r="P64" s="141" t="s">
        <v>14</v>
      </c>
      <c r="Q64" s="141" t="s">
        <v>14</v>
      </c>
      <c r="R64" s="141" t="s">
        <v>14</v>
      </c>
      <c r="S64" s="141" t="s">
        <v>14</v>
      </c>
      <c r="T64" s="141" t="s">
        <v>14</v>
      </c>
      <c r="U64" s="141" t="s">
        <v>14</v>
      </c>
      <c r="V64" s="141" t="s">
        <v>14</v>
      </c>
      <c r="W64" s="141" t="s">
        <v>14</v>
      </c>
      <c r="X64" s="141" t="s">
        <v>14</v>
      </c>
      <c r="Y64" s="141" t="s">
        <v>14</v>
      </c>
      <c r="Z64" s="141" t="s">
        <v>14</v>
      </c>
      <c r="AA64" s="141" t="s">
        <v>14</v>
      </c>
      <c r="AB64" s="141" t="s">
        <v>14</v>
      </c>
      <c r="AC64" s="141" t="s">
        <v>14</v>
      </c>
      <c r="AD64" s="141" t="s">
        <v>14</v>
      </c>
      <c r="AE64" s="141" t="s">
        <v>14</v>
      </c>
    </row>
    <row r="65" spans="1:31">
      <c r="A65" s="141" t="s">
        <v>14</v>
      </c>
      <c r="B65" s="141" t="s">
        <v>14</v>
      </c>
      <c r="C65" s="141" t="s">
        <v>14</v>
      </c>
      <c r="D65" s="141" t="s">
        <v>14</v>
      </c>
      <c r="E65" s="141" t="s">
        <v>14</v>
      </c>
      <c r="F65" s="141" t="s">
        <v>14</v>
      </c>
      <c r="G65" s="141" t="s">
        <v>14</v>
      </c>
      <c r="H65" s="141" t="s">
        <v>14</v>
      </c>
      <c r="I65" s="141" t="s">
        <v>14</v>
      </c>
      <c r="J65" s="141" t="s">
        <v>14</v>
      </c>
      <c r="K65" s="141" t="s">
        <v>14</v>
      </c>
      <c r="L65" s="141" t="s">
        <v>14</v>
      </c>
      <c r="M65" s="141" t="s">
        <v>14</v>
      </c>
      <c r="N65" s="141" t="s">
        <v>14</v>
      </c>
      <c r="O65" s="141" t="s">
        <v>14</v>
      </c>
      <c r="P65" s="141" t="s">
        <v>14</v>
      </c>
      <c r="Q65" s="141" t="s">
        <v>14</v>
      </c>
      <c r="R65" s="141" t="s">
        <v>14</v>
      </c>
      <c r="S65" s="141" t="s">
        <v>14</v>
      </c>
      <c r="T65" s="141" t="s">
        <v>14</v>
      </c>
      <c r="U65" s="141" t="s">
        <v>14</v>
      </c>
      <c r="V65" s="141" t="s">
        <v>14</v>
      </c>
      <c r="W65" s="141" t="s">
        <v>14</v>
      </c>
      <c r="X65" s="141" t="s">
        <v>14</v>
      </c>
      <c r="Y65" s="141" t="s">
        <v>14</v>
      </c>
      <c r="Z65" s="141" t="s">
        <v>14</v>
      </c>
      <c r="AA65" s="141" t="s">
        <v>14</v>
      </c>
      <c r="AB65" s="141" t="s">
        <v>14</v>
      </c>
      <c r="AC65" s="141" t="s">
        <v>14</v>
      </c>
      <c r="AD65" s="141" t="s">
        <v>14</v>
      </c>
      <c r="AE65" s="141" t="s">
        <v>14</v>
      </c>
    </row>
    <row r="66" spans="1:3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</row>
    <row r="67" spans="1:31">
      <c r="A67" s="128" t="s">
        <v>44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</row>
    <row r="68" spans="1:31">
      <c r="A68" s="123"/>
      <c r="B68" s="302" t="s">
        <v>45</v>
      </c>
      <c r="C68" s="303"/>
      <c r="D68" s="174">
        <v>0.45</v>
      </c>
      <c r="E68" s="174">
        <v>0.45</v>
      </c>
      <c r="F68" s="174">
        <v>0.59</v>
      </c>
      <c r="G68" s="174">
        <v>0.82</v>
      </c>
      <c r="H68" s="174">
        <f>'2024'!$I$47</f>
        <v>0.76984126984126988</v>
      </c>
      <c r="I68" s="174">
        <f>'2024'!$J$47</f>
        <v>0.78333333333333344</v>
      </c>
      <c r="J68" s="174">
        <f>'2024'!$K$47</f>
        <v>0.72499999999999987</v>
      </c>
      <c r="K68" s="174">
        <f>'2024'!$L$47</f>
        <v>0.64625850340136048</v>
      </c>
      <c r="L68" s="174">
        <f>'2024'!$M$47</f>
        <v>0.74829931972789099</v>
      </c>
      <c r="M68" s="174">
        <f>'2024'!$N$47</f>
        <v>0.80745341614906851</v>
      </c>
      <c r="N68" s="174">
        <f>'2024'!$O$47</f>
        <v>0.7321428571428571</v>
      </c>
      <c r="O68" s="174">
        <f>'2024'!$P$47</f>
        <v>0.53125</v>
      </c>
      <c r="P68" s="175">
        <f>AVERAGE(D68:O68)</f>
        <v>0.67113155829964821</v>
      </c>
      <c r="Q68" s="117"/>
      <c r="R68" s="130"/>
      <c r="S68" s="131" t="s">
        <v>2</v>
      </c>
      <c r="T68" s="132" t="s">
        <v>16</v>
      </c>
      <c r="U68" s="132" t="s">
        <v>4</v>
      </c>
      <c r="V68" s="132" t="s">
        <v>5</v>
      </c>
      <c r="W68" s="132" t="s">
        <v>6</v>
      </c>
      <c r="X68" s="132" t="s">
        <v>7</v>
      </c>
      <c r="Y68" s="132" t="s">
        <v>8</v>
      </c>
      <c r="Z68" s="132" t="s">
        <v>9</v>
      </c>
      <c r="AA68" s="132" t="s">
        <v>10</v>
      </c>
      <c r="AB68" s="132" t="s">
        <v>11</v>
      </c>
      <c r="AC68" s="132" t="s">
        <v>12</v>
      </c>
      <c r="AD68" s="132" t="s">
        <v>13</v>
      </c>
      <c r="AE68" s="133" t="s">
        <v>17</v>
      </c>
    </row>
    <row r="69" spans="1:31">
      <c r="A69" s="124"/>
      <c r="B69" s="176" t="s">
        <v>37</v>
      </c>
      <c r="C69" s="177"/>
      <c r="D69" s="178" cm="1">
        <f t="array" ref="D69:O71">'2024'!$E$49:$P$51</f>
        <v>1.25</v>
      </c>
      <c r="E69" s="178">
        <v>1.25</v>
      </c>
      <c r="F69" s="178">
        <v>1.125</v>
      </c>
      <c r="G69" s="178">
        <v>0.9285714285714286</v>
      </c>
      <c r="H69" s="178">
        <v>0.80158730158730174</v>
      </c>
      <c r="I69" s="178">
        <v>0.8</v>
      </c>
      <c r="J69" s="178">
        <v>1</v>
      </c>
      <c r="K69" s="178">
        <v>0.95238095238095233</v>
      </c>
      <c r="L69" s="178">
        <v>0.6428571428571429</v>
      </c>
      <c r="M69" s="178">
        <v>1</v>
      </c>
      <c r="N69" s="178">
        <v>1.3571428571428572</v>
      </c>
      <c r="O69" s="179">
        <v>1.95</v>
      </c>
      <c r="P69" s="175">
        <f t="shared" ref="P69:P70" si="2">AVERAGE(D69:O69)</f>
        <v>1.0881283068783068</v>
      </c>
      <c r="Q69" s="117"/>
      <c r="R69" s="134" t="s">
        <v>46</v>
      </c>
      <c r="S69" s="135">
        <v>1312</v>
      </c>
      <c r="T69" s="135">
        <v>1312</v>
      </c>
      <c r="U69" s="135">
        <v>1312</v>
      </c>
      <c r="V69" s="135">
        <v>1312</v>
      </c>
      <c r="W69" s="135">
        <v>1312</v>
      </c>
      <c r="X69" s="135">
        <v>1312</v>
      </c>
      <c r="Y69" s="135">
        <v>1312</v>
      </c>
      <c r="Z69" s="135">
        <v>1312</v>
      </c>
      <c r="AA69" s="135">
        <v>1312</v>
      </c>
      <c r="AB69" s="135">
        <v>1312</v>
      </c>
      <c r="AC69" s="135">
        <v>1312</v>
      </c>
      <c r="AD69" s="135">
        <v>1312</v>
      </c>
      <c r="AE69" s="129">
        <f>SUM(S69:AD69)</f>
        <v>15744</v>
      </c>
    </row>
    <row r="70" spans="1:31">
      <c r="A70" s="124"/>
      <c r="B70" s="176" t="s">
        <v>22</v>
      </c>
      <c r="C70" s="177"/>
      <c r="D70" s="178">
        <v>0.75</v>
      </c>
      <c r="E70" s="178">
        <v>0.75</v>
      </c>
      <c r="F70" s="178">
        <v>0.95</v>
      </c>
      <c r="G70" s="178">
        <v>1</v>
      </c>
      <c r="H70" s="178">
        <v>0.66666666666666663</v>
      </c>
      <c r="I70" s="178">
        <v>0.75</v>
      </c>
      <c r="J70" s="178">
        <v>0.82499999999999996</v>
      </c>
      <c r="K70" s="178">
        <v>0.8571428571428571</v>
      </c>
      <c r="L70" s="178">
        <v>0.90476190476190477</v>
      </c>
      <c r="M70" s="178">
        <v>0.89130434782608692</v>
      </c>
      <c r="N70" s="178">
        <v>0.83333333333333337</v>
      </c>
      <c r="O70" s="179">
        <v>0.8</v>
      </c>
      <c r="P70" s="175">
        <f t="shared" si="2"/>
        <v>0.83151742581090415</v>
      </c>
      <c r="Q70" s="117"/>
      <c r="R70" s="134" t="s">
        <v>21</v>
      </c>
      <c r="S70" s="135">
        <v>1587</v>
      </c>
      <c r="T70" s="135">
        <v>1370</v>
      </c>
      <c r="U70" s="135">
        <v>1400</v>
      </c>
      <c r="V70" s="135">
        <v>1256</v>
      </c>
      <c r="W70" s="135">
        <v>1008</v>
      </c>
      <c r="X70" s="135">
        <v>1211</v>
      </c>
      <c r="Y70" s="135">
        <v>1107</v>
      </c>
      <c r="Z70" s="135">
        <v>912</v>
      </c>
      <c r="AA70" s="135">
        <v>1290</v>
      </c>
      <c r="AB70" s="135">
        <v>1114</v>
      </c>
      <c r="AC70" s="135">
        <v>1030</v>
      </c>
      <c r="AD70" s="135">
        <v>698</v>
      </c>
      <c r="AE70" s="129">
        <f>SUM(S70:AD70)</f>
        <v>13983</v>
      </c>
    </row>
    <row r="71" spans="1:31">
      <c r="A71" s="124"/>
      <c r="B71" s="176" t="s">
        <v>38</v>
      </c>
      <c r="C71" s="180"/>
      <c r="D71" s="181">
        <v>1.35</v>
      </c>
      <c r="E71" s="182">
        <v>1.35</v>
      </c>
      <c r="F71" s="182">
        <v>1.1000000000000001</v>
      </c>
      <c r="G71" s="182">
        <v>0.80952380952380953</v>
      </c>
      <c r="H71" s="182">
        <v>0.80158730158730174</v>
      </c>
      <c r="I71" s="182">
        <v>0.8125</v>
      </c>
      <c r="J71" s="182">
        <v>0.66249999999999998</v>
      </c>
      <c r="K71" s="182">
        <v>0.5357142857142857</v>
      </c>
      <c r="L71" s="182">
        <v>0.7301587301587299</v>
      </c>
      <c r="M71" s="182">
        <v>0.66666666666666641</v>
      </c>
      <c r="N71" s="182">
        <v>0.76190476190476186</v>
      </c>
      <c r="O71" s="183">
        <v>0.71666666666666667</v>
      </c>
      <c r="P71" s="175">
        <f>AVERAGE(D71:O71)</f>
        <v>0.85810185185185184</v>
      </c>
      <c r="Q71" s="117"/>
      <c r="R71" s="136" t="s">
        <v>23</v>
      </c>
      <c r="S71" s="137">
        <v>1076</v>
      </c>
      <c r="T71" s="137">
        <v>900</v>
      </c>
      <c r="U71" s="137">
        <v>1150</v>
      </c>
      <c r="V71" s="137">
        <v>1175</v>
      </c>
      <c r="W71" s="137">
        <v>1111</v>
      </c>
      <c r="X71" s="137">
        <v>1063</v>
      </c>
      <c r="Y71" s="137">
        <v>1076</v>
      </c>
      <c r="Z71" s="137">
        <v>925</v>
      </c>
      <c r="AA71" s="137">
        <v>1270</v>
      </c>
      <c r="AB71" s="137">
        <v>1117</v>
      </c>
      <c r="AC71" s="137">
        <v>1010</v>
      </c>
      <c r="AD71" s="137">
        <v>711</v>
      </c>
      <c r="AE71" s="138">
        <f>SUM(S71:AD71)</f>
        <v>12584</v>
      </c>
    </row>
    <row r="72" spans="1:31">
      <c r="A72" s="124"/>
      <c r="B72" s="184" t="s">
        <v>15</v>
      </c>
      <c r="C72" s="185"/>
      <c r="D72" s="186" cm="1">
        <f t="array" ref="D72:O72">'2024'!$E$52:$P$52</f>
        <v>0.5</v>
      </c>
      <c r="E72" s="186">
        <v>0.5</v>
      </c>
      <c r="F72" s="186">
        <v>0.9</v>
      </c>
      <c r="G72" s="186">
        <v>0.8928571428571429</v>
      </c>
      <c r="H72" s="186">
        <v>0.8928571428571429</v>
      </c>
      <c r="I72" s="186">
        <v>0.96250000000000002</v>
      </c>
      <c r="J72" s="186">
        <v>0.96250000000000002</v>
      </c>
      <c r="K72" s="186">
        <v>0.80952380952380953</v>
      </c>
      <c r="L72" s="186">
        <v>0.79761904761904767</v>
      </c>
      <c r="M72" s="186">
        <v>0.69565217391304346</v>
      </c>
      <c r="N72" s="186">
        <v>0.88095238095238093</v>
      </c>
      <c r="O72" s="187">
        <v>0.75</v>
      </c>
      <c r="P72" s="175">
        <f t="shared" ref="P72" si="3">AVERAGE(D72:O72)</f>
        <v>0.79537180814354735</v>
      </c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22"/>
    </row>
    <row r="73" spans="1:31">
      <c r="A73" s="123"/>
      <c r="B73" s="125"/>
      <c r="C73" s="118"/>
      <c r="D73" s="188" t="s">
        <v>2</v>
      </c>
      <c r="E73" s="188" t="s">
        <v>3</v>
      </c>
      <c r="F73" s="188" t="s">
        <v>4</v>
      </c>
      <c r="G73" s="188" t="s">
        <v>5</v>
      </c>
      <c r="H73" s="188" t="s">
        <v>6</v>
      </c>
      <c r="I73" s="188" t="s">
        <v>7</v>
      </c>
      <c r="J73" s="188" t="s">
        <v>8</v>
      </c>
      <c r="K73" s="188" t="s">
        <v>9</v>
      </c>
      <c r="L73" s="188" t="s">
        <v>10</v>
      </c>
      <c r="M73" s="188" t="s">
        <v>11</v>
      </c>
      <c r="N73" s="188" t="s">
        <v>12</v>
      </c>
      <c r="O73" s="189" t="s">
        <v>13</v>
      </c>
      <c r="P73" s="190">
        <f>AVERAGE(P68:P72)</f>
        <v>0.84885019019685148</v>
      </c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22"/>
    </row>
    <row r="74" spans="1:31">
      <c r="A74" s="126"/>
      <c r="B74" s="119"/>
      <c r="C74" s="119"/>
      <c r="D74" s="321" t="s">
        <v>27</v>
      </c>
      <c r="E74" s="322"/>
      <c r="F74" s="322"/>
      <c r="G74" s="329" t="s">
        <v>28</v>
      </c>
      <c r="H74" s="330"/>
      <c r="I74" s="330"/>
      <c r="J74" s="329" t="s">
        <v>29</v>
      </c>
      <c r="K74" s="330"/>
      <c r="L74" s="331"/>
      <c r="M74" s="330" t="s">
        <v>30</v>
      </c>
      <c r="N74" s="330"/>
      <c r="O74" s="331"/>
      <c r="P74" s="120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22"/>
    </row>
    <row r="75" spans="1:31">
      <c r="A75" s="127"/>
      <c r="B75" s="317" t="s">
        <v>47</v>
      </c>
      <c r="C75" s="318"/>
      <c r="D75" s="319">
        <v>0.88</v>
      </c>
      <c r="E75" s="320"/>
      <c r="F75" s="320"/>
      <c r="G75" s="319">
        <f t="shared" ref="G75" si="4">AVERAGE(G68:I72)</f>
        <v>0.83278835978835986</v>
      </c>
      <c r="H75" s="320"/>
      <c r="I75" s="320"/>
      <c r="J75" s="319">
        <f t="shared" ref="J75" si="5">AVERAGE(J68:L72)</f>
        <v>0.78664777021919885</v>
      </c>
      <c r="K75" s="320"/>
      <c r="L75" s="320"/>
      <c r="M75" s="319">
        <f t="shared" ref="M75" si="6">AVERAGE(M68:O72)</f>
        <v>0.89163129744651504</v>
      </c>
      <c r="N75" s="320"/>
      <c r="O75" s="320"/>
      <c r="P75" s="118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22"/>
    </row>
    <row r="76" spans="1:31">
      <c r="A76" s="307" t="s">
        <v>32</v>
      </c>
      <c r="B76" s="309" t="s">
        <v>33</v>
      </c>
      <c r="C76" s="309" t="s">
        <v>34</v>
      </c>
      <c r="D76" s="311" t="s">
        <v>48</v>
      </c>
      <c r="E76" s="311"/>
      <c r="F76" s="311"/>
      <c r="G76" s="311" t="s">
        <v>49</v>
      </c>
      <c r="H76" s="311"/>
      <c r="I76" s="311"/>
      <c r="J76" s="311" t="s">
        <v>49</v>
      </c>
      <c r="K76" s="311"/>
      <c r="L76" s="311"/>
      <c r="M76" s="327"/>
      <c r="N76" s="327"/>
      <c r="O76" s="327"/>
      <c r="P76" s="118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22"/>
    </row>
    <row r="77" spans="1:31">
      <c r="A77" s="308"/>
      <c r="B77" s="310"/>
      <c r="C77" s="310"/>
      <c r="D77" s="312"/>
      <c r="E77" s="312"/>
      <c r="F77" s="312"/>
      <c r="G77" s="312"/>
      <c r="H77" s="312"/>
      <c r="I77" s="312"/>
      <c r="J77" s="312"/>
      <c r="K77" s="312"/>
      <c r="L77" s="312"/>
      <c r="M77" s="328"/>
      <c r="N77" s="328"/>
      <c r="O77" s="328"/>
      <c r="P77" s="121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22"/>
    </row>
    <row r="78" spans="1:3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22"/>
    </row>
    <row r="79" spans="1:3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22"/>
    </row>
    <row r="80" spans="1:3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22"/>
    </row>
    <row r="81" spans="1:3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22"/>
    </row>
    <row r="82" spans="1:3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22"/>
    </row>
    <row r="83" spans="1:3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22"/>
    </row>
    <row r="84" spans="1:3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22"/>
    </row>
    <row r="85" spans="1:3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22"/>
    </row>
    <row r="86" spans="1:3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22"/>
    </row>
    <row r="87" spans="1:3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22"/>
    </row>
    <row r="88" spans="1:3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</row>
    <row r="89" spans="1:3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</row>
    <row r="90" spans="1:3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</row>
    <row r="91" spans="1:3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</row>
    <row r="92" spans="1:3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</row>
    <row r="93" spans="1:3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</row>
    <row r="94" spans="1:3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</row>
    <row r="95" spans="1:3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</row>
    <row r="96" spans="1:3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</row>
    <row r="97" spans="1:3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</row>
    <row r="98" spans="1:3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</row>
    <row r="109" spans="1:31">
      <c r="B109" t="s">
        <v>34</v>
      </c>
      <c r="C109" s="158">
        <v>1.1000000000000001</v>
      </c>
      <c r="D109" s="158">
        <v>1.1000000000000001</v>
      </c>
      <c r="E109" s="158">
        <v>1.1000000000000001</v>
      </c>
      <c r="F109" s="158">
        <v>1.1000000000000001</v>
      </c>
      <c r="G109" s="158">
        <v>1.1000000000000001</v>
      </c>
      <c r="H109" s="158">
        <v>1.1000000000000001</v>
      </c>
      <c r="I109" s="158">
        <v>1.1000000000000001</v>
      </c>
      <c r="J109" s="158">
        <v>1.1000000000000001</v>
      </c>
      <c r="K109" s="158">
        <v>1.1000000000000001</v>
      </c>
      <c r="L109" s="158">
        <v>1.1000000000000001</v>
      </c>
      <c r="M109" s="158">
        <v>1.1000000000000001</v>
      </c>
      <c r="N109" s="158">
        <v>1.1000000000000001</v>
      </c>
    </row>
    <row r="110" spans="1:31">
      <c r="B110" t="s">
        <v>50</v>
      </c>
      <c r="C110" s="158">
        <v>1</v>
      </c>
      <c r="D110" s="158">
        <v>1</v>
      </c>
      <c r="E110" s="158">
        <v>1</v>
      </c>
      <c r="F110" s="158">
        <v>1</v>
      </c>
      <c r="G110" s="158">
        <v>1</v>
      </c>
      <c r="H110" s="158">
        <v>1</v>
      </c>
      <c r="I110" s="158">
        <v>1</v>
      </c>
      <c r="J110" s="158">
        <v>1</v>
      </c>
      <c r="K110" s="158">
        <v>1</v>
      </c>
      <c r="L110" s="158">
        <v>1</v>
      </c>
      <c r="M110" s="158">
        <v>1</v>
      </c>
      <c r="N110" s="158">
        <v>1</v>
      </c>
    </row>
    <row r="111" spans="1:31">
      <c r="B111" t="s">
        <v>51</v>
      </c>
      <c r="C111" s="158">
        <v>0.9</v>
      </c>
      <c r="D111" s="158">
        <v>0.9</v>
      </c>
      <c r="E111" s="158">
        <v>0.9</v>
      </c>
      <c r="F111" s="158">
        <v>0.9</v>
      </c>
      <c r="G111" s="158">
        <v>0.9</v>
      </c>
      <c r="H111" s="158">
        <v>0.9</v>
      </c>
      <c r="I111" s="158">
        <v>0.9</v>
      </c>
      <c r="J111" s="158">
        <v>0.9</v>
      </c>
      <c r="K111" s="158">
        <v>0.9</v>
      </c>
      <c r="L111" s="158">
        <v>0.9</v>
      </c>
      <c r="M111" s="158">
        <v>0.9</v>
      </c>
      <c r="N111" s="158">
        <v>0.9</v>
      </c>
    </row>
  </sheetData>
  <mergeCells count="53">
    <mergeCell ref="A15:A16"/>
    <mergeCell ref="B15:B16"/>
    <mergeCell ref="C15:C16"/>
    <mergeCell ref="D15:O16"/>
    <mergeCell ref="B14:C14"/>
    <mergeCell ref="D14:F14"/>
    <mergeCell ref="G14:I14"/>
    <mergeCell ref="J14:L14"/>
    <mergeCell ref="M14:O14"/>
    <mergeCell ref="B7:C7"/>
    <mergeCell ref="S11:U11"/>
    <mergeCell ref="V11:Y11"/>
    <mergeCell ref="V12:Y12"/>
    <mergeCell ref="D13:F13"/>
    <mergeCell ref="G13:I13"/>
    <mergeCell ref="J13:L13"/>
    <mergeCell ref="M13:O13"/>
    <mergeCell ref="V13:W13"/>
    <mergeCell ref="B38:C38"/>
    <mergeCell ref="D44:F44"/>
    <mergeCell ref="M44:O44"/>
    <mergeCell ref="J76:L77"/>
    <mergeCell ref="M76:O77"/>
    <mergeCell ref="G75:I75"/>
    <mergeCell ref="J75:L75"/>
    <mergeCell ref="M75:O75"/>
    <mergeCell ref="G74:I74"/>
    <mergeCell ref="J74:L74"/>
    <mergeCell ref="M74:O74"/>
    <mergeCell ref="B45:C45"/>
    <mergeCell ref="D45:F45"/>
    <mergeCell ref="G45:I45"/>
    <mergeCell ref="J45:L45"/>
    <mergeCell ref="M45:O45"/>
    <mergeCell ref="A46:A47"/>
    <mergeCell ref="B46:B47"/>
    <mergeCell ref="C46:C47"/>
    <mergeCell ref="B75:C75"/>
    <mergeCell ref="D75:F75"/>
    <mergeCell ref="D74:F74"/>
    <mergeCell ref="D46:O47"/>
    <mergeCell ref="A76:A77"/>
    <mergeCell ref="B76:B77"/>
    <mergeCell ref="C76:C77"/>
    <mergeCell ref="D76:F77"/>
    <mergeCell ref="G76:I77"/>
    <mergeCell ref="S42:U42"/>
    <mergeCell ref="V44:W44"/>
    <mergeCell ref="V42:Y42"/>
    <mergeCell ref="V43:Y43"/>
    <mergeCell ref="B68:C68"/>
    <mergeCell ref="G44:I44"/>
    <mergeCell ref="J44:L44"/>
  </mergeCells>
  <conditionalFormatting sqref="D7:O11">
    <cfRule type="cellIs" dxfId="16" priority="3" operator="between">
      <formula>90%</formula>
      <formula>110%</formula>
    </cfRule>
    <cfRule type="cellIs" dxfId="15" priority="4" operator="notBetween">
      <formula>90%</formula>
      <formula>110%</formula>
    </cfRule>
  </conditionalFormatting>
  <conditionalFormatting sqref="D14:O14">
    <cfRule type="cellIs" dxfId="14" priority="1" operator="between">
      <formula>0.9</formula>
      <formula>1</formula>
    </cfRule>
  </conditionalFormatting>
  <conditionalFormatting sqref="D38:O42">
    <cfRule type="cellIs" dxfId="13" priority="8" operator="between">
      <formula>90%</formula>
      <formula>110%</formula>
    </cfRule>
    <cfRule type="cellIs" dxfId="12" priority="9" operator="notBetween">
      <formula>90%</formula>
      <formula>110%</formula>
    </cfRule>
  </conditionalFormatting>
  <conditionalFormatting sqref="D45:O45">
    <cfRule type="cellIs" dxfId="11" priority="5" operator="between">
      <formula>0.9</formula>
      <formula>1</formula>
    </cfRule>
  </conditionalFormatting>
  <conditionalFormatting sqref="D75:O75">
    <cfRule type="cellIs" dxfId="10" priority="16" operator="greaterThan">
      <formula>1.1</formula>
    </cfRule>
    <cfRule type="cellIs" dxfId="9" priority="17" operator="lessThan">
      <formula>90%</formula>
    </cfRule>
    <cfRule type="cellIs" dxfId="8" priority="18" operator="between">
      <formula>90%</formula>
      <formula>110</formula>
    </cfRule>
  </conditionalFormatting>
  <conditionalFormatting sqref="D68:P72">
    <cfRule type="cellIs" dxfId="7" priority="13" operator="lessThan">
      <formula>90%</formula>
    </cfRule>
    <cfRule type="cellIs" dxfId="6" priority="14" operator="between">
      <formula>0.9</formula>
      <formula>1.1</formula>
    </cfRule>
    <cfRule type="cellIs" dxfId="5" priority="15" operator="greaterThan">
      <formula>110%</formula>
    </cfRule>
  </conditionalFormatting>
  <conditionalFormatting sqref="P7:P12">
    <cfRule type="cellIs" dxfId="4" priority="2" operator="between">
      <formula>0.9</formula>
      <formula>1.1</formula>
    </cfRule>
  </conditionalFormatting>
  <conditionalFormatting sqref="P38:P43">
    <cfRule type="cellIs" dxfId="3" priority="6" operator="between">
      <formula>0.9</formula>
      <formula>1.1</formula>
    </cfRule>
  </conditionalFormatting>
  <conditionalFormatting sqref="P73">
    <cfRule type="cellIs" dxfId="2" priority="10" operator="between">
      <formula>90</formula>
      <formula>110</formula>
    </cfRule>
    <cfRule type="cellIs" dxfId="1" priority="11" operator="lessThan">
      <formula>0.9</formula>
    </cfRule>
    <cfRule type="cellIs" dxfId="0" priority="12" operator="greaterThan">
      <formula>1.1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C861-BB14-48B8-9ED4-B4167D1DC666}">
  <sheetPr codeName="Sheet3"/>
  <dimension ref="A1:QX54"/>
  <sheetViews>
    <sheetView workbookViewId="0">
      <pane xSplit="2" topLeftCell="KE1" activePane="topRight" state="frozen"/>
      <selection pane="topRight" activeCell="KE5" sqref="KE5"/>
    </sheetView>
  </sheetViews>
  <sheetFormatPr defaultColWidth="9.140625" defaultRowHeight="14.45"/>
  <cols>
    <col min="1" max="1" width="19.85546875" style="1" bestFit="1" customWidth="1"/>
    <col min="2" max="2" width="21.28515625" style="1" bestFit="1" customWidth="1"/>
    <col min="3" max="3" width="8.5703125" style="1" bestFit="1" customWidth="1"/>
    <col min="4" max="4" width="17.5703125" style="1" bestFit="1" customWidth="1"/>
    <col min="5" max="5" width="17.85546875" style="1" bestFit="1" customWidth="1"/>
    <col min="6" max="6" width="21.28515625" style="1" bestFit="1" customWidth="1"/>
    <col min="7" max="7" width="19.28515625" style="1" bestFit="1" customWidth="1"/>
    <col min="8" max="8" width="15.85546875" style="1" bestFit="1" customWidth="1"/>
    <col min="9" max="9" width="18.42578125" style="1" bestFit="1" customWidth="1"/>
    <col min="10" max="10" width="17.140625" style="1" bestFit="1" customWidth="1"/>
    <col min="11" max="11" width="17.5703125" style="1" bestFit="1" customWidth="1"/>
    <col min="12" max="12" width="17.85546875" style="1" bestFit="1" customWidth="1"/>
    <col min="13" max="13" width="21.28515625" style="1" bestFit="1" customWidth="1"/>
    <col min="14" max="14" width="19.28515625" style="1" bestFit="1" customWidth="1"/>
    <col min="15" max="15" width="15.85546875" style="1" bestFit="1" customWidth="1"/>
    <col min="16" max="16" width="18.42578125" style="1" bestFit="1" customWidth="1"/>
    <col min="17" max="17" width="17.140625" style="1" bestFit="1" customWidth="1"/>
    <col min="18" max="18" width="18.85546875" style="1" bestFit="1" customWidth="1"/>
    <col min="19" max="19" width="17.85546875" style="1" bestFit="1" customWidth="1"/>
    <col min="20" max="20" width="21.28515625" style="1" bestFit="1" customWidth="1"/>
    <col min="21" max="21" width="18.7109375" style="1" bestFit="1" customWidth="1"/>
    <col min="22" max="22" width="15.85546875" style="1" bestFit="1" customWidth="1"/>
    <col min="23" max="23" width="18.42578125" style="1" bestFit="1" customWidth="1"/>
    <col min="24" max="24" width="17.140625" style="1" bestFit="1" customWidth="1"/>
    <col min="25" max="25" width="16.7109375" style="1" bestFit="1" customWidth="1"/>
    <col min="26" max="26" width="17" style="1" bestFit="1" customWidth="1"/>
    <col min="27" max="27" width="20.28515625" style="1" bestFit="1" customWidth="1"/>
    <col min="28" max="28" width="17.85546875" style="1" bestFit="1" customWidth="1"/>
    <col min="29" max="29" width="15.140625" style="1" bestFit="1" customWidth="1"/>
    <col min="30" max="30" width="18.42578125" style="1" bestFit="1" customWidth="1"/>
    <col min="31" max="31" width="17.140625" style="1" bestFit="1" customWidth="1"/>
    <col min="32" max="32" width="16.7109375" style="1" bestFit="1" customWidth="1"/>
    <col min="33" max="33" width="17" style="1" bestFit="1" customWidth="1"/>
    <col min="34" max="34" width="20.28515625" style="1" bestFit="1" customWidth="1"/>
    <col min="35" max="35" width="17.85546875" style="1" bestFit="1" customWidth="1"/>
    <col min="36" max="36" width="15.140625" style="1" bestFit="1" customWidth="1"/>
    <col min="37" max="37" width="18.42578125" style="1" bestFit="1" customWidth="1"/>
    <col min="38" max="38" width="17.140625" style="1" bestFit="1" customWidth="1"/>
    <col min="39" max="39" width="19" style="1" bestFit="1" customWidth="1"/>
    <col min="40" max="40" width="19.28515625" style="1" bestFit="1" customWidth="1"/>
    <col min="41" max="41" width="22.5703125" style="1" bestFit="1" customWidth="1"/>
    <col min="42" max="42" width="20.140625" style="1" bestFit="1" customWidth="1"/>
    <col min="43" max="43" width="17.42578125" style="1" bestFit="1" customWidth="1"/>
    <col min="44" max="44" width="20" style="1" bestFit="1" customWidth="1"/>
    <col min="45" max="45" width="18.5703125" style="1" bestFit="1" customWidth="1"/>
    <col min="46" max="46" width="19" style="1" bestFit="1" customWidth="1"/>
    <col min="47" max="47" width="19.28515625" style="1" bestFit="1" customWidth="1"/>
    <col min="48" max="48" width="22.5703125" style="1" bestFit="1" customWidth="1"/>
    <col min="49" max="49" width="20.140625" style="1" bestFit="1" customWidth="1"/>
    <col min="50" max="50" width="15.140625" style="1" bestFit="1" customWidth="1"/>
    <col min="51" max="51" width="20" style="1" bestFit="1" customWidth="1"/>
    <col min="52" max="52" width="18.5703125" style="1" bestFit="1" customWidth="1"/>
    <col min="53" max="53" width="19" style="1" bestFit="1" customWidth="1"/>
    <col min="54" max="54" width="19.28515625" style="1" bestFit="1" customWidth="1"/>
    <col min="55" max="55" width="22.5703125" style="1" bestFit="1" customWidth="1"/>
    <col min="56" max="56" width="20.140625" style="1" bestFit="1" customWidth="1"/>
    <col min="57" max="57" width="15.140625" style="1" bestFit="1" customWidth="1"/>
    <col min="58" max="58" width="20" style="1" bestFit="1" customWidth="1"/>
    <col min="59" max="59" width="18.5703125" style="1" bestFit="1" customWidth="1"/>
    <col min="60" max="60" width="19" style="1" bestFit="1" customWidth="1"/>
    <col min="61" max="61" width="19.28515625" style="1" bestFit="1" customWidth="1"/>
    <col min="62" max="62" width="22.5703125" style="1" bestFit="1" customWidth="1"/>
    <col min="63" max="63" width="20.140625" style="1" bestFit="1" customWidth="1"/>
    <col min="64" max="64" width="15.140625" style="1" bestFit="1" customWidth="1"/>
    <col min="65" max="65" width="20" style="1" bestFit="1" customWidth="1"/>
    <col min="66" max="66" width="18.5703125" style="1" bestFit="1" customWidth="1"/>
    <col min="67" max="67" width="19" style="1" bestFit="1" customWidth="1"/>
    <col min="68" max="68" width="19.28515625" style="1" bestFit="1" customWidth="1"/>
    <col min="69" max="69" width="22.5703125" style="1" bestFit="1" customWidth="1"/>
    <col min="70" max="70" width="20.140625" style="1" bestFit="1" customWidth="1"/>
    <col min="71" max="71" width="15.140625" style="1" bestFit="1" customWidth="1"/>
    <col min="72" max="72" width="20" style="1" bestFit="1" customWidth="1"/>
    <col min="73" max="73" width="18.5703125" style="1" bestFit="1" customWidth="1"/>
    <col min="74" max="74" width="19" style="1" bestFit="1" customWidth="1"/>
    <col min="75" max="75" width="19.28515625" style="1" bestFit="1" customWidth="1"/>
    <col min="76" max="76" width="22.5703125" style="1" bestFit="1" customWidth="1"/>
    <col min="77" max="77" width="20.140625" style="1" bestFit="1" customWidth="1"/>
    <col min="78" max="78" width="17.42578125" style="1" bestFit="1" customWidth="1"/>
    <col min="79" max="79" width="20" style="1" bestFit="1" customWidth="1"/>
    <col min="80" max="80" width="18.5703125" style="1" bestFit="1" customWidth="1"/>
    <col min="81" max="81" width="19" style="1" bestFit="1" customWidth="1"/>
    <col min="82" max="82" width="19.28515625" style="1" bestFit="1" customWidth="1"/>
    <col min="83" max="83" width="22.5703125" style="1" bestFit="1" customWidth="1"/>
    <col min="84" max="84" width="20.140625" style="1" bestFit="1" customWidth="1"/>
    <col min="85" max="85" width="15.140625" style="1" bestFit="1" customWidth="1"/>
    <col min="86" max="87" width="11.28515625" style="1" bestFit="1" customWidth="1"/>
    <col min="88" max="91" width="12.42578125" style="1" bestFit="1" customWidth="1"/>
    <col min="92" max="92" width="12.7109375" style="1" bestFit="1" customWidth="1"/>
    <col min="93" max="95" width="11.28515625" style="1" bestFit="1" customWidth="1"/>
    <col min="96" max="99" width="12.7109375" style="1" bestFit="1" customWidth="1"/>
    <col min="100" max="154" width="11.28515625" style="1" bestFit="1" customWidth="1"/>
    <col min="155" max="155" width="11.85546875" style="1" customWidth="1"/>
    <col min="156" max="156" width="10.7109375" style="1" customWidth="1"/>
    <col min="157" max="292" width="11.28515625" style="1" bestFit="1" customWidth="1"/>
    <col min="293" max="294" width="17.42578125" style="1" bestFit="1" customWidth="1"/>
    <col min="295" max="298" width="11.28515625" style="1" bestFit="1" customWidth="1"/>
    <col min="299" max="302" width="16.85546875" style="1" bestFit="1" customWidth="1"/>
    <col min="303" max="312" width="11.28515625" style="1" bestFit="1" customWidth="1"/>
    <col min="313" max="313" width="11.28515625" style="1" customWidth="1"/>
    <col min="314" max="342" width="11.28515625" style="1" bestFit="1" customWidth="1"/>
    <col min="343" max="359" width="9.140625" style="1"/>
    <col min="360" max="362" width="11.28515625" style="1" bestFit="1" customWidth="1"/>
    <col min="363" max="363" width="9.140625" style="1"/>
    <col min="364" max="365" width="11.28515625" style="1" bestFit="1" customWidth="1"/>
    <col min="366" max="410" width="9.140625" style="1"/>
    <col min="411" max="411" width="11.28515625" style="1" bestFit="1" customWidth="1"/>
    <col min="412" max="458" width="9.140625" style="1"/>
    <col min="459" max="464" width="11.28515625" style="1" bestFit="1" customWidth="1"/>
    <col min="465" max="16384" width="9.140625" style="1"/>
  </cols>
  <sheetData>
    <row r="1" spans="1:463" s="37" customForma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4" t="s">
        <v>63</v>
      </c>
      <c r="M1" s="34" t="s">
        <v>64</v>
      </c>
      <c r="N1" s="34" t="s">
        <v>65</v>
      </c>
      <c r="O1" s="34" t="s">
        <v>66</v>
      </c>
      <c r="P1" s="34" t="s">
        <v>67</v>
      </c>
      <c r="Q1" s="34" t="s">
        <v>68</v>
      </c>
      <c r="R1" s="34" t="s">
        <v>69</v>
      </c>
      <c r="S1" s="34" t="s">
        <v>70</v>
      </c>
      <c r="T1" s="34" t="s">
        <v>71</v>
      </c>
      <c r="U1" s="34" t="s">
        <v>72</v>
      </c>
      <c r="V1" s="34" t="s">
        <v>73</v>
      </c>
      <c r="W1" s="34" t="s">
        <v>74</v>
      </c>
      <c r="X1" s="34" t="s">
        <v>75</v>
      </c>
      <c r="Y1" s="35" t="s">
        <v>76</v>
      </c>
      <c r="Z1" s="35" t="s">
        <v>77</v>
      </c>
      <c r="AA1" s="35" t="s">
        <v>78</v>
      </c>
      <c r="AB1" s="35" t="s">
        <v>79</v>
      </c>
      <c r="AC1" s="35" t="s">
        <v>80</v>
      </c>
      <c r="AD1" s="34" t="s">
        <v>81</v>
      </c>
      <c r="AE1" s="34" t="s">
        <v>82</v>
      </c>
      <c r="AF1" s="35" t="s">
        <v>83</v>
      </c>
      <c r="AG1" s="35" t="s">
        <v>84</v>
      </c>
      <c r="AH1" s="35" t="s">
        <v>85</v>
      </c>
      <c r="AI1" s="35" t="s">
        <v>86</v>
      </c>
      <c r="AJ1" s="35" t="s">
        <v>87</v>
      </c>
      <c r="AK1" s="34" t="s">
        <v>88</v>
      </c>
      <c r="AL1" s="34" t="s">
        <v>89</v>
      </c>
      <c r="AM1" s="35" t="s">
        <v>90</v>
      </c>
      <c r="AN1" s="35" t="s">
        <v>91</v>
      </c>
      <c r="AO1" s="35" t="s">
        <v>92</v>
      </c>
      <c r="AP1" s="35" t="s">
        <v>93</v>
      </c>
      <c r="AQ1" s="35" t="s">
        <v>94</v>
      </c>
      <c r="AR1" s="35" t="s">
        <v>95</v>
      </c>
      <c r="AS1" s="35" t="s">
        <v>96</v>
      </c>
      <c r="AT1" s="35" t="s">
        <v>97</v>
      </c>
      <c r="AU1" s="35" t="s">
        <v>98</v>
      </c>
      <c r="AV1" s="35" t="s">
        <v>99</v>
      </c>
      <c r="AW1" s="35" t="s">
        <v>100</v>
      </c>
      <c r="AX1" s="35" t="s">
        <v>101</v>
      </c>
      <c r="AY1" s="35" t="s">
        <v>102</v>
      </c>
      <c r="AZ1" s="35" t="s">
        <v>103</v>
      </c>
      <c r="BA1" s="35" t="s">
        <v>104</v>
      </c>
      <c r="BB1" s="35" t="s">
        <v>105</v>
      </c>
      <c r="BC1" s="35" t="s">
        <v>106</v>
      </c>
      <c r="BD1" s="35" t="s">
        <v>107</v>
      </c>
      <c r="BE1" s="35" t="s">
        <v>108</v>
      </c>
      <c r="BF1" s="35" t="s">
        <v>109</v>
      </c>
      <c r="BG1" s="35" t="s">
        <v>110</v>
      </c>
      <c r="BH1" s="35" t="s">
        <v>111</v>
      </c>
      <c r="BI1" s="35" t="s">
        <v>112</v>
      </c>
      <c r="BJ1" s="35" t="s">
        <v>113</v>
      </c>
      <c r="BK1" s="35" t="s">
        <v>114</v>
      </c>
      <c r="BL1" s="35" t="s">
        <v>115</v>
      </c>
      <c r="BM1" s="35" t="s">
        <v>116</v>
      </c>
      <c r="BN1" s="35" t="s">
        <v>117</v>
      </c>
      <c r="BO1" s="35" t="s">
        <v>118</v>
      </c>
      <c r="BP1" s="35" t="s">
        <v>119</v>
      </c>
      <c r="BQ1" s="35" t="s">
        <v>120</v>
      </c>
      <c r="BR1" s="35" t="s">
        <v>121</v>
      </c>
      <c r="BS1" s="35" t="s">
        <v>122</v>
      </c>
      <c r="BT1" s="35" t="s">
        <v>123</v>
      </c>
      <c r="BU1" s="35" t="s">
        <v>124</v>
      </c>
      <c r="BV1" s="35" t="s">
        <v>125</v>
      </c>
      <c r="BW1" s="35" t="s">
        <v>126</v>
      </c>
      <c r="BX1" s="35" t="s">
        <v>127</v>
      </c>
      <c r="BY1" s="35" t="s">
        <v>128</v>
      </c>
      <c r="BZ1" s="35" t="s">
        <v>129</v>
      </c>
      <c r="CA1" s="35" t="s">
        <v>130</v>
      </c>
      <c r="CB1" s="35" t="s">
        <v>131</v>
      </c>
      <c r="CC1" s="35" t="s">
        <v>132</v>
      </c>
      <c r="CD1" s="35" t="s">
        <v>133</v>
      </c>
      <c r="CE1" s="35" t="s">
        <v>134</v>
      </c>
      <c r="CF1" s="35" t="s">
        <v>135</v>
      </c>
      <c r="CG1" s="35" t="s">
        <v>136</v>
      </c>
      <c r="CH1" s="36">
        <v>45430</v>
      </c>
      <c r="CI1" s="36">
        <v>45431</v>
      </c>
      <c r="CJ1" s="36">
        <v>45432</v>
      </c>
      <c r="CK1" s="36">
        <v>45433</v>
      </c>
      <c r="CL1" s="36">
        <v>45434</v>
      </c>
      <c r="CM1" s="36">
        <v>45435</v>
      </c>
      <c r="CN1" s="36">
        <v>45436</v>
      </c>
      <c r="CO1" s="36">
        <v>45437</v>
      </c>
      <c r="CP1" s="36">
        <v>45438</v>
      </c>
      <c r="CQ1" s="36">
        <v>45439</v>
      </c>
      <c r="CR1" s="36">
        <v>45440</v>
      </c>
      <c r="CS1" s="36">
        <v>45441</v>
      </c>
      <c r="CT1" s="36">
        <v>45442</v>
      </c>
      <c r="CU1" s="36">
        <v>45443</v>
      </c>
      <c r="CV1" s="36">
        <v>45444</v>
      </c>
      <c r="CW1" s="36">
        <v>45445</v>
      </c>
      <c r="CX1" s="36">
        <v>45446</v>
      </c>
      <c r="CY1" s="36">
        <v>45447</v>
      </c>
      <c r="CZ1" s="36">
        <v>45448</v>
      </c>
      <c r="DA1" s="36">
        <v>45449</v>
      </c>
      <c r="DB1" s="36">
        <v>45450</v>
      </c>
      <c r="DC1" s="36">
        <v>45451</v>
      </c>
      <c r="DD1" s="36">
        <v>45452</v>
      </c>
      <c r="DE1" s="36">
        <v>45453</v>
      </c>
      <c r="DF1" s="36">
        <v>45454</v>
      </c>
      <c r="DG1" s="36">
        <v>45455</v>
      </c>
      <c r="DH1" s="36">
        <v>45456</v>
      </c>
      <c r="DI1" s="36">
        <v>45457</v>
      </c>
      <c r="DJ1" s="36">
        <v>45458</v>
      </c>
      <c r="DK1" s="36">
        <v>45459</v>
      </c>
      <c r="DL1" s="36">
        <v>45460</v>
      </c>
      <c r="DM1" s="36">
        <v>45461</v>
      </c>
      <c r="DN1" s="36">
        <v>45462</v>
      </c>
      <c r="DO1" s="36">
        <v>45463</v>
      </c>
      <c r="DP1" s="36">
        <v>45464</v>
      </c>
      <c r="DQ1" s="36">
        <v>45465</v>
      </c>
      <c r="DR1" s="36">
        <v>45466</v>
      </c>
      <c r="DS1" s="36">
        <v>45467</v>
      </c>
      <c r="DT1" s="36">
        <v>45468</v>
      </c>
      <c r="DU1" s="36">
        <v>45469</v>
      </c>
      <c r="DV1" s="36">
        <v>45470</v>
      </c>
      <c r="DW1" s="36">
        <v>45471</v>
      </c>
      <c r="DX1" s="36">
        <v>45472</v>
      </c>
      <c r="DY1" s="36">
        <v>45473</v>
      </c>
      <c r="DZ1" s="36">
        <v>45474</v>
      </c>
      <c r="EA1" s="36">
        <v>45475</v>
      </c>
      <c r="EB1" s="36">
        <v>45476</v>
      </c>
      <c r="EC1" s="36">
        <v>45477</v>
      </c>
      <c r="ED1" s="36">
        <v>45478</v>
      </c>
      <c r="EE1" s="36">
        <v>45479</v>
      </c>
      <c r="EF1" s="36">
        <v>45480</v>
      </c>
      <c r="EG1" s="36">
        <v>45481</v>
      </c>
      <c r="EH1" s="36">
        <v>45482</v>
      </c>
      <c r="EI1" s="36">
        <v>45483</v>
      </c>
      <c r="EJ1" s="36">
        <v>45484</v>
      </c>
      <c r="EK1" s="36">
        <v>45485</v>
      </c>
      <c r="EL1" s="36">
        <v>45486</v>
      </c>
      <c r="EM1" s="36">
        <v>45487</v>
      </c>
      <c r="EN1" s="36">
        <v>45488</v>
      </c>
      <c r="EO1" s="36">
        <v>45489</v>
      </c>
      <c r="EP1" s="36">
        <v>45490</v>
      </c>
      <c r="EQ1" s="36">
        <v>45491</v>
      </c>
      <c r="ER1" s="36">
        <v>45492</v>
      </c>
      <c r="ES1" s="36">
        <v>45493</v>
      </c>
      <c r="ET1" s="36">
        <v>45494</v>
      </c>
      <c r="EU1" s="36">
        <v>45495</v>
      </c>
      <c r="EV1" s="36">
        <v>45496</v>
      </c>
      <c r="EW1" s="36">
        <v>45497</v>
      </c>
      <c r="EX1" s="36">
        <v>45498</v>
      </c>
      <c r="EY1" s="36">
        <v>45499</v>
      </c>
      <c r="EZ1" s="36">
        <v>45500</v>
      </c>
      <c r="FA1" s="36">
        <v>45501</v>
      </c>
      <c r="FB1" s="36">
        <v>45502</v>
      </c>
      <c r="FC1" s="36">
        <v>45503</v>
      </c>
      <c r="FD1" s="36">
        <v>45504</v>
      </c>
      <c r="FE1" s="36">
        <v>45505</v>
      </c>
      <c r="FF1" s="36">
        <v>45506</v>
      </c>
      <c r="FG1" s="36">
        <v>45507</v>
      </c>
      <c r="FH1" s="36">
        <v>45508</v>
      </c>
      <c r="FI1" s="36">
        <v>45509</v>
      </c>
      <c r="FJ1" s="36">
        <v>45510</v>
      </c>
      <c r="FK1" s="36">
        <v>45511</v>
      </c>
      <c r="FL1" s="36">
        <v>45512</v>
      </c>
      <c r="FM1" s="36">
        <v>45513</v>
      </c>
      <c r="FN1" s="36">
        <v>45514</v>
      </c>
      <c r="FO1" s="36">
        <v>45515</v>
      </c>
      <c r="FP1" s="36">
        <v>45516</v>
      </c>
      <c r="FQ1" s="36">
        <v>45517</v>
      </c>
      <c r="FR1" s="36">
        <v>45518</v>
      </c>
      <c r="FS1" s="36">
        <v>45519</v>
      </c>
      <c r="FT1" s="36">
        <v>45520</v>
      </c>
      <c r="FU1" s="36">
        <v>45521</v>
      </c>
      <c r="FV1" s="36">
        <v>45522</v>
      </c>
      <c r="FW1" s="36">
        <v>45523</v>
      </c>
      <c r="FX1" s="36">
        <v>45524</v>
      </c>
      <c r="FY1" s="36">
        <v>45525</v>
      </c>
      <c r="FZ1" s="36">
        <v>45526</v>
      </c>
      <c r="GA1" s="36">
        <v>45527</v>
      </c>
      <c r="GB1" s="36">
        <v>45528</v>
      </c>
      <c r="GC1" s="36">
        <v>45529</v>
      </c>
      <c r="GD1" s="36">
        <v>45530</v>
      </c>
      <c r="GE1" s="36">
        <v>45531</v>
      </c>
      <c r="GF1" s="36">
        <v>45532</v>
      </c>
      <c r="GG1" s="36">
        <v>45533</v>
      </c>
      <c r="GH1" s="36">
        <v>45534</v>
      </c>
      <c r="GI1" s="36">
        <v>45535</v>
      </c>
      <c r="GJ1" s="36">
        <v>45536</v>
      </c>
      <c r="GK1" s="36">
        <v>45537</v>
      </c>
      <c r="GL1" s="36">
        <v>45538</v>
      </c>
      <c r="GM1" s="36">
        <v>45539</v>
      </c>
      <c r="GN1" s="36">
        <v>45540</v>
      </c>
      <c r="GO1" s="36">
        <v>45541</v>
      </c>
      <c r="GP1" s="36">
        <v>45542</v>
      </c>
      <c r="GQ1" s="36">
        <v>45543</v>
      </c>
      <c r="GR1" s="36">
        <v>45544</v>
      </c>
      <c r="GS1" s="36">
        <v>45545</v>
      </c>
      <c r="GT1" s="36">
        <v>45546</v>
      </c>
      <c r="GU1" s="36">
        <v>45547</v>
      </c>
      <c r="GV1" s="36">
        <v>45548</v>
      </c>
      <c r="GW1" s="36">
        <v>45549</v>
      </c>
      <c r="GX1" s="36">
        <v>45550</v>
      </c>
      <c r="GY1" s="36">
        <v>45551</v>
      </c>
      <c r="GZ1" s="36">
        <v>45552</v>
      </c>
      <c r="HA1" s="36">
        <v>45553</v>
      </c>
      <c r="HB1" s="36">
        <v>45554</v>
      </c>
      <c r="HC1" s="36">
        <v>45555</v>
      </c>
      <c r="HD1" s="36">
        <v>45556</v>
      </c>
      <c r="HE1" s="36">
        <v>45557</v>
      </c>
      <c r="HF1" s="36">
        <v>45558</v>
      </c>
      <c r="HG1" s="36">
        <v>45559</v>
      </c>
      <c r="HH1" s="36">
        <v>45560</v>
      </c>
      <c r="HI1" s="36">
        <v>45561</v>
      </c>
      <c r="HJ1" s="36">
        <v>45562</v>
      </c>
      <c r="HK1" s="36">
        <v>45563</v>
      </c>
      <c r="HL1" s="36">
        <v>45564</v>
      </c>
      <c r="HM1" s="36">
        <v>45565</v>
      </c>
      <c r="HN1" s="36">
        <v>45566</v>
      </c>
      <c r="HO1" s="36">
        <v>45567</v>
      </c>
      <c r="HP1" s="36">
        <v>45568</v>
      </c>
      <c r="HQ1" s="36">
        <v>45569</v>
      </c>
      <c r="HR1" s="36">
        <v>45570</v>
      </c>
      <c r="HS1" s="36">
        <v>45571</v>
      </c>
      <c r="HT1" s="36">
        <v>45572</v>
      </c>
      <c r="HU1" s="36">
        <v>45573</v>
      </c>
      <c r="HV1" s="36">
        <v>45574</v>
      </c>
      <c r="HW1" s="36">
        <v>45575</v>
      </c>
      <c r="HX1" s="36">
        <v>45576</v>
      </c>
      <c r="HY1" s="36">
        <v>45577</v>
      </c>
      <c r="HZ1" s="36">
        <v>45578</v>
      </c>
      <c r="IA1" s="36">
        <v>45579</v>
      </c>
      <c r="IB1" s="36">
        <v>45580</v>
      </c>
      <c r="IC1" s="36">
        <v>45581</v>
      </c>
      <c r="ID1" s="36">
        <v>45582</v>
      </c>
      <c r="IE1" s="36">
        <v>45583</v>
      </c>
      <c r="IF1" s="36">
        <v>45584</v>
      </c>
      <c r="IG1" s="36">
        <v>45585</v>
      </c>
      <c r="IH1" s="36">
        <v>45586</v>
      </c>
      <c r="II1" s="36">
        <v>45587</v>
      </c>
      <c r="IJ1" s="36">
        <v>45588</v>
      </c>
      <c r="IK1" s="36">
        <v>45589</v>
      </c>
      <c r="IL1" s="36">
        <v>45590</v>
      </c>
      <c r="IM1" s="36">
        <v>45591</v>
      </c>
      <c r="IN1" s="36">
        <v>45592</v>
      </c>
      <c r="IO1" s="36">
        <v>45593</v>
      </c>
      <c r="IP1" s="36">
        <v>45594</v>
      </c>
      <c r="IQ1" s="36">
        <v>45595</v>
      </c>
      <c r="IR1" s="36">
        <v>45596</v>
      </c>
      <c r="IS1" s="36">
        <v>45597</v>
      </c>
      <c r="IT1" s="36">
        <v>45598</v>
      </c>
      <c r="IU1" s="36">
        <v>45599</v>
      </c>
      <c r="IV1" s="36">
        <v>45600</v>
      </c>
      <c r="IW1" s="36">
        <v>45601</v>
      </c>
      <c r="IX1" s="36">
        <v>45602</v>
      </c>
      <c r="IY1" s="36">
        <v>45603</v>
      </c>
      <c r="IZ1" s="36">
        <v>45604</v>
      </c>
      <c r="JA1" s="36">
        <v>45605</v>
      </c>
      <c r="JB1" s="36">
        <v>45606</v>
      </c>
      <c r="JC1" s="36">
        <v>45607</v>
      </c>
      <c r="JD1" s="36">
        <v>45608</v>
      </c>
      <c r="JE1" s="36">
        <v>45609</v>
      </c>
      <c r="JF1" s="36">
        <v>45610</v>
      </c>
      <c r="JG1" s="36">
        <v>45611</v>
      </c>
      <c r="JH1" s="36">
        <v>45612</v>
      </c>
      <c r="JI1" s="36">
        <v>45613</v>
      </c>
      <c r="JJ1" s="36">
        <v>45614</v>
      </c>
      <c r="JK1" s="36">
        <v>45615</v>
      </c>
      <c r="JL1" s="36">
        <v>45616</v>
      </c>
      <c r="JM1" s="36">
        <v>45617</v>
      </c>
      <c r="JN1" s="36">
        <v>45618</v>
      </c>
      <c r="JO1" s="36">
        <v>45619</v>
      </c>
      <c r="JP1" s="36">
        <v>45620</v>
      </c>
      <c r="JQ1" s="36">
        <v>45621</v>
      </c>
      <c r="JR1" s="36">
        <v>45622</v>
      </c>
      <c r="JS1" s="36">
        <v>45623</v>
      </c>
      <c r="JT1" s="36">
        <v>45624</v>
      </c>
      <c r="JU1" s="36">
        <v>45625</v>
      </c>
      <c r="JV1" s="36">
        <v>45626</v>
      </c>
      <c r="JW1" s="36">
        <v>45627</v>
      </c>
      <c r="JX1" s="36">
        <v>45628</v>
      </c>
      <c r="JY1" s="36">
        <v>45629</v>
      </c>
      <c r="JZ1" s="36">
        <v>45630</v>
      </c>
      <c r="KA1" s="36">
        <v>45631</v>
      </c>
      <c r="KB1" s="36">
        <v>45632</v>
      </c>
      <c r="KC1" s="36">
        <v>45633</v>
      </c>
      <c r="KD1" s="36">
        <v>45634</v>
      </c>
      <c r="KE1" s="36">
        <v>45635</v>
      </c>
      <c r="KF1" s="36">
        <v>45636</v>
      </c>
      <c r="KG1" s="36">
        <v>45637</v>
      </c>
      <c r="KH1" s="36">
        <v>45638</v>
      </c>
      <c r="KI1" s="36">
        <v>45639</v>
      </c>
      <c r="KJ1" s="36">
        <v>45640</v>
      </c>
      <c r="KK1" s="36">
        <v>45641</v>
      </c>
      <c r="KL1" s="36">
        <v>45642</v>
      </c>
      <c r="KM1" s="36">
        <v>45643</v>
      </c>
      <c r="KN1" s="36">
        <v>45644</v>
      </c>
      <c r="KO1" s="36">
        <v>45645</v>
      </c>
      <c r="KP1" s="36">
        <v>45646</v>
      </c>
      <c r="KQ1" s="36">
        <v>45647</v>
      </c>
      <c r="KR1" s="36">
        <v>45648</v>
      </c>
      <c r="KS1" s="36">
        <v>45649</v>
      </c>
      <c r="KT1" s="36">
        <v>45650</v>
      </c>
      <c r="KU1" s="36">
        <v>45651</v>
      </c>
      <c r="KV1" s="36">
        <v>45652</v>
      </c>
      <c r="KW1" s="36">
        <v>45653</v>
      </c>
      <c r="KX1" s="36">
        <v>45654</v>
      </c>
      <c r="KY1" s="36">
        <v>45655</v>
      </c>
      <c r="KZ1" s="36">
        <v>45656</v>
      </c>
      <c r="LA1" s="36">
        <v>45657</v>
      </c>
      <c r="LB1" s="86"/>
      <c r="LC1" s="86"/>
      <c r="LD1" s="86"/>
      <c r="LE1" s="86"/>
      <c r="LF1" s="86"/>
    </row>
    <row r="2" spans="1:463" s="40" customFormat="1">
      <c r="A2" s="38" t="s">
        <v>137</v>
      </c>
      <c r="B2" s="39"/>
      <c r="C2" s="39"/>
      <c r="D2" s="39"/>
      <c r="E2" s="39"/>
      <c r="F2" s="39"/>
      <c r="G2" s="39"/>
      <c r="H2" s="39"/>
      <c r="I2" s="45"/>
      <c r="J2" s="45"/>
      <c r="K2" s="39"/>
      <c r="L2" s="39"/>
      <c r="M2" s="39"/>
      <c r="N2" s="39"/>
      <c r="O2" s="39"/>
      <c r="P2" s="45"/>
      <c r="Q2" s="45"/>
      <c r="R2" s="39"/>
      <c r="S2" s="39"/>
      <c r="T2" s="39"/>
      <c r="U2" s="39"/>
      <c r="V2" s="39"/>
      <c r="W2" s="45"/>
      <c r="X2" s="45"/>
      <c r="AD2" s="45"/>
      <c r="AE2" s="45"/>
      <c r="AJ2" s="46"/>
      <c r="AK2" s="45"/>
      <c r="AL2" s="45"/>
      <c r="AM2" s="46"/>
      <c r="AR2" s="46"/>
      <c r="AS2" s="46"/>
      <c r="AY2" s="46"/>
      <c r="AZ2" s="46"/>
      <c r="BF2" s="46"/>
      <c r="BG2" s="46"/>
      <c r="BM2" s="46"/>
      <c r="BN2" s="46"/>
      <c r="BT2" s="46"/>
      <c r="BU2" s="46"/>
      <c r="BV2" s="46"/>
      <c r="CA2" s="46"/>
      <c r="CB2" s="46"/>
      <c r="CH2" s="47"/>
      <c r="CI2" s="47"/>
      <c r="CJ2" s="41"/>
      <c r="CK2" s="41"/>
      <c r="CL2" s="41"/>
      <c r="CM2" s="41"/>
      <c r="CN2" s="41"/>
      <c r="CO2" s="47"/>
      <c r="CP2" s="47"/>
      <c r="CQ2" s="47"/>
      <c r="CR2" s="41"/>
      <c r="CS2" s="41"/>
      <c r="CT2" s="41"/>
      <c r="CU2" s="41"/>
      <c r="CV2" s="47"/>
      <c r="CW2" s="47"/>
      <c r="CX2" s="41"/>
      <c r="CY2" s="41"/>
      <c r="CZ2" s="41"/>
      <c r="DA2" s="41"/>
      <c r="DB2" s="41"/>
      <c r="DC2" s="47"/>
      <c r="DD2" s="47"/>
      <c r="DJ2" s="24"/>
      <c r="DK2" s="24"/>
      <c r="DQ2" s="24"/>
      <c r="DR2" s="24"/>
      <c r="DX2" s="24"/>
      <c r="DY2" s="24"/>
      <c r="LB2" s="86"/>
      <c r="LC2" s="86"/>
      <c r="LD2" s="86"/>
      <c r="LE2" s="86"/>
      <c r="LF2" s="86"/>
    </row>
    <row r="3" spans="1:463">
      <c r="A3" s="48" t="s">
        <v>138</v>
      </c>
      <c r="B3" s="48" t="s">
        <v>18</v>
      </c>
      <c r="C3" s="48" t="s">
        <v>139</v>
      </c>
      <c r="D3" s="8" t="s">
        <v>18</v>
      </c>
      <c r="E3" s="8" t="s">
        <v>18</v>
      </c>
      <c r="F3" s="8" t="s">
        <v>18</v>
      </c>
      <c r="G3" s="8" t="s">
        <v>18</v>
      </c>
      <c r="H3" s="8" t="s">
        <v>18</v>
      </c>
      <c r="I3" s="7"/>
      <c r="J3" s="7"/>
      <c r="K3" s="8" t="s">
        <v>18</v>
      </c>
      <c r="L3" s="8" t="s">
        <v>18</v>
      </c>
      <c r="M3" s="8" t="s">
        <v>18</v>
      </c>
      <c r="N3" s="8" t="s">
        <v>18</v>
      </c>
      <c r="O3" s="8" t="s">
        <v>18</v>
      </c>
      <c r="P3" s="7"/>
      <c r="Q3" s="7"/>
      <c r="R3" s="13" t="s">
        <v>140</v>
      </c>
      <c r="S3" s="13" t="s">
        <v>140</v>
      </c>
      <c r="T3" s="8" t="s">
        <v>18</v>
      </c>
      <c r="U3" s="8" t="s">
        <v>18</v>
      </c>
      <c r="V3" s="8" t="s">
        <v>18</v>
      </c>
      <c r="W3" s="7"/>
      <c r="X3" s="7"/>
      <c r="Y3" s="8" t="s">
        <v>18</v>
      </c>
      <c r="Z3" s="8" t="s">
        <v>18</v>
      </c>
      <c r="AA3" s="8" t="s">
        <v>18</v>
      </c>
      <c r="AB3" s="8" t="s">
        <v>18</v>
      </c>
      <c r="AC3" s="8" t="s">
        <v>18</v>
      </c>
      <c r="AD3" s="7"/>
      <c r="AE3" s="7"/>
      <c r="AF3" s="8" t="s">
        <v>18</v>
      </c>
      <c r="AG3" s="8" t="s">
        <v>18</v>
      </c>
      <c r="AH3" s="8" t="s">
        <v>18</v>
      </c>
      <c r="AI3" s="11" t="s">
        <v>141</v>
      </c>
      <c r="AJ3" s="7" t="s">
        <v>142</v>
      </c>
      <c r="AK3" s="7"/>
      <c r="AL3" s="7"/>
      <c r="AM3" s="7" t="s">
        <v>142</v>
      </c>
      <c r="AN3" s="8" t="s">
        <v>143</v>
      </c>
      <c r="AO3" s="8" t="s">
        <v>143</v>
      </c>
      <c r="AP3" s="8" t="s">
        <v>143</v>
      </c>
      <c r="AQ3" s="8" t="s">
        <v>143</v>
      </c>
      <c r="AR3" s="7"/>
      <c r="AS3" s="7"/>
      <c r="AT3" s="8" t="s">
        <v>143</v>
      </c>
      <c r="AU3" s="8" t="s">
        <v>143</v>
      </c>
      <c r="AV3" s="8" t="s">
        <v>143</v>
      </c>
      <c r="AW3" s="8" t="s">
        <v>143</v>
      </c>
      <c r="AX3" s="8" t="s">
        <v>143</v>
      </c>
      <c r="AY3" s="7"/>
      <c r="AZ3" s="7"/>
      <c r="BA3" s="8" t="s">
        <v>143</v>
      </c>
      <c r="BB3" s="8" t="s">
        <v>143</v>
      </c>
      <c r="BC3" s="8" t="s">
        <v>143</v>
      </c>
      <c r="BD3" s="8" t="s">
        <v>143</v>
      </c>
      <c r="BE3" s="11" t="s">
        <v>144</v>
      </c>
      <c r="BF3" s="7"/>
      <c r="BG3" s="7"/>
      <c r="BH3" s="8" t="s">
        <v>143</v>
      </c>
      <c r="BI3" s="8" t="s">
        <v>143</v>
      </c>
      <c r="BJ3" s="8" t="s">
        <v>143</v>
      </c>
      <c r="BK3" s="8" t="s">
        <v>143</v>
      </c>
      <c r="BL3" s="8" t="s">
        <v>143</v>
      </c>
      <c r="BM3" s="7"/>
      <c r="BN3" s="7"/>
      <c r="BO3" s="8" t="s">
        <v>143</v>
      </c>
      <c r="BP3" s="8" t="s">
        <v>143</v>
      </c>
      <c r="BQ3" s="8" t="s">
        <v>143</v>
      </c>
      <c r="BR3" s="8" t="s">
        <v>143</v>
      </c>
      <c r="BS3" s="8" t="s">
        <v>143</v>
      </c>
      <c r="BT3" s="7"/>
      <c r="BU3" s="7"/>
      <c r="BV3" s="7" t="s">
        <v>142</v>
      </c>
      <c r="BW3" s="8" t="s">
        <v>143</v>
      </c>
      <c r="BX3" s="8" t="s">
        <v>143</v>
      </c>
      <c r="BY3" s="8" t="s">
        <v>143</v>
      </c>
      <c r="BZ3" s="8" t="s">
        <v>143</v>
      </c>
      <c r="CA3" s="7"/>
      <c r="CB3" s="7"/>
      <c r="CC3" s="8" t="s">
        <v>143</v>
      </c>
      <c r="CD3" s="8" t="s">
        <v>143</v>
      </c>
      <c r="CE3" s="8" t="s">
        <v>143</v>
      </c>
      <c r="CF3" s="8" t="s">
        <v>143</v>
      </c>
      <c r="CG3" s="8" t="s">
        <v>143</v>
      </c>
      <c r="CH3" s="3"/>
      <c r="CI3" s="3"/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3"/>
      <c r="CP3" s="3"/>
      <c r="CQ3" s="3"/>
      <c r="CR3" s="11" t="s">
        <v>141</v>
      </c>
      <c r="CS3" s="2" t="s">
        <v>143</v>
      </c>
      <c r="CT3" s="2" t="s">
        <v>143</v>
      </c>
      <c r="CU3" s="2" t="s">
        <v>143</v>
      </c>
      <c r="CV3" s="3"/>
      <c r="CW3" s="3"/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3"/>
      <c r="DD3" s="3"/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4"/>
      <c r="DK3" s="24"/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4"/>
      <c r="DR3" s="24"/>
      <c r="DS3" s="2" t="s">
        <v>143</v>
      </c>
      <c r="DT3" s="2" t="s">
        <v>143</v>
      </c>
      <c r="DU3" s="2" t="s">
        <v>143</v>
      </c>
      <c r="DV3" s="2" t="s">
        <v>143</v>
      </c>
      <c r="DW3" s="11" t="s">
        <v>141</v>
      </c>
      <c r="DX3" s="24"/>
      <c r="DY3" s="24"/>
      <c r="DZ3" s="11" t="s">
        <v>141</v>
      </c>
      <c r="EA3" s="11" t="s">
        <v>141</v>
      </c>
      <c r="EB3" s="11" t="s">
        <v>141</v>
      </c>
      <c r="EC3" s="11" t="s">
        <v>141</v>
      </c>
      <c r="ED3" s="11" t="s">
        <v>141</v>
      </c>
      <c r="EE3" s="24"/>
      <c r="EF3" s="24"/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4"/>
      <c r="EM3" s="24"/>
      <c r="EN3" s="2" t="s">
        <v>143</v>
      </c>
      <c r="EO3" s="2" t="s">
        <v>143</v>
      </c>
      <c r="EP3" s="2" t="s">
        <v>143</v>
      </c>
      <c r="EQ3" s="2" t="s">
        <v>143</v>
      </c>
      <c r="ER3" s="2" t="s">
        <v>143</v>
      </c>
      <c r="ES3" s="24"/>
      <c r="ET3" s="24"/>
      <c r="EU3" s="11" t="s">
        <v>141</v>
      </c>
      <c r="EV3" s="2" t="s">
        <v>143</v>
      </c>
      <c r="EW3" s="2" t="s">
        <v>143</v>
      </c>
      <c r="EX3" s="2" t="s">
        <v>143</v>
      </c>
      <c r="EY3" s="2" t="s">
        <v>143</v>
      </c>
      <c r="EZ3" s="24"/>
      <c r="FA3" s="24"/>
      <c r="FB3" s="11" t="s">
        <v>141</v>
      </c>
      <c r="FC3" s="2" t="s">
        <v>143</v>
      </c>
      <c r="FD3" s="2" t="s">
        <v>143</v>
      </c>
      <c r="FE3" s="2" t="s">
        <v>143</v>
      </c>
      <c r="FF3" s="2" t="s">
        <v>143</v>
      </c>
      <c r="FG3" s="24"/>
      <c r="FH3" s="24"/>
      <c r="FI3" s="11" t="s">
        <v>141</v>
      </c>
      <c r="FJ3" s="2" t="s">
        <v>143</v>
      </c>
      <c r="FK3" s="2" t="s">
        <v>143</v>
      </c>
      <c r="FL3" s="2" t="s">
        <v>143</v>
      </c>
      <c r="FM3" s="2" t="s">
        <v>143</v>
      </c>
      <c r="FN3" s="24"/>
      <c r="FO3" s="24"/>
      <c r="FP3" s="11" t="s">
        <v>141</v>
      </c>
      <c r="FQ3" s="11" t="s">
        <v>141</v>
      </c>
      <c r="FR3" s="11" t="s">
        <v>141</v>
      </c>
      <c r="FS3" s="2" t="s">
        <v>143</v>
      </c>
      <c r="FT3" s="2" t="s">
        <v>143</v>
      </c>
      <c r="FU3" s="24"/>
      <c r="FV3" s="24"/>
      <c r="FW3" s="11" t="s">
        <v>141</v>
      </c>
      <c r="FX3" s="2" t="s">
        <v>143</v>
      </c>
      <c r="FY3" s="2" t="s">
        <v>143</v>
      </c>
      <c r="FZ3" s="2" t="s">
        <v>143</v>
      </c>
      <c r="GA3" s="2" t="s">
        <v>143</v>
      </c>
      <c r="GB3" s="24"/>
      <c r="GC3" s="24"/>
      <c r="GD3" s="24"/>
      <c r="GE3" s="2" t="s">
        <v>143</v>
      </c>
      <c r="GF3" s="2" t="s">
        <v>143</v>
      </c>
      <c r="GG3" s="2" t="s">
        <v>143</v>
      </c>
      <c r="GH3" s="11" t="s">
        <v>141</v>
      </c>
      <c r="GI3" s="24"/>
      <c r="GJ3" s="24"/>
      <c r="GK3" s="2" t="s">
        <v>143</v>
      </c>
      <c r="GL3" s="2" t="s">
        <v>143</v>
      </c>
      <c r="GM3" s="2" t="s">
        <v>143</v>
      </c>
      <c r="GN3" s="2" t="s">
        <v>143</v>
      </c>
      <c r="GO3" s="2" t="s">
        <v>143</v>
      </c>
      <c r="GP3" s="24"/>
      <c r="GQ3" s="24"/>
      <c r="GR3" s="2" t="s">
        <v>143</v>
      </c>
      <c r="GS3" s="2" t="s">
        <v>143</v>
      </c>
      <c r="GT3" s="2" t="s">
        <v>143</v>
      </c>
      <c r="GU3" s="2" t="s">
        <v>143</v>
      </c>
      <c r="GV3" s="2" t="s">
        <v>143</v>
      </c>
      <c r="GW3" s="24"/>
      <c r="GX3" s="24"/>
      <c r="GY3" s="2" t="s">
        <v>143</v>
      </c>
      <c r="GZ3" s="2" t="s">
        <v>143</v>
      </c>
      <c r="HA3" s="2" t="s">
        <v>143</v>
      </c>
      <c r="HB3" s="2" t="s">
        <v>143</v>
      </c>
      <c r="HC3" s="2" t="s">
        <v>143</v>
      </c>
      <c r="HD3" s="24"/>
      <c r="HE3" s="24"/>
      <c r="HF3" s="2" t="s">
        <v>143</v>
      </c>
      <c r="HG3" s="2" t="s">
        <v>143</v>
      </c>
      <c r="HH3" s="2" t="s">
        <v>143</v>
      </c>
      <c r="HI3" s="2" t="s">
        <v>143</v>
      </c>
      <c r="HJ3" s="2" t="s">
        <v>143</v>
      </c>
      <c r="HK3" s="24"/>
      <c r="HL3" s="24"/>
      <c r="HM3" s="2" t="s">
        <v>143</v>
      </c>
      <c r="HN3" s="2" t="s">
        <v>143</v>
      </c>
      <c r="HO3" s="2" t="s">
        <v>143</v>
      </c>
      <c r="HP3" s="2" t="s">
        <v>143</v>
      </c>
      <c r="HQ3" s="2" t="s">
        <v>143</v>
      </c>
      <c r="HR3" s="24"/>
      <c r="HS3" s="24"/>
      <c r="HT3" s="2" t="s">
        <v>143</v>
      </c>
      <c r="HU3" s="2" t="s">
        <v>143</v>
      </c>
      <c r="HV3" s="2" t="s">
        <v>143</v>
      </c>
      <c r="HW3" s="2" t="s">
        <v>143</v>
      </c>
      <c r="HX3" s="2" t="s">
        <v>143</v>
      </c>
      <c r="HY3" s="24"/>
      <c r="HZ3" s="24"/>
      <c r="IA3" s="2" t="s">
        <v>143</v>
      </c>
      <c r="IB3" s="2" t="s">
        <v>143</v>
      </c>
      <c r="IC3" s="2" t="s">
        <v>143</v>
      </c>
      <c r="ID3" s="2" t="s">
        <v>143</v>
      </c>
      <c r="IE3" s="2" t="s">
        <v>143</v>
      </c>
      <c r="IF3" s="24"/>
      <c r="IG3" s="24"/>
      <c r="IH3" s="2" t="s">
        <v>143</v>
      </c>
      <c r="II3" s="2" t="s">
        <v>143</v>
      </c>
      <c r="IJ3" s="2" t="s">
        <v>143</v>
      </c>
      <c r="IK3" s="2" t="s">
        <v>143</v>
      </c>
      <c r="IL3" s="11" t="s">
        <v>141</v>
      </c>
      <c r="IM3" s="24"/>
      <c r="IN3" s="24"/>
      <c r="IO3" s="2" t="s">
        <v>143</v>
      </c>
      <c r="IP3" s="2" t="s">
        <v>143</v>
      </c>
      <c r="IQ3" s="2" t="s">
        <v>143</v>
      </c>
      <c r="IR3" s="2" t="s">
        <v>143</v>
      </c>
      <c r="IS3" s="2" t="s">
        <v>143</v>
      </c>
      <c r="IT3" s="24"/>
      <c r="IU3" s="24"/>
      <c r="IV3" s="2" t="s">
        <v>143</v>
      </c>
      <c r="IW3" s="2" t="s">
        <v>143</v>
      </c>
      <c r="IX3" s="2" t="s">
        <v>143</v>
      </c>
      <c r="IY3" s="2" t="s">
        <v>143</v>
      </c>
      <c r="IZ3" s="2" t="s">
        <v>143</v>
      </c>
      <c r="JA3" s="24"/>
      <c r="JB3" s="24"/>
      <c r="JC3" s="2" t="s">
        <v>143</v>
      </c>
      <c r="JD3" s="2" t="s">
        <v>143</v>
      </c>
      <c r="JE3" s="2" t="s">
        <v>143</v>
      </c>
      <c r="JF3" s="2" t="s">
        <v>143</v>
      </c>
      <c r="JG3" s="2" t="s">
        <v>143</v>
      </c>
      <c r="JH3" s="24"/>
      <c r="JI3" s="24"/>
      <c r="JJ3" s="2" t="s">
        <v>143</v>
      </c>
      <c r="JK3" s="2" t="s">
        <v>143</v>
      </c>
      <c r="JL3" s="2" t="s">
        <v>143</v>
      </c>
      <c r="JM3" s="2" t="s">
        <v>143</v>
      </c>
      <c r="JN3" s="2" t="s">
        <v>143</v>
      </c>
      <c r="JO3" s="24"/>
      <c r="JP3" s="24"/>
      <c r="JQ3" s="2" t="s">
        <v>143</v>
      </c>
      <c r="JR3" s="2" t="s">
        <v>143</v>
      </c>
      <c r="JS3" s="2" t="s">
        <v>143</v>
      </c>
      <c r="JT3" s="2" t="s">
        <v>143</v>
      </c>
      <c r="JU3" s="2" t="s">
        <v>143</v>
      </c>
      <c r="JV3" s="24"/>
      <c r="JW3" s="24"/>
      <c r="JX3" s="2" t="s">
        <v>143</v>
      </c>
      <c r="JY3" s="2" t="s">
        <v>143</v>
      </c>
      <c r="JZ3" s="2" t="s">
        <v>143</v>
      </c>
      <c r="KA3" s="2" t="s">
        <v>143</v>
      </c>
      <c r="KB3" s="2" t="s">
        <v>143</v>
      </c>
      <c r="KC3" s="24"/>
      <c r="KD3" s="24"/>
      <c r="KE3" s="2" t="s">
        <v>143</v>
      </c>
      <c r="KF3" s="2" t="s">
        <v>143</v>
      </c>
      <c r="KG3" s="2" t="s">
        <v>143</v>
      </c>
      <c r="KH3" s="2" t="s">
        <v>143</v>
      </c>
      <c r="KI3" s="2" t="s">
        <v>143</v>
      </c>
      <c r="KJ3" s="24"/>
      <c r="KK3" s="24"/>
      <c r="KL3" s="2" t="s">
        <v>143</v>
      </c>
      <c r="KM3" s="2" t="s">
        <v>143</v>
      </c>
      <c r="KN3" s="2" t="s">
        <v>143</v>
      </c>
      <c r="KO3" s="2" t="s">
        <v>143</v>
      </c>
      <c r="KP3" s="2" t="s">
        <v>143</v>
      </c>
      <c r="KQ3" s="24"/>
      <c r="KR3" s="24"/>
      <c r="KS3" s="2" t="s">
        <v>143</v>
      </c>
      <c r="KT3" s="11" t="s">
        <v>141</v>
      </c>
      <c r="KU3" s="24"/>
      <c r="KV3" s="24"/>
      <c r="KW3" s="11" t="s">
        <v>141</v>
      </c>
      <c r="KX3" s="24"/>
      <c r="KY3" s="24"/>
      <c r="KZ3" s="11" t="s">
        <v>141</v>
      </c>
      <c r="LA3" s="11" t="s">
        <v>141</v>
      </c>
      <c r="LB3" s="33"/>
      <c r="LC3" s="33"/>
      <c r="LD3" s="33"/>
      <c r="LE3" s="33"/>
      <c r="LF3" s="33"/>
      <c r="MW3" s="11" t="s">
        <v>141</v>
      </c>
      <c r="MX3" s="11" t="s">
        <v>141</v>
      </c>
      <c r="MY3" s="11" t="s">
        <v>141</v>
      </c>
      <c r="MZ3" s="11" t="s">
        <v>141</v>
      </c>
      <c r="NA3" s="11" t="s">
        <v>141</v>
      </c>
      <c r="QR3" s="11" t="s">
        <v>141</v>
      </c>
      <c r="QS3" s="11" t="s">
        <v>141</v>
      </c>
      <c r="QT3" s="11" t="s">
        <v>141</v>
      </c>
      <c r="QU3" s="11" t="s">
        <v>141</v>
      </c>
    </row>
    <row r="4" spans="1:463">
      <c r="A4" s="48" t="s">
        <v>145</v>
      </c>
      <c r="B4" s="48" t="s">
        <v>18</v>
      </c>
      <c r="C4" s="48" t="s">
        <v>139</v>
      </c>
      <c r="D4" s="13" t="s">
        <v>140</v>
      </c>
      <c r="E4" s="13" t="s">
        <v>140</v>
      </c>
      <c r="F4" s="8" t="s">
        <v>18</v>
      </c>
      <c r="G4" s="13" t="s">
        <v>146</v>
      </c>
      <c r="H4" s="8" t="s">
        <v>18</v>
      </c>
      <c r="I4" s="7"/>
      <c r="J4" s="7"/>
      <c r="K4" s="13" t="s">
        <v>140</v>
      </c>
      <c r="L4" s="13" t="s">
        <v>140</v>
      </c>
      <c r="M4" s="8" t="s">
        <v>18</v>
      </c>
      <c r="N4" s="13" t="s">
        <v>146</v>
      </c>
      <c r="O4" s="8" t="s">
        <v>18</v>
      </c>
      <c r="P4" s="7"/>
      <c r="Q4" s="7"/>
      <c r="R4" s="9" t="s">
        <v>147</v>
      </c>
      <c r="S4" s="9" t="s">
        <v>147</v>
      </c>
      <c r="T4" s="13" t="s">
        <v>140</v>
      </c>
      <c r="U4" s="13" t="s">
        <v>140</v>
      </c>
      <c r="V4" s="13" t="s">
        <v>140</v>
      </c>
      <c r="W4" s="7"/>
      <c r="X4" s="7"/>
      <c r="Y4" s="9" t="s">
        <v>147</v>
      </c>
      <c r="Z4" s="9" t="s">
        <v>147</v>
      </c>
      <c r="AA4" s="9" t="s">
        <v>147</v>
      </c>
      <c r="AB4" s="12" t="s">
        <v>140</v>
      </c>
      <c r="AC4" s="12" t="s">
        <v>140</v>
      </c>
      <c r="AD4" s="7"/>
      <c r="AE4" s="7"/>
      <c r="AF4" s="8" t="s">
        <v>18</v>
      </c>
      <c r="AG4" s="8" t="s">
        <v>18</v>
      </c>
      <c r="AH4" s="5" t="s">
        <v>147</v>
      </c>
      <c r="AI4" s="5" t="s">
        <v>147</v>
      </c>
      <c r="AJ4" s="7" t="s">
        <v>142</v>
      </c>
      <c r="AK4" s="7"/>
      <c r="AL4" s="7"/>
      <c r="AM4" s="7" t="s">
        <v>142</v>
      </c>
      <c r="AN4" s="5" t="s">
        <v>38</v>
      </c>
      <c r="AO4" s="5" t="s">
        <v>38</v>
      </c>
      <c r="AP4" s="11" t="s">
        <v>141</v>
      </c>
      <c r="AQ4" s="11" t="s">
        <v>141</v>
      </c>
      <c r="AR4" s="7"/>
      <c r="AS4" s="7"/>
      <c r="AT4" s="5" t="s">
        <v>38</v>
      </c>
      <c r="AU4" s="9" t="s">
        <v>38</v>
      </c>
      <c r="AV4" s="9" t="s">
        <v>38</v>
      </c>
      <c r="AW4" s="5" t="s">
        <v>38</v>
      </c>
      <c r="AX4" s="5" t="s">
        <v>38</v>
      </c>
      <c r="AY4" s="7"/>
      <c r="AZ4" s="7"/>
      <c r="BA4" s="5" t="s">
        <v>38</v>
      </c>
      <c r="BB4" s="8" t="s">
        <v>143</v>
      </c>
      <c r="BC4" s="5" t="s">
        <v>38</v>
      </c>
      <c r="BD4" s="5" t="s">
        <v>38</v>
      </c>
      <c r="BE4" s="5" t="s">
        <v>38</v>
      </c>
      <c r="BF4" s="7"/>
      <c r="BG4" s="7"/>
      <c r="BH4" s="5" t="s">
        <v>38</v>
      </c>
      <c r="BI4" s="8" t="s">
        <v>143</v>
      </c>
      <c r="BJ4" s="8" t="s">
        <v>143</v>
      </c>
      <c r="BK4" s="8" t="s">
        <v>143</v>
      </c>
      <c r="BL4" s="8" t="s">
        <v>143</v>
      </c>
      <c r="BM4" s="7"/>
      <c r="BN4" s="7"/>
      <c r="BO4" s="8" t="s">
        <v>143</v>
      </c>
      <c r="BP4" s="8" t="s">
        <v>143</v>
      </c>
      <c r="BQ4" s="8" t="s">
        <v>143</v>
      </c>
      <c r="BR4" s="8" t="s">
        <v>143</v>
      </c>
      <c r="BS4" s="8" t="s">
        <v>143</v>
      </c>
      <c r="BT4" s="7"/>
      <c r="BU4" s="7"/>
      <c r="BV4" s="7" t="s">
        <v>142</v>
      </c>
      <c r="BW4" s="8" t="s">
        <v>143</v>
      </c>
      <c r="BX4" s="8" t="s">
        <v>143</v>
      </c>
      <c r="BY4" s="8" t="s">
        <v>143</v>
      </c>
      <c r="BZ4" s="8" t="s">
        <v>143</v>
      </c>
      <c r="CA4" s="7"/>
      <c r="CB4" s="7"/>
      <c r="CC4" s="8" t="s">
        <v>143</v>
      </c>
      <c r="CD4" s="8" t="s">
        <v>143</v>
      </c>
      <c r="CE4" s="8" t="s">
        <v>143</v>
      </c>
      <c r="CF4" s="8" t="s">
        <v>143</v>
      </c>
      <c r="CG4" s="8" t="s">
        <v>143</v>
      </c>
      <c r="CH4" s="3"/>
      <c r="CI4" s="3"/>
      <c r="CJ4" s="2" t="s">
        <v>143</v>
      </c>
      <c r="CK4" s="2" t="s">
        <v>143</v>
      </c>
      <c r="CL4" s="5" t="s">
        <v>38</v>
      </c>
      <c r="CM4" s="2" t="s">
        <v>143</v>
      </c>
      <c r="CN4" s="2" t="s">
        <v>143</v>
      </c>
      <c r="CO4" s="3"/>
      <c r="CP4" s="3"/>
      <c r="CQ4" s="3"/>
      <c r="CR4" s="11" t="s">
        <v>141</v>
      </c>
      <c r="CS4" s="11" t="s">
        <v>141</v>
      </c>
      <c r="CT4" s="11" t="s">
        <v>141</v>
      </c>
      <c r="CU4" s="11" t="s">
        <v>141</v>
      </c>
      <c r="CV4" s="3"/>
      <c r="CW4" s="3"/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3"/>
      <c r="DD4" s="3"/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4"/>
      <c r="DK4" s="24"/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4"/>
      <c r="DR4" s="24"/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4"/>
      <c r="DY4" s="24"/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4"/>
      <c r="EF4" s="24"/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4"/>
      <c r="EM4" s="24"/>
      <c r="EN4" s="2" t="s">
        <v>143</v>
      </c>
      <c r="EO4" s="83" t="s">
        <v>38</v>
      </c>
      <c r="EP4" s="83" t="s">
        <v>38</v>
      </c>
      <c r="EQ4" s="2" t="s">
        <v>143</v>
      </c>
      <c r="ER4" s="2" t="s">
        <v>143</v>
      </c>
      <c r="ES4" s="24"/>
      <c r="ET4" s="24"/>
      <c r="EU4" s="11" t="s">
        <v>141</v>
      </c>
      <c r="EV4" s="83" t="s">
        <v>38</v>
      </c>
      <c r="EW4" s="11" t="s">
        <v>141</v>
      </c>
      <c r="EX4" s="11" t="s">
        <v>141</v>
      </c>
      <c r="EY4" s="11" t="s">
        <v>141</v>
      </c>
      <c r="EZ4" s="24"/>
      <c r="FA4" s="24"/>
      <c r="FB4" s="2" t="s">
        <v>143</v>
      </c>
      <c r="FC4" s="2" t="s">
        <v>143</v>
      </c>
      <c r="FD4" s="2" t="s">
        <v>143</v>
      </c>
      <c r="FE4" s="2" t="s">
        <v>143</v>
      </c>
      <c r="FF4" s="11" t="s">
        <v>141</v>
      </c>
      <c r="FG4" s="24"/>
      <c r="FH4" s="24"/>
      <c r="FI4" s="11" t="s">
        <v>148</v>
      </c>
      <c r="FJ4" s="11" t="s">
        <v>148</v>
      </c>
      <c r="FK4" s="2" t="s">
        <v>143</v>
      </c>
      <c r="FL4" s="2" t="s">
        <v>143</v>
      </c>
      <c r="FM4" s="2" t="s">
        <v>143</v>
      </c>
      <c r="FN4" s="24"/>
      <c r="FO4" s="24"/>
      <c r="FP4" s="2" t="s">
        <v>143</v>
      </c>
      <c r="FQ4" s="2" t="s">
        <v>143</v>
      </c>
      <c r="FR4" s="83" t="s">
        <v>38</v>
      </c>
      <c r="FS4" s="83" t="s">
        <v>38</v>
      </c>
      <c r="FT4" s="11" t="s">
        <v>141</v>
      </c>
      <c r="FU4" s="24"/>
      <c r="FV4" s="24"/>
      <c r="FW4" s="11" t="s">
        <v>141</v>
      </c>
      <c r="FX4" s="11" t="s">
        <v>141</v>
      </c>
      <c r="FY4" s="11" t="s">
        <v>141</v>
      </c>
      <c r="FZ4" s="11" t="s">
        <v>141</v>
      </c>
      <c r="GA4" s="11" t="s">
        <v>141</v>
      </c>
      <c r="GB4" s="24"/>
      <c r="GC4" s="24"/>
      <c r="GD4" s="24"/>
      <c r="GE4" s="2" t="s">
        <v>143</v>
      </c>
      <c r="GF4" s="2" t="s">
        <v>143</v>
      </c>
      <c r="GG4" s="2" t="s">
        <v>143</v>
      </c>
      <c r="GH4" s="2" t="s">
        <v>143</v>
      </c>
      <c r="GI4" s="24"/>
      <c r="GJ4" s="24"/>
      <c r="GK4" s="2" t="s">
        <v>143</v>
      </c>
      <c r="GL4" s="2" t="s">
        <v>143</v>
      </c>
      <c r="GM4" s="2" t="s">
        <v>143</v>
      </c>
      <c r="GN4" s="2" t="s">
        <v>143</v>
      </c>
      <c r="GO4" s="2" t="s">
        <v>143</v>
      </c>
      <c r="GP4" s="24"/>
      <c r="GQ4" s="24"/>
      <c r="GR4" s="2" t="s">
        <v>143</v>
      </c>
      <c r="GS4" s="2" t="s">
        <v>143</v>
      </c>
      <c r="GT4" s="2" t="s">
        <v>143</v>
      </c>
      <c r="GU4" s="2" t="s">
        <v>143</v>
      </c>
      <c r="GV4" s="2" t="s">
        <v>143</v>
      </c>
      <c r="GW4" s="24"/>
      <c r="GX4" s="24"/>
      <c r="GY4" s="2" t="s">
        <v>143</v>
      </c>
      <c r="GZ4" s="83" t="s">
        <v>38</v>
      </c>
      <c r="HA4" s="2" t="s">
        <v>143</v>
      </c>
      <c r="HB4" s="2" t="s">
        <v>143</v>
      </c>
      <c r="HC4" s="12" t="s">
        <v>140</v>
      </c>
      <c r="HD4" s="24"/>
      <c r="HE4" s="24"/>
      <c r="HF4" s="2" t="s">
        <v>143</v>
      </c>
      <c r="HG4" s="2" t="s">
        <v>143</v>
      </c>
      <c r="HH4" s="2" t="s">
        <v>143</v>
      </c>
      <c r="HI4" s="2" t="s">
        <v>143</v>
      </c>
      <c r="HJ4" s="2" t="s">
        <v>143</v>
      </c>
      <c r="HK4" s="24"/>
      <c r="HL4" s="24"/>
      <c r="HM4" s="2" t="s">
        <v>143</v>
      </c>
      <c r="HN4" s="2" t="s">
        <v>143</v>
      </c>
      <c r="HO4" s="2" t="s">
        <v>143</v>
      </c>
      <c r="HP4" s="2" t="s">
        <v>143</v>
      </c>
      <c r="HQ4" s="2" t="s">
        <v>143</v>
      </c>
      <c r="HR4" s="24"/>
      <c r="HS4" s="24"/>
      <c r="HT4" s="2" t="s">
        <v>143</v>
      </c>
      <c r="HU4" s="2" t="s">
        <v>143</v>
      </c>
      <c r="HV4" s="2" t="s">
        <v>143</v>
      </c>
      <c r="HW4" s="2" t="s">
        <v>143</v>
      </c>
      <c r="HX4" s="2" t="s">
        <v>143</v>
      </c>
      <c r="HY4" s="24"/>
      <c r="HZ4" s="24"/>
      <c r="IA4" s="2" t="s">
        <v>143</v>
      </c>
      <c r="IB4" s="2" t="s">
        <v>143</v>
      </c>
      <c r="IC4" s="10" t="s">
        <v>149</v>
      </c>
      <c r="ID4" s="2" t="s">
        <v>143</v>
      </c>
      <c r="IE4" s="2" t="s">
        <v>143</v>
      </c>
      <c r="IF4" s="24"/>
      <c r="IG4" s="24"/>
      <c r="IH4" s="2" t="s">
        <v>143</v>
      </c>
      <c r="II4" s="2" t="s">
        <v>143</v>
      </c>
      <c r="IJ4" s="2" t="s">
        <v>143</v>
      </c>
      <c r="IK4" s="2" t="s">
        <v>143</v>
      </c>
      <c r="IL4" s="2" t="s">
        <v>143</v>
      </c>
      <c r="IM4" s="24"/>
      <c r="IN4" s="24"/>
      <c r="IO4" s="2" t="s">
        <v>143</v>
      </c>
      <c r="IP4" s="2" t="s">
        <v>143</v>
      </c>
      <c r="IQ4" s="11" t="s">
        <v>141</v>
      </c>
      <c r="IR4" s="11" t="s">
        <v>141</v>
      </c>
      <c r="IS4" s="11" t="s">
        <v>141</v>
      </c>
      <c r="IT4" s="24"/>
      <c r="IU4" s="24"/>
      <c r="IV4" s="2" t="s">
        <v>143</v>
      </c>
      <c r="IW4" s="2" t="s">
        <v>143</v>
      </c>
      <c r="IX4" s="2" t="s">
        <v>143</v>
      </c>
      <c r="IY4" s="2" t="s">
        <v>143</v>
      </c>
      <c r="IZ4" s="2" t="s">
        <v>143</v>
      </c>
      <c r="JA4" s="24"/>
      <c r="JB4" s="24"/>
      <c r="JC4" s="2" t="s">
        <v>143</v>
      </c>
      <c r="JD4" s="2" t="s">
        <v>143</v>
      </c>
      <c r="JE4" s="80" t="s">
        <v>150</v>
      </c>
      <c r="JF4" s="80" t="s">
        <v>150</v>
      </c>
      <c r="JG4" s="80" t="s">
        <v>150</v>
      </c>
      <c r="JH4" s="24"/>
      <c r="JI4" s="24"/>
      <c r="JJ4" s="2" t="s">
        <v>143</v>
      </c>
      <c r="JK4" s="80" t="s">
        <v>150</v>
      </c>
      <c r="JL4" s="80" t="s">
        <v>150</v>
      </c>
      <c r="JM4" s="2" t="s">
        <v>143</v>
      </c>
      <c r="JN4" s="2" t="s">
        <v>143</v>
      </c>
      <c r="JO4" s="24"/>
      <c r="JP4" s="24"/>
      <c r="JQ4" s="80" t="s">
        <v>150</v>
      </c>
      <c r="JR4" s="2" t="s">
        <v>143</v>
      </c>
      <c r="JS4" s="2" t="s">
        <v>143</v>
      </c>
      <c r="JT4" s="11" t="s">
        <v>141</v>
      </c>
      <c r="JU4" s="11" t="s">
        <v>141</v>
      </c>
      <c r="JV4" s="24"/>
      <c r="JW4" s="24"/>
      <c r="JX4" s="11" t="s">
        <v>141</v>
      </c>
      <c r="JY4" s="80" t="s">
        <v>150</v>
      </c>
      <c r="JZ4" s="80" t="s">
        <v>150</v>
      </c>
      <c r="KA4" s="80" t="s">
        <v>150</v>
      </c>
      <c r="KB4" s="80" t="s">
        <v>150</v>
      </c>
      <c r="KC4" s="24"/>
      <c r="KD4" s="24"/>
      <c r="KE4" s="80" t="s">
        <v>151</v>
      </c>
      <c r="KF4" s="80" t="s">
        <v>151</v>
      </c>
      <c r="KG4" s="80" t="s">
        <v>151</v>
      </c>
      <c r="KH4" s="80" t="s">
        <v>151</v>
      </c>
      <c r="KI4" s="80" t="s">
        <v>151</v>
      </c>
      <c r="KJ4" s="24"/>
      <c r="KK4" s="24"/>
      <c r="KL4" s="80" t="s">
        <v>151</v>
      </c>
      <c r="KM4" s="80" t="s">
        <v>151</v>
      </c>
      <c r="KN4" s="80" t="s">
        <v>151</v>
      </c>
      <c r="KO4" s="80" t="s">
        <v>151</v>
      </c>
      <c r="KP4" s="2" t="s">
        <v>143</v>
      </c>
      <c r="KQ4" s="24" t="s">
        <v>152</v>
      </c>
      <c r="KR4" s="24" t="s">
        <v>152</v>
      </c>
      <c r="KS4" s="2" t="s">
        <v>143</v>
      </c>
      <c r="KT4" s="2" t="s">
        <v>143</v>
      </c>
      <c r="KU4" s="24"/>
      <c r="KV4" s="24" t="s">
        <v>153</v>
      </c>
      <c r="KW4" s="11" t="s">
        <v>141</v>
      </c>
      <c r="KX4" s="24"/>
      <c r="KY4" s="24"/>
      <c r="KZ4" s="2" t="s">
        <v>143</v>
      </c>
      <c r="LA4" s="2" t="s">
        <v>143</v>
      </c>
      <c r="LB4" s="33"/>
      <c r="LC4" s="33"/>
      <c r="LD4" s="33"/>
      <c r="LE4" s="33"/>
      <c r="LF4" s="33"/>
    </row>
    <row r="5" spans="1:463">
      <c r="A5" s="48" t="s">
        <v>154</v>
      </c>
      <c r="B5" s="48" t="s">
        <v>18</v>
      </c>
      <c r="C5" s="48" t="s">
        <v>155</v>
      </c>
      <c r="D5" s="9" t="s">
        <v>156</v>
      </c>
      <c r="E5" s="9" t="s">
        <v>156</v>
      </c>
      <c r="F5" s="9" t="s">
        <v>156</v>
      </c>
      <c r="G5" s="9" t="s">
        <v>156</v>
      </c>
      <c r="H5" s="11" t="s">
        <v>141</v>
      </c>
      <c r="I5" s="7"/>
      <c r="J5" s="7"/>
      <c r="K5" s="11" t="s">
        <v>141</v>
      </c>
      <c r="L5" s="8" t="s">
        <v>18</v>
      </c>
      <c r="M5" s="8" t="s">
        <v>18</v>
      </c>
      <c r="N5" s="8" t="s">
        <v>18</v>
      </c>
      <c r="O5" s="8" t="s">
        <v>18</v>
      </c>
      <c r="P5" s="7"/>
      <c r="Q5" s="7"/>
      <c r="R5" s="8" t="s">
        <v>18</v>
      </c>
      <c r="S5" s="8" t="s">
        <v>18</v>
      </c>
      <c r="T5" s="8" t="s">
        <v>18</v>
      </c>
      <c r="U5" s="8" t="s">
        <v>18</v>
      </c>
      <c r="V5" s="8" t="s">
        <v>18</v>
      </c>
      <c r="W5" s="7"/>
      <c r="X5" s="7"/>
      <c r="Y5" s="8" t="s">
        <v>18</v>
      </c>
      <c r="Z5" s="8" t="s">
        <v>18</v>
      </c>
      <c r="AA5" s="8" t="s">
        <v>18</v>
      </c>
      <c r="AB5" s="8" t="s">
        <v>18</v>
      </c>
      <c r="AC5" s="11" t="s">
        <v>141</v>
      </c>
      <c r="AD5" s="7"/>
      <c r="AE5" s="7"/>
      <c r="AF5" s="11" t="s">
        <v>141</v>
      </c>
      <c r="AG5" s="8" t="s">
        <v>18</v>
      </c>
      <c r="AH5" s="8" t="s">
        <v>18</v>
      </c>
      <c r="AI5" s="11" t="s">
        <v>141</v>
      </c>
      <c r="AJ5" s="7" t="s">
        <v>142</v>
      </c>
      <c r="AK5" s="7"/>
      <c r="AL5" s="7"/>
      <c r="AM5" s="7" t="s">
        <v>142</v>
      </c>
      <c r="AN5" s="8" t="s">
        <v>143</v>
      </c>
      <c r="AO5" s="8" t="s">
        <v>143</v>
      </c>
      <c r="AP5" s="8" t="s">
        <v>143</v>
      </c>
      <c r="AQ5" s="8" t="s">
        <v>143</v>
      </c>
      <c r="AR5" s="7"/>
      <c r="AS5" s="7"/>
      <c r="AT5" s="8" t="s">
        <v>143</v>
      </c>
      <c r="AU5" s="8" t="s">
        <v>143</v>
      </c>
      <c r="AV5" s="8" t="s">
        <v>143</v>
      </c>
      <c r="AW5" s="8" t="s">
        <v>143</v>
      </c>
      <c r="AX5" s="8" t="s">
        <v>143</v>
      </c>
      <c r="AY5" s="7"/>
      <c r="AZ5" s="7"/>
      <c r="BA5" s="8" t="s">
        <v>143</v>
      </c>
      <c r="BB5" s="8" t="s">
        <v>143</v>
      </c>
      <c r="BC5" s="8" t="s">
        <v>143</v>
      </c>
      <c r="BD5" s="8" t="s">
        <v>143</v>
      </c>
      <c r="BE5" s="8" t="s">
        <v>143</v>
      </c>
      <c r="BF5" s="7"/>
      <c r="BG5" s="7"/>
      <c r="BH5" s="8" t="s">
        <v>143</v>
      </c>
      <c r="BI5" s="8" t="s">
        <v>143</v>
      </c>
      <c r="BJ5" s="8" t="s">
        <v>143</v>
      </c>
      <c r="BK5" s="8" t="s">
        <v>143</v>
      </c>
      <c r="BL5" s="8" t="s">
        <v>143</v>
      </c>
      <c r="BM5" s="7"/>
      <c r="BN5" s="7"/>
      <c r="BO5" s="11" t="s">
        <v>141</v>
      </c>
      <c r="BP5" s="8" t="s">
        <v>143</v>
      </c>
      <c r="BQ5" s="8" t="s">
        <v>143</v>
      </c>
      <c r="BR5" s="8" t="s">
        <v>143</v>
      </c>
      <c r="BS5" s="8" t="s">
        <v>143</v>
      </c>
      <c r="BT5" s="7"/>
      <c r="BU5" s="7"/>
      <c r="BV5" s="7" t="s">
        <v>142</v>
      </c>
      <c r="BW5" s="8" t="s">
        <v>143</v>
      </c>
      <c r="BX5" s="8" t="s">
        <v>143</v>
      </c>
      <c r="BY5" s="8" t="s">
        <v>143</v>
      </c>
      <c r="BZ5" s="8" t="s">
        <v>143</v>
      </c>
      <c r="CA5" s="7"/>
      <c r="CB5" s="7"/>
      <c r="CC5" s="8" t="s">
        <v>143</v>
      </c>
      <c r="CD5" s="8" t="s">
        <v>143</v>
      </c>
      <c r="CE5" s="8" t="s">
        <v>143</v>
      </c>
      <c r="CF5" s="8" t="s">
        <v>143</v>
      </c>
      <c r="CG5" s="8" t="s">
        <v>143</v>
      </c>
      <c r="CH5" s="3"/>
      <c r="CI5" s="3"/>
      <c r="CJ5" s="82" t="s">
        <v>157</v>
      </c>
      <c r="CK5" s="82" t="s">
        <v>157</v>
      </c>
      <c r="CL5" s="2" t="s">
        <v>143</v>
      </c>
      <c r="CM5" s="2" t="s">
        <v>143</v>
      </c>
      <c r="CN5" s="2" t="s">
        <v>143</v>
      </c>
      <c r="CO5" s="3"/>
      <c r="CP5" s="3"/>
      <c r="CQ5" s="3"/>
      <c r="CR5" s="2" t="s">
        <v>143</v>
      </c>
      <c r="CS5" s="2" t="s">
        <v>143</v>
      </c>
      <c r="CT5" s="2" t="s">
        <v>143</v>
      </c>
      <c r="CU5" s="2" t="s">
        <v>143</v>
      </c>
      <c r="CV5" s="3"/>
      <c r="CW5" s="3"/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3"/>
      <c r="DD5" s="3"/>
      <c r="DE5" s="11" t="s">
        <v>141</v>
      </c>
      <c r="DF5" s="11" t="s">
        <v>141</v>
      </c>
      <c r="DG5" s="11" t="s">
        <v>141</v>
      </c>
      <c r="DH5" s="2" t="s">
        <v>143</v>
      </c>
      <c r="DI5" s="2" t="s">
        <v>143</v>
      </c>
      <c r="DJ5" s="24"/>
      <c r="DK5" s="24"/>
      <c r="DL5" s="2" t="s">
        <v>143</v>
      </c>
      <c r="DM5" s="11" t="s">
        <v>158</v>
      </c>
      <c r="DN5" s="2" t="s">
        <v>143</v>
      </c>
      <c r="DO5" s="2" t="s">
        <v>143</v>
      </c>
      <c r="DP5" s="11" t="s">
        <v>141</v>
      </c>
      <c r="DQ5" s="24"/>
      <c r="DR5" s="24"/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4"/>
      <c r="DY5" s="24"/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4"/>
      <c r="EF5" s="24"/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4"/>
      <c r="EM5" s="24"/>
      <c r="EN5" s="2" t="s">
        <v>143</v>
      </c>
      <c r="EO5" s="2" t="s">
        <v>143</v>
      </c>
      <c r="EP5" s="2" t="s">
        <v>143</v>
      </c>
      <c r="EQ5" s="2" t="s">
        <v>143</v>
      </c>
      <c r="ER5" s="2" t="s">
        <v>143</v>
      </c>
      <c r="ES5" s="24"/>
      <c r="ET5" s="24"/>
      <c r="EU5" s="2" t="s">
        <v>143</v>
      </c>
      <c r="EV5" s="2" t="s">
        <v>143</v>
      </c>
      <c r="EW5" s="2" t="s">
        <v>143</v>
      </c>
      <c r="EX5" s="2" t="s">
        <v>143</v>
      </c>
      <c r="EY5" s="2" t="s">
        <v>143</v>
      </c>
      <c r="EZ5" s="24"/>
      <c r="FA5" s="24"/>
      <c r="FB5" s="2" t="s">
        <v>143</v>
      </c>
      <c r="FC5" s="2" t="s">
        <v>143</v>
      </c>
      <c r="FD5" s="2" t="s">
        <v>143</v>
      </c>
      <c r="FE5" s="2" t="s">
        <v>143</v>
      </c>
      <c r="FF5" s="2" t="s">
        <v>143</v>
      </c>
      <c r="FG5" s="24"/>
      <c r="FH5" s="24"/>
      <c r="FI5" s="11" t="s">
        <v>141</v>
      </c>
      <c r="FJ5" s="2" t="s">
        <v>143</v>
      </c>
      <c r="FK5" s="2" t="s">
        <v>143</v>
      </c>
      <c r="FL5" s="2" t="s">
        <v>143</v>
      </c>
      <c r="FM5" s="2" t="s">
        <v>143</v>
      </c>
      <c r="FN5" s="24"/>
      <c r="FO5" s="24"/>
      <c r="FP5" s="2" t="s">
        <v>143</v>
      </c>
      <c r="FQ5" s="2" t="s">
        <v>143</v>
      </c>
      <c r="FR5" s="2" t="s">
        <v>143</v>
      </c>
      <c r="FS5" s="2" t="s">
        <v>143</v>
      </c>
      <c r="FT5" s="2" t="s">
        <v>143</v>
      </c>
      <c r="FU5" s="24"/>
      <c r="FV5" s="24"/>
      <c r="FW5" s="2" t="s">
        <v>143</v>
      </c>
      <c r="FX5" s="2" t="s">
        <v>143</v>
      </c>
      <c r="FY5" s="2" t="s">
        <v>143</v>
      </c>
      <c r="FZ5" s="2" t="s">
        <v>143</v>
      </c>
      <c r="GA5" s="2" t="s">
        <v>143</v>
      </c>
      <c r="GB5" s="24"/>
      <c r="GC5" s="24"/>
      <c r="GD5" s="24"/>
      <c r="GE5" s="2" t="s">
        <v>143</v>
      </c>
      <c r="GF5" s="2" t="s">
        <v>143</v>
      </c>
      <c r="GG5" s="2" t="s">
        <v>143</v>
      </c>
      <c r="GH5" s="2" t="s">
        <v>143</v>
      </c>
      <c r="GI5" s="24"/>
      <c r="GJ5" s="24"/>
      <c r="GK5" s="2" t="s">
        <v>143</v>
      </c>
      <c r="GL5" s="2" t="s">
        <v>143</v>
      </c>
      <c r="GM5" s="2" t="s">
        <v>143</v>
      </c>
      <c r="GN5" s="2" t="s">
        <v>143</v>
      </c>
      <c r="GO5" s="2" t="s">
        <v>143</v>
      </c>
      <c r="GP5" s="24"/>
      <c r="GQ5" s="24"/>
      <c r="GR5" s="11" t="s">
        <v>141</v>
      </c>
      <c r="GS5" s="11" t="s">
        <v>141</v>
      </c>
      <c r="GT5" s="11" t="s">
        <v>141</v>
      </c>
      <c r="GU5" s="2" t="s">
        <v>143</v>
      </c>
      <c r="GV5" s="2" t="s">
        <v>143</v>
      </c>
      <c r="GW5" s="24"/>
      <c r="GX5" s="24"/>
      <c r="GY5" s="2" t="s">
        <v>143</v>
      </c>
      <c r="GZ5" s="2" t="s">
        <v>143</v>
      </c>
      <c r="HA5" s="2" t="s">
        <v>143</v>
      </c>
      <c r="HB5" s="2" t="s">
        <v>143</v>
      </c>
      <c r="HC5" s="2" t="s">
        <v>143</v>
      </c>
      <c r="HD5" s="24"/>
      <c r="HE5" s="24"/>
      <c r="HF5" s="2" t="s">
        <v>143</v>
      </c>
      <c r="HG5" s="2" t="s">
        <v>143</v>
      </c>
      <c r="HH5" s="2" t="s">
        <v>143</v>
      </c>
      <c r="HI5" s="2" t="s">
        <v>143</v>
      </c>
      <c r="HJ5" s="2" t="s">
        <v>143</v>
      </c>
      <c r="HK5" s="24"/>
      <c r="HL5" s="24"/>
      <c r="HM5" s="2" t="s">
        <v>143</v>
      </c>
      <c r="HN5" s="2" t="s">
        <v>143</v>
      </c>
      <c r="HO5" s="2" t="s">
        <v>143</v>
      </c>
      <c r="HP5" s="2" t="s">
        <v>143</v>
      </c>
      <c r="HQ5" s="2" t="s">
        <v>143</v>
      </c>
      <c r="HR5" s="24"/>
      <c r="HS5" s="24"/>
      <c r="HT5" s="2" t="s">
        <v>143</v>
      </c>
      <c r="HU5" s="2" t="s">
        <v>143</v>
      </c>
      <c r="HV5" s="2" t="s">
        <v>143</v>
      </c>
      <c r="HW5" s="2" t="s">
        <v>143</v>
      </c>
      <c r="HX5" s="2" t="s">
        <v>143</v>
      </c>
      <c r="HY5" s="24"/>
      <c r="HZ5" s="24"/>
      <c r="IA5" s="2" t="s">
        <v>143</v>
      </c>
      <c r="IB5" s="2" t="s">
        <v>143</v>
      </c>
      <c r="IC5" s="2" t="s">
        <v>143</v>
      </c>
      <c r="ID5" s="2" t="s">
        <v>143</v>
      </c>
      <c r="IE5" s="2" t="s">
        <v>143</v>
      </c>
      <c r="IF5" s="24"/>
      <c r="IG5" s="24"/>
      <c r="IH5" s="2" t="s">
        <v>143</v>
      </c>
      <c r="II5" s="2" t="s">
        <v>143</v>
      </c>
      <c r="IJ5" s="2" t="s">
        <v>143</v>
      </c>
      <c r="IK5" s="2" t="s">
        <v>143</v>
      </c>
      <c r="IL5" s="2" t="s">
        <v>143</v>
      </c>
      <c r="IM5" s="24"/>
      <c r="IN5" s="24"/>
      <c r="IO5" s="2" t="s">
        <v>143</v>
      </c>
      <c r="IP5" s="2" t="s">
        <v>143</v>
      </c>
      <c r="IQ5" s="2" t="s">
        <v>143</v>
      </c>
      <c r="IR5" s="2" t="s">
        <v>143</v>
      </c>
      <c r="IS5" s="2" t="s">
        <v>143</v>
      </c>
      <c r="IT5" s="24"/>
      <c r="IU5" s="24"/>
      <c r="IV5" s="10" t="s">
        <v>149</v>
      </c>
      <c r="IW5" s="2" t="s">
        <v>143</v>
      </c>
      <c r="IX5" s="2" t="s">
        <v>143</v>
      </c>
      <c r="IY5" s="2" t="s">
        <v>143</v>
      </c>
      <c r="IZ5" s="2" t="s">
        <v>143</v>
      </c>
      <c r="JA5" s="24"/>
      <c r="JB5" s="24"/>
      <c r="JC5" s="2" t="s">
        <v>143</v>
      </c>
      <c r="JD5" s="2" t="s">
        <v>143</v>
      </c>
      <c r="JE5" s="2" t="s">
        <v>143</v>
      </c>
      <c r="JF5" s="2" t="s">
        <v>143</v>
      </c>
      <c r="JG5" s="2" t="s">
        <v>143</v>
      </c>
      <c r="JH5" s="24"/>
      <c r="JI5" s="24"/>
      <c r="JJ5" s="2" t="s">
        <v>143</v>
      </c>
      <c r="JK5" s="2" t="s">
        <v>143</v>
      </c>
      <c r="JL5" s="2" t="s">
        <v>143</v>
      </c>
      <c r="JM5" s="2" t="s">
        <v>143</v>
      </c>
      <c r="JN5" s="2" t="s">
        <v>143</v>
      </c>
      <c r="JO5" s="24"/>
      <c r="JP5" s="24"/>
      <c r="JQ5" s="2" t="s">
        <v>143</v>
      </c>
      <c r="JR5" s="2" t="s">
        <v>143</v>
      </c>
      <c r="JS5" s="2" t="s">
        <v>143</v>
      </c>
      <c r="JT5" s="2" t="s">
        <v>143</v>
      </c>
      <c r="JU5" s="2" t="s">
        <v>143</v>
      </c>
      <c r="JV5" s="24"/>
      <c r="JW5" s="24"/>
      <c r="JX5" s="2" t="s">
        <v>143</v>
      </c>
      <c r="JY5" s="2" t="s">
        <v>143</v>
      </c>
      <c r="JZ5" s="80" t="s">
        <v>151</v>
      </c>
      <c r="KA5" s="80" t="s">
        <v>151</v>
      </c>
      <c r="KB5" s="2" t="s">
        <v>143</v>
      </c>
      <c r="KC5" s="24"/>
      <c r="KD5" s="24"/>
      <c r="KE5" s="2" t="s">
        <v>143</v>
      </c>
      <c r="KF5" s="2" t="s">
        <v>143</v>
      </c>
      <c r="KG5" s="80" t="s">
        <v>151</v>
      </c>
      <c r="KH5" s="80" t="s">
        <v>151</v>
      </c>
      <c r="KI5" s="2" t="s">
        <v>143</v>
      </c>
      <c r="KJ5" s="24"/>
      <c r="KK5" s="24"/>
      <c r="KL5" s="2" t="s">
        <v>143</v>
      </c>
      <c r="KM5" s="2" t="s">
        <v>143</v>
      </c>
      <c r="KN5" s="2" t="s">
        <v>143</v>
      </c>
      <c r="KO5" s="2" t="s">
        <v>143</v>
      </c>
      <c r="KP5" s="2" t="s">
        <v>143</v>
      </c>
      <c r="KQ5" s="24"/>
      <c r="KR5" s="24"/>
      <c r="KS5" s="2" t="s">
        <v>143</v>
      </c>
      <c r="KT5" s="2" t="s">
        <v>143</v>
      </c>
      <c r="KU5" s="24" t="s">
        <v>153</v>
      </c>
      <c r="KV5" s="24"/>
      <c r="KW5" s="2" t="s">
        <v>143</v>
      </c>
      <c r="KX5" s="24" t="s">
        <v>153</v>
      </c>
      <c r="KY5" s="24" t="s">
        <v>153</v>
      </c>
      <c r="KZ5" s="2" t="s">
        <v>143</v>
      </c>
      <c r="LA5" s="2" t="s">
        <v>143</v>
      </c>
      <c r="LB5" s="33"/>
      <c r="LC5" s="33"/>
      <c r="LD5" s="33"/>
      <c r="LE5" s="33"/>
      <c r="LF5" s="33"/>
      <c r="LP5" s="11" t="s">
        <v>141</v>
      </c>
      <c r="LQ5" s="11" t="s">
        <v>141</v>
      </c>
      <c r="LR5" s="11" t="s">
        <v>141</v>
      </c>
      <c r="LS5" s="11" t="s">
        <v>141</v>
      </c>
      <c r="LT5" s="11" t="s">
        <v>141</v>
      </c>
      <c r="LU5" s="11" t="s">
        <v>141</v>
      </c>
      <c r="LV5" s="11" t="s">
        <v>141</v>
      </c>
      <c r="LW5" s="11" t="s">
        <v>141</v>
      </c>
      <c r="LX5" s="11" t="s">
        <v>141</v>
      </c>
      <c r="LY5" s="11" t="s">
        <v>141</v>
      </c>
      <c r="LZ5" s="11" t="s">
        <v>141</v>
      </c>
      <c r="MA5" s="11" t="s">
        <v>141</v>
      </c>
      <c r="MB5" s="11" t="s">
        <v>141</v>
      </c>
      <c r="MC5" s="11" t="s">
        <v>141</v>
      </c>
      <c r="MD5" s="11" t="s">
        <v>141</v>
      </c>
    </row>
    <row r="6" spans="1:463" hidden="1">
      <c r="A6" s="48" t="s">
        <v>159</v>
      </c>
      <c r="B6" s="48" t="s">
        <v>18</v>
      </c>
      <c r="C6" s="48" t="s">
        <v>155</v>
      </c>
      <c r="D6" s="11" t="s">
        <v>141</v>
      </c>
      <c r="E6" s="11" t="s">
        <v>141</v>
      </c>
      <c r="F6" s="11" t="s">
        <v>141</v>
      </c>
      <c r="G6" s="8" t="s">
        <v>18</v>
      </c>
      <c r="H6" s="8" t="s">
        <v>18</v>
      </c>
      <c r="I6" s="7"/>
      <c r="J6" s="7"/>
      <c r="K6" s="8" t="s">
        <v>18</v>
      </c>
      <c r="L6" s="8" t="s">
        <v>18</v>
      </c>
      <c r="M6" s="8" t="s">
        <v>18</v>
      </c>
      <c r="N6" s="8" t="s">
        <v>18</v>
      </c>
      <c r="O6" s="8" t="s">
        <v>18</v>
      </c>
      <c r="P6" s="7"/>
      <c r="Q6" s="7"/>
      <c r="R6" s="8" t="s">
        <v>18</v>
      </c>
      <c r="S6" s="8" t="s">
        <v>18</v>
      </c>
      <c r="T6" s="8" t="s">
        <v>18</v>
      </c>
      <c r="U6" s="8" t="s">
        <v>18</v>
      </c>
      <c r="V6" s="8" t="s">
        <v>18</v>
      </c>
      <c r="W6" s="7"/>
      <c r="X6" s="7"/>
      <c r="Y6" s="5" t="s">
        <v>160</v>
      </c>
      <c r="Z6" s="5" t="s">
        <v>160</v>
      </c>
      <c r="AA6" s="5" t="s">
        <v>160</v>
      </c>
      <c r="AB6" s="5" t="s">
        <v>160</v>
      </c>
      <c r="AC6" s="5" t="s">
        <v>160</v>
      </c>
      <c r="AD6" s="7"/>
      <c r="AE6" s="7"/>
      <c r="AF6" s="5" t="s">
        <v>160</v>
      </c>
      <c r="AG6" s="5" t="s">
        <v>160</v>
      </c>
      <c r="AH6" s="5" t="s">
        <v>160</v>
      </c>
      <c r="AI6" s="5" t="s">
        <v>160</v>
      </c>
      <c r="AJ6" s="7" t="s">
        <v>142</v>
      </c>
      <c r="AK6" s="7"/>
      <c r="AL6" s="7"/>
      <c r="AM6" s="7" t="s">
        <v>142</v>
      </c>
      <c r="AN6" s="8" t="s">
        <v>143</v>
      </c>
      <c r="AO6" s="8" t="s">
        <v>143</v>
      </c>
      <c r="AP6" s="8" t="s">
        <v>143</v>
      </c>
      <c r="AQ6" s="8" t="s">
        <v>143</v>
      </c>
      <c r="AR6" s="7"/>
      <c r="AS6" s="7"/>
      <c r="AT6" s="5" t="s">
        <v>160</v>
      </c>
      <c r="AU6" s="5" t="s">
        <v>160</v>
      </c>
      <c r="AV6" s="5" t="s">
        <v>160</v>
      </c>
      <c r="AW6" s="8" t="s">
        <v>143</v>
      </c>
      <c r="AX6" s="8" t="s">
        <v>143</v>
      </c>
      <c r="AY6" s="7"/>
      <c r="AZ6" s="7"/>
      <c r="BA6" s="8" t="s">
        <v>143</v>
      </c>
      <c r="BB6" s="8" t="s">
        <v>143</v>
      </c>
      <c r="BC6" s="8" t="s">
        <v>143</v>
      </c>
      <c r="BD6" s="8" t="s">
        <v>143</v>
      </c>
      <c r="BE6" s="8" t="s">
        <v>143</v>
      </c>
      <c r="BF6" s="7"/>
      <c r="BG6" s="7"/>
      <c r="BH6" s="8" t="s">
        <v>143</v>
      </c>
      <c r="BI6" s="8" t="s">
        <v>143</v>
      </c>
      <c r="BJ6" s="8" t="s">
        <v>143</v>
      </c>
      <c r="BK6" s="11" t="s">
        <v>141</v>
      </c>
      <c r="BL6" s="8" t="s">
        <v>143</v>
      </c>
      <c r="BM6" s="7"/>
      <c r="BN6" s="7"/>
      <c r="BO6" s="8" t="s">
        <v>143</v>
      </c>
      <c r="BP6" s="8" t="s">
        <v>143</v>
      </c>
      <c r="BQ6" s="8" t="s">
        <v>143</v>
      </c>
      <c r="BR6" s="8" t="s">
        <v>143</v>
      </c>
      <c r="BS6" s="8" t="s">
        <v>143</v>
      </c>
      <c r="BT6" s="7"/>
      <c r="BU6" s="7"/>
      <c r="BV6" s="7" t="s">
        <v>142</v>
      </c>
      <c r="BW6" s="8" t="s">
        <v>143</v>
      </c>
      <c r="BX6" s="8" t="s">
        <v>143</v>
      </c>
      <c r="BY6" s="8" t="s">
        <v>143</v>
      </c>
      <c r="BZ6" s="8" t="s">
        <v>143</v>
      </c>
      <c r="CA6" s="7"/>
      <c r="CB6" s="7"/>
      <c r="CC6" s="6"/>
      <c r="CD6" s="8" t="s">
        <v>143</v>
      </c>
      <c r="CE6" s="8" t="s">
        <v>143</v>
      </c>
      <c r="CF6" s="8" t="s">
        <v>143</v>
      </c>
      <c r="CG6" s="8" t="s">
        <v>143</v>
      </c>
      <c r="CH6" s="3"/>
      <c r="CI6" s="3"/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3"/>
      <c r="CP6" s="3"/>
      <c r="CQ6" s="3"/>
      <c r="CV6" s="3"/>
      <c r="CW6" s="3"/>
      <c r="CX6" s="2" t="s">
        <v>143</v>
      </c>
      <c r="CY6" s="2" t="s">
        <v>143</v>
      </c>
      <c r="DA6" s="2" t="s">
        <v>143</v>
      </c>
      <c r="DB6" s="2" t="s">
        <v>143</v>
      </c>
      <c r="DC6" s="3"/>
      <c r="DD6" s="3"/>
      <c r="DJ6" s="24"/>
      <c r="DK6" s="24"/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4"/>
      <c r="DR6" s="24"/>
      <c r="DT6" s="2" t="s">
        <v>143</v>
      </c>
      <c r="DU6" s="2" t="s">
        <v>143</v>
      </c>
      <c r="DV6" s="2" t="s">
        <v>143</v>
      </c>
      <c r="DW6" s="2" t="s">
        <v>143</v>
      </c>
      <c r="DX6" s="24"/>
      <c r="DY6" s="24"/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4"/>
      <c r="EF6" s="24"/>
      <c r="EG6" s="2" t="s">
        <v>143</v>
      </c>
      <c r="EH6" s="2" t="s">
        <v>143</v>
      </c>
      <c r="EI6" s="2" t="s">
        <v>143</v>
      </c>
      <c r="EJ6" s="2" t="s">
        <v>143</v>
      </c>
      <c r="EL6" s="24"/>
      <c r="EM6" s="24"/>
      <c r="EN6" s="2" t="s">
        <v>143</v>
      </c>
      <c r="EO6" s="2" t="s">
        <v>143</v>
      </c>
      <c r="EP6" s="2" t="s">
        <v>143</v>
      </c>
      <c r="EQ6" s="2" t="s">
        <v>143</v>
      </c>
      <c r="ER6" s="2" t="s">
        <v>143</v>
      </c>
      <c r="ES6" s="24"/>
      <c r="ET6" s="24"/>
      <c r="EU6" s="2" t="s">
        <v>143</v>
      </c>
      <c r="EV6" s="2" t="s">
        <v>143</v>
      </c>
      <c r="EW6" s="2" t="s">
        <v>143</v>
      </c>
      <c r="EX6" s="2" t="s">
        <v>143</v>
      </c>
      <c r="EZ6" s="24"/>
      <c r="FA6" s="24"/>
      <c r="FB6" s="2" t="s">
        <v>143</v>
      </c>
      <c r="FC6" s="2" t="s">
        <v>143</v>
      </c>
      <c r="FD6" s="2" t="s">
        <v>143</v>
      </c>
      <c r="FE6" s="2" t="s">
        <v>143</v>
      </c>
      <c r="FF6" s="2" t="s">
        <v>143</v>
      </c>
      <c r="FG6" s="24"/>
      <c r="FH6" s="24"/>
      <c r="FJ6" s="2" t="s">
        <v>143</v>
      </c>
      <c r="FK6" s="2" t="s">
        <v>143</v>
      </c>
      <c r="FN6" s="24"/>
      <c r="FO6" s="24"/>
      <c r="FP6" s="2" t="s">
        <v>143</v>
      </c>
      <c r="FQ6" s="2" t="s">
        <v>143</v>
      </c>
      <c r="FR6" s="2" t="s">
        <v>143</v>
      </c>
      <c r="FS6" s="2" t="s">
        <v>143</v>
      </c>
      <c r="FT6" s="2" t="s">
        <v>143</v>
      </c>
      <c r="FU6" s="24"/>
      <c r="FV6" s="24"/>
      <c r="GB6" s="24"/>
      <c r="GC6" s="24"/>
      <c r="GD6" s="24"/>
      <c r="GE6" s="2" t="s">
        <v>143</v>
      </c>
      <c r="GF6" s="2" t="s">
        <v>143</v>
      </c>
      <c r="GG6" s="2" t="s">
        <v>143</v>
      </c>
      <c r="GH6" s="2" t="s">
        <v>143</v>
      </c>
      <c r="GI6" s="24"/>
      <c r="GJ6" s="24"/>
      <c r="GK6" s="2" t="s">
        <v>143</v>
      </c>
      <c r="GL6" s="2" t="s">
        <v>143</v>
      </c>
      <c r="GM6" s="2" t="s">
        <v>143</v>
      </c>
      <c r="GN6" s="2" t="s">
        <v>143</v>
      </c>
      <c r="GO6" s="2" t="s">
        <v>143</v>
      </c>
      <c r="GP6" s="24"/>
      <c r="GQ6" s="24"/>
      <c r="GW6" s="24"/>
      <c r="GX6" s="24"/>
      <c r="GY6" s="2" t="s">
        <v>143</v>
      </c>
      <c r="GZ6" s="2" t="s">
        <v>143</v>
      </c>
      <c r="HA6" s="2" t="s">
        <v>143</v>
      </c>
      <c r="HB6" s="2" t="s">
        <v>143</v>
      </c>
      <c r="HD6" s="24"/>
      <c r="HE6" s="24"/>
      <c r="HK6" s="24"/>
      <c r="HL6" s="24"/>
      <c r="HR6" s="24"/>
      <c r="HS6" s="24"/>
      <c r="HT6" s="2" t="s">
        <v>143</v>
      </c>
      <c r="HU6" s="2" t="s">
        <v>143</v>
      </c>
      <c r="HV6" s="2" t="s">
        <v>143</v>
      </c>
      <c r="HW6" s="2" t="s">
        <v>143</v>
      </c>
      <c r="HX6" s="2" t="s">
        <v>143</v>
      </c>
      <c r="HY6" s="24"/>
      <c r="HZ6" s="24"/>
      <c r="IA6" s="2" t="s">
        <v>143</v>
      </c>
      <c r="IB6" s="2" t="s">
        <v>143</v>
      </c>
      <c r="IC6" s="2" t="s">
        <v>143</v>
      </c>
      <c r="ID6" s="2" t="s">
        <v>143</v>
      </c>
      <c r="IE6" s="2" t="s">
        <v>143</v>
      </c>
      <c r="IF6" s="24"/>
      <c r="IG6" s="24"/>
      <c r="II6" s="2" t="s">
        <v>143</v>
      </c>
      <c r="IJ6" s="2" t="s">
        <v>143</v>
      </c>
      <c r="IK6" s="2" t="s">
        <v>143</v>
      </c>
      <c r="IL6" s="2" t="s">
        <v>143</v>
      </c>
      <c r="IM6" s="24"/>
      <c r="IN6" s="24"/>
      <c r="IO6" s="2" t="s">
        <v>143</v>
      </c>
      <c r="IP6" s="2" t="s">
        <v>143</v>
      </c>
      <c r="IQ6" s="2" t="s">
        <v>143</v>
      </c>
      <c r="IT6" s="24"/>
      <c r="IU6" s="24"/>
      <c r="IW6" s="2" t="s">
        <v>143</v>
      </c>
      <c r="IX6" s="2" t="s">
        <v>143</v>
      </c>
      <c r="IY6" s="2" t="s">
        <v>143</v>
      </c>
      <c r="IZ6" s="2" t="s">
        <v>143</v>
      </c>
      <c r="JA6" s="24"/>
      <c r="JB6" s="24"/>
      <c r="JC6" s="2" t="s">
        <v>143</v>
      </c>
      <c r="JD6" s="2" t="s">
        <v>143</v>
      </c>
      <c r="JH6" s="24"/>
      <c r="JI6" s="24"/>
      <c r="JJ6" s="2" t="s">
        <v>143</v>
      </c>
      <c r="JK6" s="2" t="s">
        <v>143</v>
      </c>
      <c r="JL6" s="2" t="s">
        <v>143</v>
      </c>
      <c r="JM6" s="2" t="s">
        <v>143</v>
      </c>
      <c r="JO6" s="24"/>
      <c r="JP6" s="24"/>
      <c r="JV6" s="24"/>
      <c r="JW6" s="24"/>
      <c r="JZ6" s="2" t="s">
        <v>143</v>
      </c>
      <c r="KB6" s="2" t="s">
        <v>143</v>
      </c>
      <c r="KC6" s="24"/>
      <c r="KD6" s="24"/>
      <c r="KJ6" s="24"/>
      <c r="KK6" s="24"/>
      <c r="KQ6" s="24"/>
      <c r="KR6" s="24"/>
      <c r="KT6" s="2" t="s">
        <v>143</v>
      </c>
      <c r="KU6" s="24"/>
      <c r="KV6" s="24"/>
      <c r="KX6" s="24"/>
      <c r="KY6" s="24"/>
      <c r="LB6" s="33"/>
      <c r="LC6" s="33"/>
      <c r="LD6" s="33"/>
      <c r="LE6" s="33"/>
      <c r="LF6" s="33"/>
    </row>
    <row r="7" spans="1:463">
      <c r="A7" s="48" t="s">
        <v>161</v>
      </c>
      <c r="B7" s="48" t="s">
        <v>18</v>
      </c>
      <c r="C7" s="48" t="s">
        <v>162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  <c r="I7" s="7"/>
      <c r="J7" s="7"/>
      <c r="K7" s="8" t="s">
        <v>18</v>
      </c>
      <c r="L7" s="8" t="s">
        <v>18</v>
      </c>
      <c r="M7" s="11" t="s">
        <v>141</v>
      </c>
      <c r="N7" s="8" t="s">
        <v>18</v>
      </c>
      <c r="O7" s="11" t="s">
        <v>141</v>
      </c>
      <c r="P7" s="7"/>
      <c r="Q7" s="7"/>
      <c r="R7" s="9" t="s">
        <v>156</v>
      </c>
      <c r="S7" s="9" t="s">
        <v>156</v>
      </c>
      <c r="T7" s="8" t="s">
        <v>18</v>
      </c>
      <c r="U7" s="8" t="s">
        <v>18</v>
      </c>
      <c r="V7" s="8" t="s">
        <v>18</v>
      </c>
      <c r="W7" s="7"/>
      <c r="X7" s="7"/>
      <c r="Y7" s="9" t="s">
        <v>163</v>
      </c>
      <c r="Z7" s="8" t="s">
        <v>18</v>
      </c>
      <c r="AA7" s="12" t="s">
        <v>140</v>
      </c>
      <c r="AB7" s="12" t="s">
        <v>140</v>
      </c>
      <c r="AC7" s="8" t="s">
        <v>18</v>
      </c>
      <c r="AD7" s="7"/>
      <c r="AE7" s="7"/>
      <c r="AF7" s="8" t="s">
        <v>18</v>
      </c>
      <c r="AG7" s="8" t="s">
        <v>18</v>
      </c>
      <c r="AH7" s="8" t="s">
        <v>18</v>
      </c>
      <c r="AI7" s="8" t="s">
        <v>18</v>
      </c>
      <c r="AJ7" s="7" t="s">
        <v>142</v>
      </c>
      <c r="AK7" s="7"/>
      <c r="AL7" s="7"/>
      <c r="AM7" s="7" t="s">
        <v>142</v>
      </c>
      <c r="AN7" s="8" t="s">
        <v>143</v>
      </c>
      <c r="AO7" s="5" t="s">
        <v>160</v>
      </c>
      <c r="AP7" s="5" t="s">
        <v>160</v>
      </c>
      <c r="AQ7" s="5" t="s">
        <v>160</v>
      </c>
      <c r="AR7" s="7"/>
      <c r="AS7" s="7"/>
      <c r="AT7" s="8" t="s">
        <v>143</v>
      </c>
      <c r="AU7" s="8" t="s">
        <v>143</v>
      </c>
      <c r="AV7" s="8" t="s">
        <v>143</v>
      </c>
      <c r="AW7" s="8" t="s">
        <v>143</v>
      </c>
      <c r="AX7" s="11" t="s">
        <v>141</v>
      </c>
      <c r="AY7" s="7"/>
      <c r="AZ7" s="7"/>
      <c r="BA7" s="11" t="s">
        <v>141</v>
      </c>
      <c r="BB7" s="11" t="s">
        <v>141</v>
      </c>
      <c r="BC7" s="11" t="s">
        <v>141</v>
      </c>
      <c r="BD7" s="11" t="s">
        <v>141</v>
      </c>
      <c r="BE7" s="11" t="s">
        <v>141</v>
      </c>
      <c r="BF7" s="7"/>
      <c r="BG7" s="7"/>
      <c r="BH7" s="5" t="s">
        <v>160</v>
      </c>
      <c r="BI7" s="5" t="s">
        <v>160</v>
      </c>
      <c r="BJ7" s="5" t="s">
        <v>160</v>
      </c>
      <c r="BK7" s="5" t="s">
        <v>160</v>
      </c>
      <c r="BL7" s="5" t="s">
        <v>160</v>
      </c>
      <c r="BM7" s="7"/>
      <c r="BN7" s="7"/>
      <c r="BO7" s="8" t="s">
        <v>143</v>
      </c>
      <c r="BP7" s="8" t="s">
        <v>143</v>
      </c>
      <c r="BQ7" s="8" t="s">
        <v>143</v>
      </c>
      <c r="BR7" s="8" t="s">
        <v>143</v>
      </c>
      <c r="BS7" s="8" t="s">
        <v>143</v>
      </c>
      <c r="BT7" s="7"/>
      <c r="BU7" s="7"/>
      <c r="BV7" s="7" t="s">
        <v>142</v>
      </c>
      <c r="BW7" s="8" t="s">
        <v>143</v>
      </c>
      <c r="BX7" s="8" t="s">
        <v>143</v>
      </c>
      <c r="BY7" s="8" t="s">
        <v>143</v>
      </c>
      <c r="BZ7" s="8" t="s">
        <v>143</v>
      </c>
      <c r="CA7" s="7"/>
      <c r="CB7" s="7"/>
      <c r="CC7" s="8" t="s">
        <v>143</v>
      </c>
      <c r="CD7" s="8" t="s">
        <v>143</v>
      </c>
      <c r="CE7" s="8" t="s">
        <v>143</v>
      </c>
      <c r="CF7" s="8" t="s">
        <v>143</v>
      </c>
      <c r="CG7" s="8" t="s">
        <v>143</v>
      </c>
      <c r="CH7" s="3"/>
      <c r="CI7" s="3"/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3"/>
      <c r="CP7" s="3"/>
      <c r="CQ7" s="3"/>
      <c r="CR7" s="11" t="s">
        <v>141</v>
      </c>
      <c r="CS7" s="2" t="s">
        <v>143</v>
      </c>
      <c r="CT7" s="2" t="s">
        <v>143</v>
      </c>
      <c r="CU7" s="2" t="s">
        <v>143</v>
      </c>
      <c r="CV7" s="3"/>
      <c r="CW7" s="3"/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3"/>
      <c r="DD7" s="3"/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4"/>
      <c r="DK7" s="24"/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4"/>
      <c r="DR7" s="24"/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4"/>
      <c r="DY7" s="24"/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4"/>
      <c r="EF7" s="24"/>
      <c r="EG7" s="2" t="s">
        <v>143</v>
      </c>
      <c r="EH7" s="2" t="s">
        <v>143</v>
      </c>
      <c r="EI7" s="2" t="s">
        <v>143</v>
      </c>
      <c r="EJ7" s="2" t="s">
        <v>143</v>
      </c>
      <c r="EK7" s="11" t="s">
        <v>141</v>
      </c>
      <c r="EL7" s="24"/>
      <c r="EM7" s="24"/>
      <c r="EN7" s="2" t="s">
        <v>143</v>
      </c>
      <c r="EO7" s="2" t="s">
        <v>143</v>
      </c>
      <c r="EP7" s="2" t="s">
        <v>143</v>
      </c>
      <c r="EQ7" s="2" t="s">
        <v>143</v>
      </c>
      <c r="ER7" s="2" t="s">
        <v>143</v>
      </c>
      <c r="ES7" s="24"/>
      <c r="ET7" s="24"/>
      <c r="EU7" s="2" t="s">
        <v>143</v>
      </c>
      <c r="EV7" s="2" t="s">
        <v>143</v>
      </c>
      <c r="EW7" s="2" t="s">
        <v>143</v>
      </c>
      <c r="EX7" s="2" t="s">
        <v>143</v>
      </c>
      <c r="EY7" s="11" t="s">
        <v>141</v>
      </c>
      <c r="EZ7" s="24"/>
      <c r="FA7" s="24"/>
      <c r="FB7" s="2" t="s">
        <v>143</v>
      </c>
      <c r="FC7" s="2" t="s">
        <v>143</v>
      </c>
      <c r="FD7" s="2" t="s">
        <v>143</v>
      </c>
      <c r="FE7" s="2" t="s">
        <v>143</v>
      </c>
      <c r="FF7" s="2" t="s">
        <v>143</v>
      </c>
      <c r="FG7" s="24"/>
      <c r="FH7" s="24"/>
      <c r="FI7" s="2" t="s">
        <v>143</v>
      </c>
      <c r="FJ7" s="2" t="s">
        <v>143</v>
      </c>
      <c r="FK7" s="2" t="s">
        <v>143</v>
      </c>
      <c r="FL7" s="11" t="s">
        <v>141</v>
      </c>
      <c r="FM7" s="11" t="s">
        <v>141</v>
      </c>
      <c r="FN7" s="24"/>
      <c r="FO7" s="24"/>
      <c r="FP7" s="2" t="s">
        <v>143</v>
      </c>
      <c r="FQ7" s="2" t="s">
        <v>143</v>
      </c>
      <c r="FR7" s="2" t="s">
        <v>143</v>
      </c>
      <c r="FS7" s="2" t="s">
        <v>143</v>
      </c>
      <c r="FT7" s="2" t="s">
        <v>143</v>
      </c>
      <c r="FU7" s="24"/>
      <c r="FV7" s="24"/>
      <c r="FW7" s="2" t="s">
        <v>143</v>
      </c>
      <c r="FX7" s="2" t="s">
        <v>143</v>
      </c>
      <c r="FY7" s="2" t="s">
        <v>143</v>
      </c>
      <c r="FZ7" s="2" t="s">
        <v>143</v>
      </c>
      <c r="GA7" s="11" t="s">
        <v>141</v>
      </c>
      <c r="GB7" s="24"/>
      <c r="GC7" s="24"/>
      <c r="GD7" s="24"/>
      <c r="GE7" s="2" t="s">
        <v>143</v>
      </c>
      <c r="GF7" s="2" t="s">
        <v>143</v>
      </c>
      <c r="GG7" s="2" t="s">
        <v>143</v>
      </c>
      <c r="GH7" s="2" t="s">
        <v>143</v>
      </c>
      <c r="GI7" s="24"/>
      <c r="GJ7" s="24"/>
      <c r="GK7" s="2" t="s">
        <v>143</v>
      </c>
      <c r="GL7" s="11" t="s">
        <v>141</v>
      </c>
      <c r="GM7" s="2" t="s">
        <v>143</v>
      </c>
      <c r="GN7" s="2" t="s">
        <v>143</v>
      </c>
      <c r="GO7" s="2" t="s">
        <v>143</v>
      </c>
      <c r="GP7" s="24"/>
      <c r="GQ7" s="24"/>
      <c r="GR7" s="2" t="s">
        <v>143</v>
      </c>
      <c r="GS7" s="2" t="s">
        <v>143</v>
      </c>
      <c r="GT7" s="2" t="s">
        <v>143</v>
      </c>
      <c r="GU7" s="2" t="s">
        <v>143</v>
      </c>
      <c r="GV7" s="2" t="s">
        <v>143</v>
      </c>
      <c r="GW7" s="24"/>
      <c r="GX7" s="24"/>
      <c r="GY7" s="2" t="s">
        <v>143</v>
      </c>
      <c r="GZ7" s="2" t="s">
        <v>143</v>
      </c>
      <c r="HA7" s="2" t="s">
        <v>143</v>
      </c>
      <c r="HB7" s="2" t="s">
        <v>143</v>
      </c>
      <c r="HC7" s="12" t="s">
        <v>140</v>
      </c>
      <c r="HD7" s="24"/>
      <c r="HE7" s="24"/>
      <c r="HF7" s="2" t="s">
        <v>143</v>
      </c>
      <c r="HG7" s="2" t="s">
        <v>143</v>
      </c>
      <c r="HH7" s="2" t="s">
        <v>143</v>
      </c>
      <c r="HI7" s="11" t="s">
        <v>141</v>
      </c>
      <c r="HJ7" s="11" t="s">
        <v>141</v>
      </c>
      <c r="HK7" s="24"/>
      <c r="HL7" s="24"/>
      <c r="HM7" s="11" t="s">
        <v>141</v>
      </c>
      <c r="HN7" s="11" t="s">
        <v>141</v>
      </c>
      <c r="HO7" s="2" t="s">
        <v>143</v>
      </c>
      <c r="HP7" s="2" t="s">
        <v>143</v>
      </c>
      <c r="HQ7" s="2" t="s">
        <v>143</v>
      </c>
      <c r="HR7" s="24"/>
      <c r="HS7" s="24"/>
      <c r="HT7" s="2" t="s">
        <v>143</v>
      </c>
      <c r="HU7" s="2" t="s">
        <v>143</v>
      </c>
      <c r="HV7" s="2" t="s">
        <v>143</v>
      </c>
      <c r="HW7" s="2" t="s">
        <v>143</v>
      </c>
      <c r="HX7" s="2" t="s">
        <v>143</v>
      </c>
      <c r="HY7" s="24"/>
      <c r="HZ7" s="24"/>
      <c r="IA7" s="2" t="s">
        <v>143</v>
      </c>
      <c r="IB7" s="2" t="s">
        <v>143</v>
      </c>
      <c r="IC7" s="2" t="s">
        <v>143</v>
      </c>
      <c r="ID7" s="2" t="s">
        <v>143</v>
      </c>
      <c r="IE7" s="2" t="s">
        <v>143</v>
      </c>
      <c r="IF7" s="24"/>
      <c r="IG7" s="24"/>
      <c r="IH7" s="11" t="s">
        <v>141</v>
      </c>
      <c r="II7" s="2" t="s">
        <v>143</v>
      </c>
      <c r="IJ7" s="2" t="s">
        <v>143</v>
      </c>
      <c r="IK7" s="2" t="s">
        <v>143</v>
      </c>
      <c r="IL7" s="2" t="s">
        <v>143</v>
      </c>
      <c r="IM7" s="24"/>
      <c r="IN7" s="24"/>
      <c r="IO7" s="2" t="s">
        <v>143</v>
      </c>
      <c r="IP7" s="2" t="s">
        <v>143</v>
      </c>
      <c r="IQ7" s="2" t="s">
        <v>143</v>
      </c>
      <c r="IR7" s="2" t="s">
        <v>143</v>
      </c>
      <c r="IS7" s="2" t="s">
        <v>143</v>
      </c>
      <c r="IT7" s="24"/>
      <c r="IU7" s="24"/>
      <c r="IV7" s="2" t="s">
        <v>143</v>
      </c>
      <c r="IW7" s="2" t="s">
        <v>143</v>
      </c>
      <c r="IX7" s="2" t="s">
        <v>143</v>
      </c>
      <c r="IY7" s="2" t="s">
        <v>143</v>
      </c>
      <c r="IZ7" s="2" t="s">
        <v>143</v>
      </c>
      <c r="JA7" s="24"/>
      <c r="JB7" s="24"/>
      <c r="JC7" s="2" t="s">
        <v>143</v>
      </c>
      <c r="JD7" s="2" t="s">
        <v>143</v>
      </c>
      <c r="JE7" s="80" t="s">
        <v>150</v>
      </c>
      <c r="JF7" s="80" t="s">
        <v>150</v>
      </c>
      <c r="JG7" s="80" t="s">
        <v>150</v>
      </c>
      <c r="JH7" s="24"/>
      <c r="JI7" s="24"/>
      <c r="JJ7" s="2" t="s">
        <v>143</v>
      </c>
      <c r="JK7" s="2" t="s">
        <v>143</v>
      </c>
      <c r="JL7" s="2" t="s">
        <v>143</v>
      </c>
      <c r="JM7" s="80" t="s">
        <v>150</v>
      </c>
      <c r="JN7" s="80" t="s">
        <v>150</v>
      </c>
      <c r="JO7" s="24"/>
      <c r="JP7" s="24"/>
      <c r="JQ7" s="2" t="s">
        <v>143</v>
      </c>
      <c r="JR7" s="80" t="s">
        <v>150</v>
      </c>
      <c r="JS7" s="80" t="s">
        <v>150</v>
      </c>
      <c r="JT7" s="80" t="s">
        <v>150</v>
      </c>
      <c r="JU7" s="80" t="s">
        <v>150</v>
      </c>
      <c r="JV7" s="24"/>
      <c r="JW7" s="24"/>
      <c r="JX7" s="11" t="s">
        <v>158</v>
      </c>
      <c r="JY7" s="2" t="s">
        <v>143</v>
      </c>
      <c r="JZ7" s="2" t="s">
        <v>143</v>
      </c>
      <c r="KA7" s="2" t="s">
        <v>143</v>
      </c>
      <c r="KB7" s="2" t="s">
        <v>143</v>
      </c>
      <c r="KC7" s="24"/>
      <c r="KD7" s="24"/>
      <c r="KE7" s="80" t="s">
        <v>150</v>
      </c>
      <c r="KF7" s="80" t="s">
        <v>150</v>
      </c>
      <c r="KG7" s="80" t="s">
        <v>150</v>
      </c>
      <c r="KH7" s="80" t="s">
        <v>150</v>
      </c>
      <c r="KI7" s="80" t="s">
        <v>150</v>
      </c>
      <c r="KJ7" s="24"/>
      <c r="KK7" s="24"/>
      <c r="KL7" s="2" t="s">
        <v>143</v>
      </c>
      <c r="KM7" s="2" t="s">
        <v>143</v>
      </c>
      <c r="KN7" s="2" t="s">
        <v>143</v>
      </c>
      <c r="KO7" s="11" t="s">
        <v>141</v>
      </c>
      <c r="KP7" s="11" t="s">
        <v>141</v>
      </c>
      <c r="KQ7" s="24"/>
      <c r="KR7" s="24"/>
      <c r="KS7" s="2" t="s">
        <v>143</v>
      </c>
      <c r="KT7" s="2" t="s">
        <v>143</v>
      </c>
      <c r="KU7" s="24"/>
      <c r="KV7" s="24"/>
      <c r="KW7" s="11" t="s">
        <v>141</v>
      </c>
      <c r="KX7" s="24"/>
      <c r="KY7" s="24"/>
      <c r="KZ7" s="11" t="s">
        <v>141</v>
      </c>
      <c r="LA7" s="11" t="s">
        <v>141</v>
      </c>
      <c r="LB7" s="33"/>
      <c r="LC7" s="33"/>
      <c r="LD7" s="33"/>
      <c r="LE7" s="33"/>
      <c r="LF7" s="33"/>
    </row>
    <row r="8" spans="1:463">
      <c r="A8" s="48" t="s">
        <v>164</v>
      </c>
      <c r="B8" s="48" t="s">
        <v>18</v>
      </c>
      <c r="C8" s="48" t="s">
        <v>162</v>
      </c>
      <c r="D8" s="8" t="s">
        <v>18</v>
      </c>
      <c r="E8" s="8" t="s">
        <v>18</v>
      </c>
      <c r="F8" s="8" t="s">
        <v>18</v>
      </c>
      <c r="G8" s="8" t="s">
        <v>18</v>
      </c>
      <c r="H8" s="8" t="s">
        <v>18</v>
      </c>
      <c r="I8" s="7"/>
      <c r="J8" s="7"/>
      <c r="K8" s="8" t="s">
        <v>18</v>
      </c>
      <c r="L8" s="8" t="s">
        <v>18</v>
      </c>
      <c r="M8" s="8" t="s">
        <v>18</v>
      </c>
      <c r="N8" s="8" t="s">
        <v>18</v>
      </c>
      <c r="O8" s="8" t="s">
        <v>18</v>
      </c>
      <c r="P8" s="7"/>
      <c r="Q8" s="7"/>
      <c r="R8" s="8" t="s">
        <v>18</v>
      </c>
      <c r="S8" s="8" t="s">
        <v>18</v>
      </c>
      <c r="T8" s="12" t="s">
        <v>140</v>
      </c>
      <c r="U8" s="12" t="s">
        <v>140</v>
      </c>
      <c r="V8" s="8" t="s">
        <v>18</v>
      </c>
      <c r="W8" s="7"/>
      <c r="X8" s="7"/>
      <c r="Y8" s="9" t="s">
        <v>165</v>
      </c>
      <c r="Z8" s="9" t="s">
        <v>163</v>
      </c>
      <c r="AA8" s="8" t="s">
        <v>18</v>
      </c>
      <c r="AB8" s="8" t="s">
        <v>18</v>
      </c>
      <c r="AC8" s="5" t="s">
        <v>38</v>
      </c>
      <c r="AD8" s="7"/>
      <c r="AE8" s="7"/>
      <c r="AF8" s="8" t="s">
        <v>18</v>
      </c>
      <c r="AG8" s="8" t="s">
        <v>18</v>
      </c>
      <c r="AH8" s="8" t="s">
        <v>18</v>
      </c>
      <c r="AI8" s="8" t="s">
        <v>18</v>
      </c>
      <c r="AJ8" s="7" t="s">
        <v>142</v>
      </c>
      <c r="AK8" s="7"/>
      <c r="AL8" s="7"/>
      <c r="AM8" s="7" t="s">
        <v>142</v>
      </c>
      <c r="AN8" s="8" t="s">
        <v>143</v>
      </c>
      <c r="AO8" s="5" t="s">
        <v>38</v>
      </c>
      <c r="AP8" s="8" t="s">
        <v>143</v>
      </c>
      <c r="AQ8" s="8" t="s">
        <v>143</v>
      </c>
      <c r="AR8" s="7"/>
      <c r="AS8" s="7"/>
      <c r="AT8" s="8" t="s">
        <v>143</v>
      </c>
      <c r="AU8" s="8" t="s">
        <v>143</v>
      </c>
      <c r="AV8" s="8" t="s">
        <v>143</v>
      </c>
      <c r="AW8" s="8" t="s">
        <v>143</v>
      </c>
      <c r="AX8" s="8" t="s">
        <v>143</v>
      </c>
      <c r="AY8" s="7"/>
      <c r="AZ8" s="7"/>
      <c r="BA8" s="8" t="s">
        <v>143</v>
      </c>
      <c r="BB8" s="8" t="s">
        <v>143</v>
      </c>
      <c r="BC8" s="8" t="s">
        <v>143</v>
      </c>
      <c r="BD8" s="8" t="s">
        <v>143</v>
      </c>
      <c r="BE8" s="8" t="s">
        <v>143</v>
      </c>
      <c r="BF8" s="7"/>
      <c r="BG8" s="7"/>
      <c r="BH8" s="8" t="s">
        <v>143</v>
      </c>
      <c r="BI8" s="8" t="s">
        <v>143</v>
      </c>
      <c r="BJ8" s="8" t="s">
        <v>143</v>
      </c>
      <c r="BK8" s="8" t="s">
        <v>143</v>
      </c>
      <c r="BL8" s="8" t="s">
        <v>143</v>
      </c>
      <c r="BM8" s="7"/>
      <c r="BN8" s="7"/>
      <c r="BO8" s="11" t="s">
        <v>141</v>
      </c>
      <c r="BP8" s="11" t="s">
        <v>141</v>
      </c>
      <c r="BQ8" s="11" t="s">
        <v>141</v>
      </c>
      <c r="BR8" s="11" t="s">
        <v>141</v>
      </c>
      <c r="BS8" s="11" t="s">
        <v>141</v>
      </c>
      <c r="BT8" s="7"/>
      <c r="BU8" s="7"/>
      <c r="BV8" s="7" t="s">
        <v>142</v>
      </c>
      <c r="BW8" s="11" t="s">
        <v>141</v>
      </c>
      <c r="BX8" s="8" t="s">
        <v>143</v>
      </c>
      <c r="BY8" s="8" t="s">
        <v>143</v>
      </c>
      <c r="BZ8" s="8" t="s">
        <v>143</v>
      </c>
      <c r="CA8" s="7"/>
      <c r="CB8" s="7"/>
      <c r="CC8" s="8" t="s">
        <v>143</v>
      </c>
      <c r="CD8" s="8" t="s">
        <v>143</v>
      </c>
      <c r="CE8" s="8" t="s">
        <v>143</v>
      </c>
      <c r="CF8" s="11" t="s">
        <v>141</v>
      </c>
      <c r="CG8" s="8" t="s">
        <v>143</v>
      </c>
      <c r="CH8" s="3"/>
      <c r="CI8" s="3"/>
      <c r="CJ8" s="2" t="s">
        <v>143</v>
      </c>
      <c r="CK8" s="2" t="s">
        <v>143</v>
      </c>
      <c r="CL8" s="2" t="s">
        <v>143</v>
      </c>
      <c r="CM8" s="2" t="s">
        <v>143</v>
      </c>
      <c r="CN8" s="2" t="s">
        <v>143</v>
      </c>
      <c r="CO8" s="3"/>
      <c r="CP8" s="3"/>
      <c r="CQ8" s="3"/>
      <c r="CR8" s="10" t="s">
        <v>140</v>
      </c>
      <c r="CS8" s="10" t="s">
        <v>140</v>
      </c>
      <c r="CT8" s="10" t="s">
        <v>140</v>
      </c>
      <c r="CU8" s="2" t="s">
        <v>143</v>
      </c>
      <c r="CV8" s="3"/>
      <c r="CW8" s="3"/>
      <c r="CX8" s="2" t="s">
        <v>143</v>
      </c>
      <c r="CY8" s="2" t="s">
        <v>143</v>
      </c>
      <c r="CZ8" s="2" t="s">
        <v>143</v>
      </c>
      <c r="DA8" s="5" t="s">
        <v>166</v>
      </c>
      <c r="DB8" s="2" t="s">
        <v>143</v>
      </c>
      <c r="DC8" s="3"/>
      <c r="DD8" s="3"/>
      <c r="DE8" s="11" t="s">
        <v>141</v>
      </c>
      <c r="DF8" s="11" t="s">
        <v>141</v>
      </c>
      <c r="DG8" s="11" t="s">
        <v>141</v>
      </c>
      <c r="DH8" s="11" t="s">
        <v>141</v>
      </c>
      <c r="DI8" s="11" t="s">
        <v>141</v>
      </c>
      <c r="DJ8" s="24"/>
      <c r="DK8" s="24"/>
      <c r="DL8" s="11" t="s">
        <v>141</v>
      </c>
      <c r="DM8" s="11" t="s">
        <v>141</v>
      </c>
      <c r="DN8" s="2" t="s">
        <v>143</v>
      </c>
      <c r="DO8" s="5" t="s">
        <v>166</v>
      </c>
      <c r="DP8" s="2" t="s">
        <v>143</v>
      </c>
      <c r="DQ8" s="24"/>
      <c r="DR8" s="24"/>
      <c r="DS8" s="2" t="s">
        <v>143</v>
      </c>
      <c r="DT8" s="2" t="s">
        <v>143</v>
      </c>
      <c r="DU8" s="2" t="s">
        <v>143</v>
      </c>
      <c r="DV8" s="2" t="s">
        <v>143</v>
      </c>
      <c r="DW8" s="2" t="s">
        <v>143</v>
      </c>
      <c r="DX8" s="24"/>
      <c r="DY8" s="24"/>
      <c r="DZ8" s="2" t="s">
        <v>143</v>
      </c>
      <c r="EA8" s="2" t="s">
        <v>143</v>
      </c>
      <c r="EB8" s="2" t="s">
        <v>143</v>
      </c>
      <c r="EC8" s="2" t="s">
        <v>143</v>
      </c>
      <c r="ED8" s="11" t="s">
        <v>141</v>
      </c>
      <c r="EE8" s="24"/>
      <c r="EF8" s="24"/>
      <c r="EG8" s="2" t="s">
        <v>143</v>
      </c>
      <c r="EH8" s="2" t="s">
        <v>143</v>
      </c>
      <c r="EI8" s="2" t="s">
        <v>143</v>
      </c>
      <c r="EJ8" s="2" t="s">
        <v>143</v>
      </c>
      <c r="EK8" s="2" t="s">
        <v>143</v>
      </c>
      <c r="EL8" s="24"/>
      <c r="EM8" s="24"/>
      <c r="EN8" s="2" t="s">
        <v>143</v>
      </c>
      <c r="EO8" s="2" t="s">
        <v>143</v>
      </c>
      <c r="EP8" s="2" t="s">
        <v>143</v>
      </c>
      <c r="EQ8" s="2" t="s">
        <v>143</v>
      </c>
      <c r="ER8" s="2" t="s">
        <v>143</v>
      </c>
      <c r="ES8" s="24"/>
      <c r="ET8" s="24"/>
      <c r="EU8" s="2" t="s">
        <v>143</v>
      </c>
      <c r="EV8" s="2" t="s">
        <v>143</v>
      </c>
      <c r="EW8" s="2" t="s">
        <v>143</v>
      </c>
      <c r="EX8" s="12" t="s">
        <v>140</v>
      </c>
      <c r="EY8" s="12" t="s">
        <v>140</v>
      </c>
      <c r="EZ8" s="24"/>
      <c r="FA8" s="24"/>
      <c r="FB8" s="2" t="s">
        <v>143</v>
      </c>
      <c r="FC8" s="2" t="s">
        <v>143</v>
      </c>
      <c r="FD8" s="2" t="s">
        <v>143</v>
      </c>
      <c r="FE8" s="2" t="s">
        <v>143</v>
      </c>
      <c r="FF8" s="2" t="s">
        <v>143</v>
      </c>
      <c r="FG8" s="24"/>
      <c r="FH8" s="24"/>
      <c r="FI8" s="2" t="s">
        <v>143</v>
      </c>
      <c r="FJ8" s="2" t="s">
        <v>143</v>
      </c>
      <c r="FK8" s="2" t="s">
        <v>143</v>
      </c>
      <c r="FL8" s="2" t="s">
        <v>143</v>
      </c>
      <c r="FM8" s="2" t="s">
        <v>143</v>
      </c>
      <c r="FN8" s="24"/>
      <c r="FO8" s="24"/>
      <c r="FP8" s="2" t="s">
        <v>143</v>
      </c>
      <c r="FQ8" s="2" t="s">
        <v>143</v>
      </c>
      <c r="FR8" s="2" t="s">
        <v>143</v>
      </c>
      <c r="FS8" s="2" t="s">
        <v>143</v>
      </c>
      <c r="FT8" s="2" t="s">
        <v>143</v>
      </c>
      <c r="FU8" s="24"/>
      <c r="FV8" s="24"/>
      <c r="FW8" s="2" t="s">
        <v>143</v>
      </c>
      <c r="FX8" s="2" t="s">
        <v>143</v>
      </c>
      <c r="FY8" s="2" t="s">
        <v>143</v>
      </c>
      <c r="FZ8" s="2" t="s">
        <v>143</v>
      </c>
      <c r="GA8" s="2" t="s">
        <v>143</v>
      </c>
      <c r="GB8" s="24"/>
      <c r="GC8" s="24"/>
      <c r="GD8" s="24"/>
      <c r="GE8" s="2" t="s">
        <v>143</v>
      </c>
      <c r="GF8" s="2" t="s">
        <v>143</v>
      </c>
      <c r="GG8" s="2" t="s">
        <v>143</v>
      </c>
      <c r="GH8" s="2" t="s">
        <v>143</v>
      </c>
      <c r="GI8" s="24"/>
      <c r="GJ8" s="24"/>
      <c r="GK8" s="2" t="s">
        <v>143</v>
      </c>
      <c r="GL8" s="2" t="s">
        <v>143</v>
      </c>
      <c r="GM8" s="2" t="s">
        <v>143</v>
      </c>
      <c r="GN8" s="2" t="s">
        <v>143</v>
      </c>
      <c r="GO8" s="2" t="s">
        <v>143</v>
      </c>
      <c r="GP8" s="24"/>
      <c r="GQ8" s="24"/>
      <c r="GR8" s="2" t="s">
        <v>143</v>
      </c>
      <c r="GS8" s="2" t="s">
        <v>143</v>
      </c>
      <c r="GT8" s="2" t="s">
        <v>143</v>
      </c>
      <c r="GU8" s="2" t="s">
        <v>143</v>
      </c>
      <c r="GV8" s="2" t="s">
        <v>143</v>
      </c>
      <c r="GW8" s="24"/>
      <c r="GX8" s="24"/>
      <c r="GY8" s="2" t="s">
        <v>143</v>
      </c>
      <c r="GZ8" s="2" t="s">
        <v>143</v>
      </c>
      <c r="HA8" s="2" t="s">
        <v>143</v>
      </c>
      <c r="HB8" s="2" t="s">
        <v>143</v>
      </c>
      <c r="HC8" s="12" t="s">
        <v>140</v>
      </c>
      <c r="HD8" s="24"/>
      <c r="HE8" s="24"/>
      <c r="HF8" s="11" t="s">
        <v>141</v>
      </c>
      <c r="HG8" s="11" t="s">
        <v>141</v>
      </c>
      <c r="HH8" s="11" t="s">
        <v>141</v>
      </c>
      <c r="HI8" s="11" t="s">
        <v>141</v>
      </c>
      <c r="HJ8" s="11" t="s">
        <v>141</v>
      </c>
      <c r="HK8" s="24"/>
      <c r="HL8" s="24"/>
      <c r="HM8" s="11" t="s">
        <v>141</v>
      </c>
      <c r="HN8" s="11" t="s">
        <v>141</v>
      </c>
      <c r="HO8" s="11" t="s">
        <v>141</v>
      </c>
      <c r="HP8" s="2" t="s">
        <v>143</v>
      </c>
      <c r="HQ8" s="2" t="s">
        <v>143</v>
      </c>
      <c r="HR8" s="24"/>
      <c r="HS8" s="24"/>
      <c r="HT8" s="2" t="s">
        <v>143</v>
      </c>
      <c r="HU8" s="2" t="s">
        <v>143</v>
      </c>
      <c r="HV8" s="2" t="s">
        <v>143</v>
      </c>
      <c r="HW8" s="2" t="s">
        <v>143</v>
      </c>
      <c r="HX8" s="2" t="s">
        <v>143</v>
      </c>
      <c r="HY8" s="24"/>
      <c r="HZ8" s="24"/>
      <c r="IA8" s="2" t="s">
        <v>143</v>
      </c>
      <c r="IB8" s="2" t="s">
        <v>143</v>
      </c>
      <c r="IC8" s="2" t="s">
        <v>143</v>
      </c>
      <c r="ID8" s="2" t="s">
        <v>143</v>
      </c>
      <c r="IE8" s="2" t="s">
        <v>143</v>
      </c>
      <c r="IF8" s="24"/>
      <c r="IG8" s="24"/>
      <c r="IH8" s="2" t="s">
        <v>143</v>
      </c>
      <c r="II8" s="2" t="s">
        <v>143</v>
      </c>
      <c r="IJ8" s="2" t="s">
        <v>143</v>
      </c>
      <c r="IK8" s="2" t="s">
        <v>143</v>
      </c>
      <c r="IL8" s="2" t="s">
        <v>143</v>
      </c>
      <c r="IM8" s="24"/>
      <c r="IN8" s="24"/>
      <c r="IO8" s="2" t="s">
        <v>143</v>
      </c>
      <c r="IP8" s="2" t="s">
        <v>143</v>
      </c>
      <c r="IQ8" s="2" t="s">
        <v>143</v>
      </c>
      <c r="IR8" s="2" t="s">
        <v>143</v>
      </c>
      <c r="IS8" s="2" t="s">
        <v>143</v>
      </c>
      <c r="IT8" s="24"/>
      <c r="IU8" s="24"/>
      <c r="IV8" s="2" t="s">
        <v>143</v>
      </c>
      <c r="IW8" s="2" t="s">
        <v>143</v>
      </c>
      <c r="IX8" s="2" t="s">
        <v>143</v>
      </c>
      <c r="IY8" s="2" t="s">
        <v>143</v>
      </c>
      <c r="IZ8" s="2" t="s">
        <v>143</v>
      </c>
      <c r="JA8" s="24"/>
      <c r="JB8" s="24"/>
      <c r="JC8" s="2" t="s">
        <v>143</v>
      </c>
      <c r="JD8" s="2" t="s">
        <v>143</v>
      </c>
      <c r="JE8" s="2" t="s">
        <v>143</v>
      </c>
      <c r="JF8" s="2" t="s">
        <v>143</v>
      </c>
      <c r="JG8" s="2" t="s">
        <v>143</v>
      </c>
      <c r="JH8" s="24"/>
      <c r="JI8" s="24"/>
      <c r="JJ8" s="2" t="s">
        <v>143</v>
      </c>
      <c r="JK8" s="2" t="s">
        <v>143</v>
      </c>
      <c r="JL8" s="2" t="s">
        <v>143</v>
      </c>
      <c r="JM8" s="2" t="s">
        <v>143</v>
      </c>
      <c r="JN8" s="2" t="s">
        <v>143</v>
      </c>
      <c r="JO8" s="24"/>
      <c r="JP8" s="24"/>
      <c r="JQ8" s="2" t="s">
        <v>143</v>
      </c>
      <c r="JR8" s="2" t="s">
        <v>143</v>
      </c>
      <c r="JS8" s="2" t="s">
        <v>143</v>
      </c>
      <c r="JT8" s="2" t="s">
        <v>143</v>
      </c>
      <c r="JU8" s="2" t="s">
        <v>143</v>
      </c>
      <c r="JV8" s="24"/>
      <c r="JW8" s="24"/>
      <c r="JX8" s="2" t="s">
        <v>143</v>
      </c>
      <c r="JY8" s="2" t="s">
        <v>143</v>
      </c>
      <c r="JZ8" s="2" t="s">
        <v>143</v>
      </c>
      <c r="KA8" s="2" t="s">
        <v>143</v>
      </c>
      <c r="KB8" s="11" t="s">
        <v>141</v>
      </c>
      <c r="KC8" s="24"/>
      <c r="KD8" s="24"/>
      <c r="KE8" s="12" t="s">
        <v>140</v>
      </c>
      <c r="KF8" s="12" t="s">
        <v>140</v>
      </c>
      <c r="KG8" s="12" t="s">
        <v>140</v>
      </c>
      <c r="KH8" s="12" t="s">
        <v>140</v>
      </c>
      <c r="KI8" s="2" t="s">
        <v>143</v>
      </c>
      <c r="KJ8" s="24"/>
      <c r="KK8" s="24"/>
      <c r="KL8" s="2" t="s">
        <v>143</v>
      </c>
      <c r="KM8" s="2" t="s">
        <v>143</v>
      </c>
      <c r="KN8" s="2" t="s">
        <v>143</v>
      </c>
      <c r="KO8" s="2" t="s">
        <v>143</v>
      </c>
      <c r="KP8" s="2" t="s">
        <v>143</v>
      </c>
      <c r="KQ8" s="24" t="s">
        <v>152</v>
      </c>
      <c r="KR8" s="24" t="s">
        <v>152</v>
      </c>
      <c r="KS8" s="2" t="s">
        <v>143</v>
      </c>
      <c r="KT8" s="2" t="s">
        <v>143</v>
      </c>
      <c r="KU8" s="24"/>
      <c r="KV8" s="24"/>
      <c r="KW8" s="2" t="s">
        <v>143</v>
      </c>
      <c r="KX8" s="24"/>
      <c r="KY8" s="24"/>
      <c r="KZ8" s="11" t="s">
        <v>141</v>
      </c>
      <c r="LA8" s="11" t="s">
        <v>141</v>
      </c>
      <c r="LB8" s="33"/>
      <c r="LC8" s="33"/>
      <c r="LD8" s="33"/>
      <c r="LE8" s="33"/>
      <c r="LF8" s="33"/>
    </row>
    <row r="9" spans="1:463">
      <c r="A9" s="48" t="s">
        <v>167</v>
      </c>
      <c r="B9" s="48" t="s">
        <v>38</v>
      </c>
      <c r="C9" s="49" t="s">
        <v>38</v>
      </c>
      <c r="D9" s="8" t="s">
        <v>143</v>
      </c>
      <c r="E9" s="8" t="s">
        <v>143</v>
      </c>
      <c r="F9" s="8" t="s">
        <v>143</v>
      </c>
      <c r="G9" s="8" t="s">
        <v>143</v>
      </c>
      <c r="H9" s="8" t="s">
        <v>143</v>
      </c>
      <c r="I9" s="7"/>
      <c r="J9" s="7"/>
      <c r="K9" s="8" t="s">
        <v>143</v>
      </c>
      <c r="L9" s="8" t="s">
        <v>143</v>
      </c>
      <c r="M9" s="8" t="s">
        <v>143</v>
      </c>
      <c r="N9" s="8" t="s">
        <v>143</v>
      </c>
      <c r="O9" s="8" t="s">
        <v>143</v>
      </c>
      <c r="P9" s="7"/>
      <c r="Q9" s="7"/>
      <c r="R9" s="8" t="s">
        <v>143</v>
      </c>
      <c r="S9" s="8" t="s">
        <v>143</v>
      </c>
      <c r="T9" s="8" t="s">
        <v>143</v>
      </c>
      <c r="U9" s="8" t="s">
        <v>143</v>
      </c>
      <c r="V9" s="8" t="s">
        <v>143</v>
      </c>
      <c r="W9" s="7"/>
      <c r="X9" s="7"/>
      <c r="Y9" s="8" t="s">
        <v>143</v>
      </c>
      <c r="Z9" s="8" t="s">
        <v>143</v>
      </c>
      <c r="AA9" s="8" t="s">
        <v>143</v>
      </c>
      <c r="AB9" s="8" t="s">
        <v>143</v>
      </c>
      <c r="AC9" s="8" t="s">
        <v>143</v>
      </c>
      <c r="AD9" s="7"/>
      <c r="AE9" s="7"/>
      <c r="AF9" s="8" t="s">
        <v>143</v>
      </c>
      <c r="AG9" s="8" t="s">
        <v>143</v>
      </c>
      <c r="AH9" s="8" t="s">
        <v>143</v>
      </c>
      <c r="AI9" s="8" t="s">
        <v>143</v>
      </c>
      <c r="AJ9" s="7" t="s">
        <v>142</v>
      </c>
      <c r="AK9" s="7"/>
      <c r="AL9" s="7"/>
      <c r="AM9" s="7" t="s">
        <v>142</v>
      </c>
      <c r="AN9" s="11" t="s">
        <v>141</v>
      </c>
      <c r="AO9" s="11" t="s">
        <v>141</v>
      </c>
      <c r="AP9" s="11" t="s">
        <v>141</v>
      </c>
      <c r="AQ9" s="11" t="s">
        <v>141</v>
      </c>
      <c r="AR9" s="7"/>
      <c r="AS9" s="7"/>
      <c r="AT9" s="8" t="s">
        <v>168</v>
      </c>
      <c r="AU9" s="8" t="s">
        <v>168</v>
      </c>
      <c r="AV9" s="8" t="s">
        <v>168</v>
      </c>
      <c r="AW9" s="8" t="s">
        <v>168</v>
      </c>
      <c r="AX9" s="8" t="s">
        <v>168</v>
      </c>
      <c r="AY9" s="7"/>
      <c r="AZ9" s="7"/>
      <c r="BA9" s="8" t="s">
        <v>168</v>
      </c>
      <c r="BB9" s="8" t="s">
        <v>168</v>
      </c>
      <c r="BC9" s="8" t="s">
        <v>168</v>
      </c>
      <c r="BD9" s="8" t="s">
        <v>168</v>
      </c>
      <c r="BE9" s="8" t="s">
        <v>168</v>
      </c>
      <c r="BF9" s="7"/>
      <c r="BG9" s="7"/>
      <c r="BH9" s="8" t="s">
        <v>168</v>
      </c>
      <c r="BI9" s="8" t="s">
        <v>168</v>
      </c>
      <c r="BJ9" s="8" t="s">
        <v>168</v>
      </c>
      <c r="BK9" s="8" t="s">
        <v>168</v>
      </c>
      <c r="BL9" s="8" t="s">
        <v>168</v>
      </c>
      <c r="BM9" s="7"/>
      <c r="BN9" s="7"/>
      <c r="BO9" s="8" t="s">
        <v>143</v>
      </c>
      <c r="BP9" s="8" t="s">
        <v>143</v>
      </c>
      <c r="BQ9" s="8" t="s">
        <v>143</v>
      </c>
      <c r="BR9" s="8" t="s">
        <v>143</v>
      </c>
      <c r="BS9" s="8" t="s">
        <v>143</v>
      </c>
      <c r="BT9" s="7"/>
      <c r="BU9" s="7"/>
      <c r="BV9" s="7" t="s">
        <v>142</v>
      </c>
      <c r="BW9" s="8" t="s">
        <v>143</v>
      </c>
      <c r="BX9" s="8" t="s">
        <v>143</v>
      </c>
      <c r="BY9" s="8" t="s">
        <v>143</v>
      </c>
      <c r="BZ9" s="8" t="s">
        <v>143</v>
      </c>
      <c r="CA9" s="7"/>
      <c r="CB9" s="7"/>
      <c r="CC9" s="8" t="s">
        <v>143</v>
      </c>
      <c r="CD9" s="8" t="s">
        <v>143</v>
      </c>
      <c r="CE9" s="8" t="s">
        <v>143</v>
      </c>
      <c r="CF9" s="8" t="s">
        <v>143</v>
      </c>
      <c r="CG9" s="8" t="s">
        <v>143</v>
      </c>
      <c r="CH9" s="3"/>
      <c r="CI9" s="3"/>
      <c r="CJ9" s="2" t="s">
        <v>143</v>
      </c>
      <c r="CK9" s="2" t="s">
        <v>143</v>
      </c>
      <c r="CL9" s="2" t="s">
        <v>143</v>
      </c>
      <c r="CM9" s="2" t="s">
        <v>143</v>
      </c>
      <c r="CN9" s="2" t="s">
        <v>143</v>
      </c>
      <c r="CO9" s="3"/>
      <c r="CP9" s="3"/>
      <c r="CQ9" s="3"/>
      <c r="CR9" s="2" t="s">
        <v>143</v>
      </c>
      <c r="CS9" s="2" t="s">
        <v>143</v>
      </c>
      <c r="CT9" s="2" t="s">
        <v>143</v>
      </c>
      <c r="CU9" s="2" t="s">
        <v>143</v>
      </c>
      <c r="CV9" s="3"/>
      <c r="CW9" s="3"/>
      <c r="CX9" s="2" t="s">
        <v>143</v>
      </c>
      <c r="CY9" s="2" t="s">
        <v>143</v>
      </c>
      <c r="CZ9" s="2" t="s">
        <v>143</v>
      </c>
      <c r="DA9" s="2" t="s">
        <v>143</v>
      </c>
      <c r="DB9" s="2" t="s">
        <v>143</v>
      </c>
      <c r="DC9" s="3"/>
      <c r="DD9" s="3"/>
      <c r="DE9" s="2" t="s">
        <v>143</v>
      </c>
      <c r="DF9" s="2" t="s">
        <v>143</v>
      </c>
      <c r="DG9" s="2" t="s">
        <v>143</v>
      </c>
      <c r="DH9" s="2" t="s">
        <v>143</v>
      </c>
      <c r="DI9" s="2" t="s">
        <v>143</v>
      </c>
      <c r="DJ9" s="24"/>
      <c r="DK9" s="24"/>
      <c r="DL9" s="2" t="s">
        <v>143</v>
      </c>
      <c r="DM9" s="2" t="s">
        <v>143</v>
      </c>
      <c r="DN9" s="2" t="s">
        <v>143</v>
      </c>
      <c r="DO9" s="2" t="s">
        <v>143</v>
      </c>
      <c r="DP9" s="2" t="s">
        <v>143</v>
      </c>
      <c r="DQ9" s="24"/>
      <c r="DR9" s="24"/>
      <c r="DS9" s="2" t="s">
        <v>143</v>
      </c>
      <c r="DT9" s="2" t="s">
        <v>143</v>
      </c>
      <c r="DU9" s="2" t="s">
        <v>143</v>
      </c>
      <c r="DV9" s="2" t="s">
        <v>143</v>
      </c>
      <c r="DW9" s="2" t="s">
        <v>143</v>
      </c>
      <c r="DX9" s="24"/>
      <c r="DY9" s="24"/>
      <c r="DZ9" s="2" t="s">
        <v>143</v>
      </c>
      <c r="EA9" s="2" t="s">
        <v>143</v>
      </c>
      <c r="EB9" s="2" t="s">
        <v>143</v>
      </c>
      <c r="EC9" s="2" t="s">
        <v>143</v>
      </c>
      <c r="ED9" s="2" t="s">
        <v>143</v>
      </c>
      <c r="EE9" s="24"/>
      <c r="EF9" s="24"/>
      <c r="EG9" s="2" t="s">
        <v>143</v>
      </c>
      <c r="EH9" s="2" t="s">
        <v>143</v>
      </c>
      <c r="EI9" s="2" t="s">
        <v>143</v>
      </c>
      <c r="EJ9" s="2" t="s">
        <v>143</v>
      </c>
      <c r="EK9" s="11" t="s">
        <v>141</v>
      </c>
      <c r="EL9" s="24"/>
      <c r="EM9" s="24"/>
      <c r="EN9" s="11" t="s">
        <v>141</v>
      </c>
      <c r="EO9" s="2" t="s">
        <v>143</v>
      </c>
      <c r="EP9" s="2" t="s">
        <v>143</v>
      </c>
      <c r="EQ9" s="2" t="s">
        <v>143</v>
      </c>
      <c r="ER9" s="2" t="s">
        <v>143</v>
      </c>
      <c r="ES9" s="24"/>
      <c r="ET9" s="24"/>
      <c r="EU9" s="11" t="s">
        <v>141</v>
      </c>
      <c r="EV9" s="83" t="s">
        <v>38</v>
      </c>
      <c r="EW9" s="83" t="s">
        <v>38</v>
      </c>
      <c r="EX9" s="12" t="s">
        <v>140</v>
      </c>
      <c r="EY9" s="12" t="s">
        <v>140</v>
      </c>
      <c r="EZ9" s="24"/>
      <c r="FA9" s="24"/>
      <c r="FB9" s="2" t="s">
        <v>143</v>
      </c>
      <c r="FC9" s="83" t="s">
        <v>38</v>
      </c>
      <c r="FD9" s="83" t="s">
        <v>38</v>
      </c>
      <c r="FE9" s="83" t="s">
        <v>38</v>
      </c>
      <c r="FF9" s="83" t="s">
        <v>38</v>
      </c>
      <c r="FG9" s="24"/>
      <c r="FH9" s="24"/>
      <c r="FI9" s="83" t="s">
        <v>38</v>
      </c>
      <c r="FJ9" s="2" t="s">
        <v>143</v>
      </c>
      <c r="FK9" s="2" t="s">
        <v>143</v>
      </c>
      <c r="FL9" s="2" t="s">
        <v>143</v>
      </c>
      <c r="FM9" s="11" t="s">
        <v>141</v>
      </c>
      <c r="FN9" s="24"/>
      <c r="FO9" s="24"/>
      <c r="FP9" s="11" t="s">
        <v>141</v>
      </c>
      <c r="FQ9" s="11" t="s">
        <v>141</v>
      </c>
      <c r="FR9" s="11" t="s">
        <v>141</v>
      </c>
      <c r="FS9" s="11" t="s">
        <v>141</v>
      </c>
      <c r="FT9" s="11" t="s">
        <v>141</v>
      </c>
      <c r="FU9" s="24"/>
      <c r="FV9" s="24"/>
      <c r="FW9" s="11" t="s">
        <v>141</v>
      </c>
      <c r="FX9" s="11" t="s">
        <v>141</v>
      </c>
      <c r="FY9" s="11" t="s">
        <v>141</v>
      </c>
      <c r="FZ9" s="11" t="s">
        <v>141</v>
      </c>
      <c r="GA9" s="11" t="s">
        <v>141</v>
      </c>
      <c r="GB9" s="24"/>
      <c r="GC9" s="24"/>
      <c r="GD9" s="24"/>
      <c r="GE9" s="2" t="s">
        <v>143</v>
      </c>
      <c r="GF9" s="2" t="s">
        <v>143</v>
      </c>
      <c r="GG9" s="2" t="s">
        <v>143</v>
      </c>
      <c r="GH9" s="2" t="s">
        <v>143</v>
      </c>
      <c r="GI9" s="24"/>
      <c r="GJ9" s="24"/>
      <c r="GK9" s="2" t="s">
        <v>143</v>
      </c>
      <c r="GL9" s="2" t="s">
        <v>143</v>
      </c>
      <c r="GM9" s="2" t="s">
        <v>143</v>
      </c>
      <c r="GN9" s="2" t="s">
        <v>143</v>
      </c>
      <c r="GO9" s="2" t="s">
        <v>143</v>
      </c>
      <c r="GP9" s="24"/>
      <c r="GQ9" s="24"/>
      <c r="GR9" s="2" t="s">
        <v>143</v>
      </c>
      <c r="GS9" s="2" t="s">
        <v>143</v>
      </c>
      <c r="GT9" s="2" t="s">
        <v>143</v>
      </c>
      <c r="GU9" s="2" t="s">
        <v>143</v>
      </c>
      <c r="GV9" s="2" t="s">
        <v>143</v>
      </c>
      <c r="GW9" s="24"/>
      <c r="GX9" s="24"/>
      <c r="GY9" s="2" t="s">
        <v>143</v>
      </c>
      <c r="GZ9" s="2" t="s">
        <v>143</v>
      </c>
      <c r="HA9" s="2" t="s">
        <v>143</v>
      </c>
      <c r="HB9" s="2" t="s">
        <v>143</v>
      </c>
      <c r="HC9" s="12" t="s">
        <v>140</v>
      </c>
      <c r="HD9" s="24"/>
      <c r="HE9" s="24"/>
      <c r="HF9" s="2" t="s">
        <v>143</v>
      </c>
      <c r="HG9" s="2" t="s">
        <v>143</v>
      </c>
      <c r="HH9" s="2" t="s">
        <v>143</v>
      </c>
      <c r="HI9" s="12" t="s">
        <v>140</v>
      </c>
      <c r="HJ9" s="12" t="s">
        <v>140</v>
      </c>
      <c r="HK9" s="24"/>
      <c r="HL9" s="24"/>
      <c r="HM9" s="2" t="s">
        <v>143</v>
      </c>
      <c r="HN9" s="2" t="s">
        <v>143</v>
      </c>
      <c r="HO9" s="2" t="s">
        <v>143</v>
      </c>
      <c r="HP9" s="2" t="s">
        <v>143</v>
      </c>
      <c r="HQ9" s="2" t="s">
        <v>143</v>
      </c>
      <c r="HR9" s="24"/>
      <c r="HS9" s="24"/>
      <c r="HT9" s="2" t="s">
        <v>143</v>
      </c>
      <c r="HU9" s="2" t="s">
        <v>143</v>
      </c>
      <c r="HV9" s="2" t="s">
        <v>143</v>
      </c>
      <c r="HW9" s="2" t="s">
        <v>143</v>
      </c>
      <c r="HX9" s="2" t="s">
        <v>143</v>
      </c>
      <c r="HY9" s="24"/>
      <c r="HZ9" s="24"/>
      <c r="IA9" s="2" t="s">
        <v>143</v>
      </c>
      <c r="IB9" s="2" t="s">
        <v>143</v>
      </c>
      <c r="IC9" s="2" t="s">
        <v>143</v>
      </c>
      <c r="ID9" s="2" t="s">
        <v>143</v>
      </c>
      <c r="IE9" s="2" t="s">
        <v>143</v>
      </c>
      <c r="IF9" s="24"/>
      <c r="IG9" s="24"/>
      <c r="IH9" s="2" t="s">
        <v>143</v>
      </c>
      <c r="II9" s="2" t="s">
        <v>143</v>
      </c>
      <c r="IJ9" s="2" t="s">
        <v>143</v>
      </c>
      <c r="IK9" s="2" t="s">
        <v>143</v>
      </c>
      <c r="IL9" s="2" t="s">
        <v>143</v>
      </c>
      <c r="IM9" s="24"/>
      <c r="IN9" s="24"/>
      <c r="IO9" s="2" t="s">
        <v>143</v>
      </c>
      <c r="IP9" s="2" t="s">
        <v>143</v>
      </c>
      <c r="IQ9" s="2" t="s">
        <v>143</v>
      </c>
      <c r="IR9" s="2" t="s">
        <v>143</v>
      </c>
      <c r="IS9" s="2" t="s">
        <v>143</v>
      </c>
      <c r="IT9" s="24"/>
      <c r="IU9" s="24"/>
      <c r="IV9" s="2" t="s">
        <v>143</v>
      </c>
      <c r="IW9" s="2" t="s">
        <v>143</v>
      </c>
      <c r="IX9" s="2" t="s">
        <v>143</v>
      </c>
      <c r="IY9" s="2" t="s">
        <v>143</v>
      </c>
      <c r="IZ9" s="11" t="s">
        <v>141</v>
      </c>
      <c r="JA9" s="24"/>
      <c r="JB9" s="24"/>
      <c r="JC9" s="11" t="s">
        <v>141</v>
      </c>
      <c r="JD9" s="11" t="s">
        <v>141</v>
      </c>
      <c r="JE9" s="11" t="s">
        <v>141</v>
      </c>
      <c r="JF9" s="11" t="s">
        <v>141</v>
      </c>
      <c r="JG9" s="11" t="s">
        <v>141</v>
      </c>
      <c r="JH9" s="24"/>
      <c r="JI9" s="24"/>
      <c r="JJ9" s="2" t="s">
        <v>143</v>
      </c>
      <c r="JK9" s="2" t="s">
        <v>143</v>
      </c>
      <c r="JL9" s="2" t="s">
        <v>143</v>
      </c>
      <c r="JM9" s="2" t="s">
        <v>143</v>
      </c>
      <c r="JN9" s="2" t="s">
        <v>143</v>
      </c>
      <c r="JO9" s="24"/>
      <c r="JP9" s="24"/>
      <c r="JQ9" s="2" t="s">
        <v>143</v>
      </c>
      <c r="JR9" s="2" t="s">
        <v>143</v>
      </c>
      <c r="JS9" s="2" t="s">
        <v>143</v>
      </c>
      <c r="JT9" s="2" t="s">
        <v>143</v>
      </c>
      <c r="JU9" s="2" t="s">
        <v>143</v>
      </c>
      <c r="JV9" s="24"/>
      <c r="JW9" s="24"/>
      <c r="JX9" s="2" t="s">
        <v>143</v>
      </c>
      <c r="JY9" s="2" t="s">
        <v>143</v>
      </c>
      <c r="JZ9" s="2" t="s">
        <v>143</v>
      </c>
      <c r="KA9" s="2" t="s">
        <v>143</v>
      </c>
      <c r="KB9" s="2" t="s">
        <v>143</v>
      </c>
      <c r="KC9" s="24"/>
      <c r="KD9" s="24"/>
      <c r="KE9" s="12" t="s">
        <v>140</v>
      </c>
      <c r="KF9" s="12" t="s">
        <v>140</v>
      </c>
      <c r="KG9" s="12" t="s">
        <v>140</v>
      </c>
      <c r="KH9" s="12" t="s">
        <v>140</v>
      </c>
      <c r="KI9" s="2" t="s">
        <v>143</v>
      </c>
      <c r="KJ9" s="24"/>
      <c r="KK9" s="24"/>
      <c r="KL9" s="2" t="s">
        <v>143</v>
      </c>
      <c r="KM9" s="2" t="s">
        <v>143</v>
      </c>
      <c r="KN9" s="2" t="s">
        <v>143</v>
      </c>
      <c r="KO9" s="2" t="s">
        <v>143</v>
      </c>
      <c r="KP9" s="2" t="s">
        <v>143</v>
      </c>
      <c r="KQ9" s="24"/>
      <c r="KR9" s="24"/>
      <c r="KS9" s="11" t="s">
        <v>141</v>
      </c>
      <c r="KT9" s="11" t="s">
        <v>141</v>
      </c>
      <c r="KU9" s="24"/>
      <c r="KV9" s="24"/>
      <c r="KW9" s="11" t="s">
        <v>141</v>
      </c>
      <c r="KX9" s="24"/>
      <c r="KY9" s="24"/>
      <c r="KZ9" s="2" t="s">
        <v>143</v>
      </c>
      <c r="LA9" s="2" t="s">
        <v>143</v>
      </c>
      <c r="LB9" s="33"/>
      <c r="LC9" s="33"/>
      <c r="LD9" s="33"/>
      <c r="LE9" s="33"/>
      <c r="LF9" s="33"/>
    </row>
    <row r="10" spans="1:463">
      <c r="A10" s="48" t="s">
        <v>169</v>
      </c>
      <c r="B10" s="48" t="s">
        <v>18</v>
      </c>
      <c r="C10" s="51" t="s">
        <v>170</v>
      </c>
      <c r="I10" s="3"/>
      <c r="J10" s="3"/>
      <c r="P10" s="3"/>
      <c r="Q10" s="3"/>
      <c r="W10" s="3"/>
      <c r="X10" s="3"/>
      <c r="AD10" s="3"/>
      <c r="AE10" s="3"/>
      <c r="AJ10" s="7"/>
      <c r="AK10" s="7"/>
      <c r="AL10" s="7"/>
      <c r="AM10" s="7"/>
      <c r="AR10" s="3"/>
      <c r="AS10" s="3"/>
      <c r="AT10" s="5" t="s">
        <v>38</v>
      </c>
      <c r="AU10" s="8" t="s">
        <v>143</v>
      </c>
      <c r="AV10" s="8" t="s">
        <v>143</v>
      </c>
      <c r="AW10" s="8" t="s">
        <v>143</v>
      </c>
      <c r="AX10" s="8" t="s">
        <v>143</v>
      </c>
      <c r="AY10" s="3"/>
      <c r="AZ10" s="3"/>
      <c r="BA10" s="8" t="s">
        <v>143</v>
      </c>
      <c r="BB10" s="8" t="s">
        <v>143</v>
      </c>
      <c r="BC10" s="8" t="s">
        <v>143</v>
      </c>
      <c r="BD10" s="8" t="s">
        <v>143</v>
      </c>
      <c r="BE10" s="8" t="s">
        <v>143</v>
      </c>
      <c r="BF10" s="3"/>
      <c r="BG10" s="3"/>
      <c r="BH10" s="8" t="s">
        <v>171</v>
      </c>
      <c r="BI10" s="8" t="s">
        <v>171</v>
      </c>
      <c r="BJ10" s="8" t="s">
        <v>171</v>
      </c>
      <c r="BK10" s="8" t="s">
        <v>171</v>
      </c>
      <c r="BL10" s="8" t="s">
        <v>171</v>
      </c>
      <c r="BM10" s="3"/>
      <c r="BN10" s="3"/>
      <c r="BO10" s="6"/>
      <c r="BP10" s="6"/>
      <c r="BQ10" s="6"/>
      <c r="BR10" s="6"/>
      <c r="BS10" s="6"/>
      <c r="BT10" s="3"/>
      <c r="BU10" s="3"/>
      <c r="BV10" s="7"/>
      <c r="CA10" s="3"/>
      <c r="CB10" s="3"/>
      <c r="CC10" s="10" t="s">
        <v>172</v>
      </c>
      <c r="CD10" s="8" t="s">
        <v>143</v>
      </c>
      <c r="CE10" s="8" t="s">
        <v>143</v>
      </c>
      <c r="CF10" s="8" t="s">
        <v>143</v>
      </c>
      <c r="CG10" s="8" t="s">
        <v>143</v>
      </c>
      <c r="CH10" s="24"/>
      <c r="CI10" s="24"/>
      <c r="CJ10" s="2" t="s">
        <v>143</v>
      </c>
      <c r="CK10" s="2" t="s">
        <v>143</v>
      </c>
      <c r="CL10" s="2" t="s">
        <v>143</v>
      </c>
      <c r="CM10" s="2" t="s">
        <v>143</v>
      </c>
      <c r="CN10" s="2" t="s">
        <v>143</v>
      </c>
      <c r="CO10" s="24"/>
      <c r="CP10" s="24"/>
      <c r="CQ10" s="24"/>
      <c r="CR10" s="2" t="s">
        <v>143</v>
      </c>
      <c r="CS10" s="2" t="s">
        <v>143</v>
      </c>
      <c r="CT10" s="2" t="s">
        <v>143</v>
      </c>
      <c r="CU10" s="2" t="s">
        <v>143</v>
      </c>
      <c r="CV10" s="24"/>
      <c r="CW10" s="24"/>
      <c r="CX10" s="12" t="s">
        <v>171</v>
      </c>
      <c r="CY10" s="12" t="s">
        <v>171</v>
      </c>
      <c r="CZ10" s="12" t="s">
        <v>171</v>
      </c>
      <c r="DA10" s="12" t="s">
        <v>171</v>
      </c>
      <c r="DB10" s="12" t="s">
        <v>171</v>
      </c>
      <c r="DC10" s="24"/>
      <c r="DD10" s="24"/>
      <c r="DE10" s="2" t="s">
        <v>143</v>
      </c>
      <c r="DF10" s="2" t="s">
        <v>143</v>
      </c>
      <c r="DG10" s="2" t="s">
        <v>143</v>
      </c>
      <c r="DH10" s="2" t="s">
        <v>143</v>
      </c>
      <c r="DI10" s="2" t="s">
        <v>143</v>
      </c>
      <c r="DJ10" s="24"/>
      <c r="DK10" s="24"/>
      <c r="DL10" s="2" t="s">
        <v>143</v>
      </c>
      <c r="DM10" s="2" t="s">
        <v>143</v>
      </c>
      <c r="DN10" s="2" t="s">
        <v>143</v>
      </c>
      <c r="DO10" s="2" t="s">
        <v>143</v>
      </c>
      <c r="DP10" s="2" t="s">
        <v>143</v>
      </c>
      <c r="DQ10" s="24"/>
      <c r="DR10" s="24"/>
      <c r="DS10" s="2" t="s">
        <v>143</v>
      </c>
      <c r="DT10" s="2" t="s">
        <v>143</v>
      </c>
      <c r="DU10" s="2" t="s">
        <v>143</v>
      </c>
      <c r="DV10" s="2" t="s">
        <v>143</v>
      </c>
      <c r="DW10" s="2" t="s">
        <v>143</v>
      </c>
      <c r="DX10" s="24"/>
      <c r="DY10" s="24"/>
      <c r="DZ10" s="2" t="s">
        <v>143</v>
      </c>
      <c r="EA10" s="2" t="s">
        <v>143</v>
      </c>
      <c r="EB10" s="2" t="s">
        <v>143</v>
      </c>
      <c r="EC10" s="2" t="s">
        <v>143</v>
      </c>
      <c r="ED10" s="2" t="s">
        <v>143</v>
      </c>
      <c r="EE10" s="24"/>
      <c r="EF10" s="24"/>
      <c r="EG10" s="12" t="s">
        <v>171</v>
      </c>
      <c r="EH10" s="12" t="s">
        <v>171</v>
      </c>
      <c r="EI10" s="12" t="s">
        <v>171</v>
      </c>
      <c r="EJ10" s="12" t="s">
        <v>171</v>
      </c>
      <c r="EK10" s="12" t="s">
        <v>171</v>
      </c>
      <c r="EL10" s="24"/>
      <c r="EM10" s="24"/>
      <c r="EN10" s="2" t="s">
        <v>143</v>
      </c>
      <c r="EO10" s="2" t="s">
        <v>143</v>
      </c>
      <c r="EP10" s="2" t="s">
        <v>143</v>
      </c>
      <c r="EQ10" s="81" t="s">
        <v>173</v>
      </c>
      <c r="ER10" s="81" t="s">
        <v>173</v>
      </c>
      <c r="ES10" s="24"/>
      <c r="ET10" s="24"/>
      <c r="EZ10" s="24"/>
      <c r="FA10" s="24"/>
      <c r="FG10" s="24"/>
      <c r="FH10" s="24"/>
      <c r="FI10" s="11" t="s">
        <v>141</v>
      </c>
      <c r="FJ10" s="11" t="s">
        <v>141</v>
      </c>
      <c r="FK10" s="11" t="s">
        <v>141</v>
      </c>
      <c r="FL10" s="11" t="s">
        <v>141</v>
      </c>
      <c r="FM10" s="11" t="s">
        <v>141</v>
      </c>
      <c r="FN10" s="24"/>
      <c r="FO10" s="24"/>
      <c r="FP10" s="2" t="s">
        <v>143</v>
      </c>
      <c r="FQ10" s="2" t="s">
        <v>143</v>
      </c>
      <c r="FR10" s="2" t="s">
        <v>143</v>
      </c>
      <c r="FS10" s="2" t="s">
        <v>143</v>
      </c>
      <c r="FT10" s="2" t="s">
        <v>143</v>
      </c>
      <c r="FU10" s="24"/>
      <c r="FV10" s="24"/>
      <c r="FW10" s="2" t="s">
        <v>143</v>
      </c>
      <c r="FX10" s="2" t="s">
        <v>143</v>
      </c>
      <c r="FY10" s="2" t="s">
        <v>143</v>
      </c>
      <c r="FZ10" s="2" t="s">
        <v>143</v>
      </c>
      <c r="GA10" s="2" t="s">
        <v>143</v>
      </c>
      <c r="GB10" s="24"/>
      <c r="GC10" s="24"/>
      <c r="GD10" s="24"/>
      <c r="GE10" s="2" t="s">
        <v>143</v>
      </c>
      <c r="GF10" s="2" t="s">
        <v>143</v>
      </c>
      <c r="GG10" s="2" t="s">
        <v>143</v>
      </c>
      <c r="GH10" s="2" t="s">
        <v>143</v>
      </c>
      <c r="GI10" s="24"/>
      <c r="GJ10" s="24"/>
      <c r="GK10" s="11" t="s">
        <v>141</v>
      </c>
      <c r="GL10" s="2" t="s">
        <v>143</v>
      </c>
      <c r="GM10" s="2" t="s">
        <v>143</v>
      </c>
      <c r="GN10" s="2" t="s">
        <v>143</v>
      </c>
      <c r="GO10" s="2" t="s">
        <v>143</v>
      </c>
      <c r="GP10" s="24"/>
      <c r="GQ10" s="24"/>
      <c r="GR10" s="11" t="s">
        <v>141</v>
      </c>
      <c r="GS10" s="11" t="s">
        <v>141</v>
      </c>
      <c r="GT10" s="11" t="s">
        <v>141</v>
      </c>
      <c r="GU10" s="11" t="s">
        <v>141</v>
      </c>
      <c r="GV10" s="11" t="s">
        <v>141</v>
      </c>
      <c r="GW10" s="24"/>
      <c r="GX10" s="24"/>
      <c r="GY10" s="11" t="s">
        <v>141</v>
      </c>
      <c r="GZ10" s="11" t="s">
        <v>141</v>
      </c>
      <c r="HA10" s="11" t="s">
        <v>141</v>
      </c>
      <c r="HB10" s="11" t="s">
        <v>141</v>
      </c>
      <c r="HC10" s="11" t="s">
        <v>141</v>
      </c>
      <c r="HD10" s="24"/>
      <c r="HE10" s="24"/>
      <c r="HF10" s="2" t="s">
        <v>143</v>
      </c>
      <c r="HG10" s="2" t="s">
        <v>143</v>
      </c>
      <c r="HH10" s="2" t="s">
        <v>143</v>
      </c>
      <c r="HI10" s="2" t="s">
        <v>143</v>
      </c>
      <c r="HJ10" s="2" t="s">
        <v>143</v>
      </c>
      <c r="HK10" s="24"/>
      <c r="HL10" s="24"/>
      <c r="HM10" s="2" t="s">
        <v>143</v>
      </c>
      <c r="HN10" s="2" t="s">
        <v>143</v>
      </c>
      <c r="HO10" s="2" t="s">
        <v>143</v>
      </c>
      <c r="HP10" s="2" t="s">
        <v>143</v>
      </c>
      <c r="HQ10" s="2" t="s">
        <v>143</v>
      </c>
      <c r="HR10" s="24"/>
      <c r="HS10" s="24"/>
      <c r="HT10" s="2" t="s">
        <v>143</v>
      </c>
      <c r="HU10" s="2" t="s">
        <v>143</v>
      </c>
      <c r="HV10" s="2" t="s">
        <v>143</v>
      </c>
      <c r="HW10" s="2" t="s">
        <v>143</v>
      </c>
      <c r="HX10" s="2" t="s">
        <v>143</v>
      </c>
      <c r="HY10" s="24"/>
      <c r="HZ10" s="24"/>
      <c r="IA10" s="2" t="s">
        <v>143</v>
      </c>
      <c r="IB10" s="2" t="s">
        <v>143</v>
      </c>
      <c r="IC10" s="2" t="s">
        <v>143</v>
      </c>
      <c r="ID10" s="2" t="s">
        <v>143</v>
      </c>
      <c r="IE10" s="2" t="s">
        <v>143</v>
      </c>
      <c r="IF10" s="24"/>
      <c r="IG10" s="24"/>
      <c r="IH10" s="2" t="s">
        <v>143</v>
      </c>
      <c r="II10" s="2" t="s">
        <v>143</v>
      </c>
      <c r="IJ10" s="2" t="s">
        <v>143</v>
      </c>
      <c r="IK10" s="2" t="s">
        <v>143</v>
      </c>
      <c r="IL10" s="2" t="s">
        <v>143</v>
      </c>
      <c r="IM10" s="24"/>
      <c r="IN10" s="24"/>
      <c r="IO10" s="2" t="s">
        <v>143</v>
      </c>
      <c r="IP10" s="2" t="s">
        <v>143</v>
      </c>
      <c r="IQ10" s="2" t="s">
        <v>143</v>
      </c>
      <c r="IR10" s="2" t="s">
        <v>143</v>
      </c>
      <c r="IS10" s="2" t="s">
        <v>143</v>
      </c>
      <c r="IT10" s="24"/>
      <c r="IU10" s="24"/>
      <c r="IV10" s="2" t="s">
        <v>143</v>
      </c>
      <c r="IW10" s="2" t="s">
        <v>143</v>
      </c>
      <c r="IX10" s="2" t="s">
        <v>143</v>
      </c>
      <c r="IY10" s="2" t="s">
        <v>143</v>
      </c>
      <c r="IZ10" s="2" t="s">
        <v>143</v>
      </c>
      <c r="JA10" s="24"/>
      <c r="JB10" s="24"/>
      <c r="JC10" s="2" t="s">
        <v>143</v>
      </c>
      <c r="JD10" s="2" t="s">
        <v>143</v>
      </c>
      <c r="JE10" s="2" t="s">
        <v>143</v>
      </c>
      <c r="JF10" s="2" t="s">
        <v>143</v>
      </c>
      <c r="JG10" s="2" t="s">
        <v>143</v>
      </c>
      <c r="JH10" s="24"/>
      <c r="JI10" s="24"/>
      <c r="JJ10" s="2" t="s">
        <v>143</v>
      </c>
      <c r="JK10" s="2" t="s">
        <v>143</v>
      </c>
      <c r="JL10" s="2" t="s">
        <v>143</v>
      </c>
      <c r="JM10" s="2" t="s">
        <v>143</v>
      </c>
      <c r="JN10" s="2" t="s">
        <v>143</v>
      </c>
      <c r="JO10" s="24"/>
      <c r="JP10" s="24"/>
      <c r="JQ10" s="2" t="s">
        <v>143</v>
      </c>
      <c r="JR10" s="2" t="s">
        <v>143</v>
      </c>
      <c r="JS10" s="2" t="s">
        <v>143</v>
      </c>
      <c r="JT10" s="2" t="s">
        <v>143</v>
      </c>
      <c r="JU10" s="2" t="s">
        <v>143</v>
      </c>
      <c r="JV10" s="24"/>
      <c r="JW10" s="24"/>
      <c r="JX10" s="80" t="s">
        <v>151</v>
      </c>
      <c r="JY10" s="80" t="s">
        <v>151</v>
      </c>
      <c r="JZ10" s="80" t="s">
        <v>151</v>
      </c>
      <c r="KA10" s="80" t="s">
        <v>151</v>
      </c>
      <c r="KB10" s="80" t="s">
        <v>151</v>
      </c>
      <c r="KC10" s="24"/>
      <c r="KD10" s="24"/>
      <c r="KE10" s="11" t="s">
        <v>141</v>
      </c>
      <c r="KF10" s="11" t="s">
        <v>141</v>
      </c>
      <c r="KG10" s="11" t="s">
        <v>141</v>
      </c>
      <c r="KH10" s="11" t="s">
        <v>141</v>
      </c>
      <c r="KI10" s="11" t="s">
        <v>141</v>
      </c>
      <c r="KJ10" s="24"/>
      <c r="KK10" s="24"/>
      <c r="KL10" s="11" t="s">
        <v>141</v>
      </c>
      <c r="KM10" s="80" t="s">
        <v>151</v>
      </c>
      <c r="KN10" s="80" t="s">
        <v>151</v>
      </c>
      <c r="KO10" s="80" t="s">
        <v>151</v>
      </c>
      <c r="KP10" s="80" t="s">
        <v>151</v>
      </c>
      <c r="KQ10" s="24"/>
      <c r="KR10" s="24"/>
      <c r="KS10" s="80" t="s">
        <v>151</v>
      </c>
      <c r="KT10" s="80" t="s">
        <v>151</v>
      </c>
      <c r="KU10" s="24"/>
      <c r="KV10" s="24"/>
      <c r="KW10" s="11" t="s">
        <v>141</v>
      </c>
      <c r="KX10" s="24"/>
      <c r="KY10" s="24"/>
      <c r="KZ10" s="80" t="s">
        <v>151</v>
      </c>
      <c r="LA10" s="80" t="s">
        <v>151</v>
      </c>
      <c r="LB10" s="33"/>
      <c r="LC10" s="33"/>
      <c r="LD10" s="33"/>
      <c r="LE10" s="33"/>
      <c r="LF10" s="33"/>
    </row>
    <row r="11" spans="1:463" s="43" customFormat="1">
      <c r="A11" s="38" t="s">
        <v>22</v>
      </c>
      <c r="B11" s="42"/>
      <c r="C11" s="42"/>
      <c r="D11" s="42"/>
      <c r="E11" s="42"/>
      <c r="F11" s="42"/>
      <c r="G11" s="42"/>
      <c r="H11" s="42"/>
      <c r="I11" s="7"/>
      <c r="J11" s="7"/>
      <c r="K11" s="42"/>
      <c r="L11" s="42"/>
      <c r="M11" s="42"/>
      <c r="N11" s="42"/>
      <c r="O11" s="42"/>
      <c r="P11" s="7"/>
      <c r="Q11" s="7"/>
      <c r="R11" s="42"/>
      <c r="S11" s="42"/>
      <c r="V11" s="42"/>
      <c r="W11" s="7"/>
      <c r="X11" s="7"/>
      <c r="Y11" s="42"/>
      <c r="Z11" s="42"/>
      <c r="AA11" s="42"/>
      <c r="AB11" s="42"/>
      <c r="AD11" s="7"/>
      <c r="AE11" s="7"/>
      <c r="AF11" s="42"/>
      <c r="AG11" s="42"/>
      <c r="AH11" s="42"/>
      <c r="AI11" s="42"/>
      <c r="AJ11" s="7"/>
      <c r="AK11" s="7"/>
      <c r="AL11" s="7"/>
      <c r="AM11" s="7"/>
      <c r="AN11" s="42"/>
      <c r="AP11" s="42"/>
      <c r="AQ11" s="42"/>
      <c r="AR11" s="7"/>
      <c r="AS11" s="7"/>
      <c r="AT11" s="42"/>
      <c r="AU11" s="42"/>
      <c r="AV11" s="42"/>
      <c r="AW11" s="42"/>
      <c r="AX11" s="42"/>
      <c r="AY11" s="7"/>
      <c r="AZ11" s="7"/>
      <c r="BA11" s="42"/>
      <c r="BB11" s="42"/>
      <c r="BC11" s="42"/>
      <c r="BD11" s="42"/>
      <c r="BE11" s="42"/>
      <c r="BF11" s="7"/>
      <c r="BG11" s="7"/>
      <c r="BH11" s="42"/>
      <c r="BI11" s="42"/>
      <c r="BJ11" s="42"/>
      <c r="BK11" s="42"/>
      <c r="BL11" s="42"/>
      <c r="BM11" s="7"/>
      <c r="BN11" s="7"/>
      <c r="BO11" s="42"/>
      <c r="BP11" s="42"/>
      <c r="BQ11" s="42"/>
      <c r="BR11" s="42"/>
      <c r="BS11" s="42"/>
      <c r="BT11" s="7"/>
      <c r="BU11" s="7"/>
      <c r="BV11" s="7"/>
      <c r="BW11" s="42"/>
      <c r="BX11" s="42"/>
      <c r="BY11" s="42"/>
      <c r="BZ11" s="42"/>
      <c r="CA11" s="7"/>
      <c r="CB11" s="7"/>
      <c r="CC11" s="42"/>
      <c r="CD11" s="42"/>
      <c r="CE11" s="42"/>
      <c r="CF11" s="42"/>
      <c r="CG11" s="42"/>
      <c r="CH11" s="3"/>
      <c r="CI11" s="3"/>
      <c r="CO11" s="3"/>
      <c r="CP11" s="3"/>
      <c r="CQ11" s="3"/>
      <c r="CV11" s="3"/>
      <c r="CW11" s="3"/>
      <c r="DC11" s="3"/>
      <c r="DD11" s="3"/>
      <c r="DJ11" s="24"/>
      <c r="DK11" s="24"/>
      <c r="DQ11" s="24"/>
      <c r="DR11" s="24"/>
      <c r="DX11" s="24"/>
      <c r="DY11" s="24"/>
      <c r="EE11" s="24"/>
      <c r="EF11" s="24"/>
      <c r="EL11" s="24"/>
      <c r="EM11" s="24"/>
      <c r="ES11" s="24"/>
      <c r="ET11" s="24"/>
      <c r="EZ11" s="24"/>
      <c r="FA11" s="24"/>
      <c r="FG11" s="24"/>
      <c r="FH11" s="24"/>
      <c r="FN11" s="24"/>
      <c r="FO11" s="24"/>
      <c r="FU11" s="24"/>
      <c r="FV11" s="24"/>
      <c r="GB11" s="24"/>
      <c r="GC11" s="24"/>
      <c r="GD11" s="24"/>
      <c r="GI11" s="24"/>
      <c r="GJ11" s="24"/>
      <c r="GP11" s="24"/>
      <c r="GQ11" s="24"/>
      <c r="GW11" s="24"/>
      <c r="GX11" s="24"/>
      <c r="HD11" s="24"/>
      <c r="HE11" s="24"/>
      <c r="HK11" s="24"/>
      <c r="HL11" s="24"/>
      <c r="HR11" s="24"/>
      <c r="HS11" s="24"/>
      <c r="HY11" s="24"/>
      <c r="HZ11" s="24"/>
      <c r="IF11" s="24"/>
      <c r="IG11" s="24"/>
      <c r="IM11" s="24"/>
      <c r="IN11" s="24"/>
      <c r="IT11" s="24"/>
      <c r="IU11" s="24"/>
      <c r="JA11" s="24"/>
      <c r="JB11" s="24"/>
      <c r="JH11" s="24"/>
      <c r="JI11" s="24"/>
      <c r="JO11" s="24"/>
      <c r="JP11" s="24"/>
      <c r="JV11" s="24"/>
      <c r="JW11" s="24"/>
      <c r="KC11" s="24"/>
      <c r="KD11" s="24"/>
      <c r="KJ11" s="24"/>
      <c r="KK11" s="24"/>
      <c r="KQ11" s="24"/>
      <c r="KR11" s="24"/>
      <c r="KU11" s="24"/>
      <c r="KV11" s="24"/>
      <c r="KX11" s="24"/>
      <c r="KY11" s="24"/>
      <c r="LB11" s="33"/>
      <c r="LC11" s="33"/>
      <c r="LD11" s="33"/>
      <c r="LE11" s="33"/>
      <c r="LF11" s="33"/>
    </row>
    <row r="12" spans="1:463">
      <c r="A12" s="48" t="s">
        <v>174</v>
      </c>
      <c r="B12" s="48" t="s">
        <v>175</v>
      </c>
      <c r="C12" s="48" t="s">
        <v>37</v>
      </c>
      <c r="D12" s="8" t="s">
        <v>143</v>
      </c>
      <c r="E12" s="8" t="s">
        <v>143</v>
      </c>
      <c r="F12" s="8" t="s">
        <v>143</v>
      </c>
      <c r="G12" s="8" t="s">
        <v>143</v>
      </c>
      <c r="H12" s="8" t="s">
        <v>143</v>
      </c>
      <c r="I12" s="7"/>
      <c r="J12" s="7"/>
      <c r="K12" s="8" t="s">
        <v>143</v>
      </c>
      <c r="L12" s="8" t="s">
        <v>143</v>
      </c>
      <c r="M12" s="8" t="s">
        <v>143</v>
      </c>
      <c r="N12" s="8" t="s">
        <v>143</v>
      </c>
      <c r="O12" s="8" t="s">
        <v>143</v>
      </c>
      <c r="P12" s="7"/>
      <c r="Q12" s="7"/>
      <c r="R12" s="8" t="s">
        <v>143</v>
      </c>
      <c r="S12" s="8" t="s">
        <v>143</v>
      </c>
      <c r="T12" s="8" t="s">
        <v>143</v>
      </c>
      <c r="U12" s="5" t="s">
        <v>176</v>
      </c>
      <c r="V12" s="8" t="s">
        <v>143</v>
      </c>
      <c r="W12" s="7"/>
      <c r="X12" s="7"/>
      <c r="Y12" s="8" t="s">
        <v>143</v>
      </c>
      <c r="Z12" s="8" t="s">
        <v>143</v>
      </c>
      <c r="AA12" s="8" t="s">
        <v>143</v>
      </c>
      <c r="AB12" s="8" t="s">
        <v>143</v>
      </c>
      <c r="AC12" s="8" t="s">
        <v>143</v>
      </c>
      <c r="AD12" s="7"/>
      <c r="AE12" s="7"/>
      <c r="AF12" s="12" t="s">
        <v>140</v>
      </c>
      <c r="AG12" s="12" t="s">
        <v>140</v>
      </c>
      <c r="AH12" s="8" t="s">
        <v>143</v>
      </c>
      <c r="AI12" s="8" t="s">
        <v>143</v>
      </c>
      <c r="AJ12" s="7" t="s">
        <v>142</v>
      </c>
      <c r="AK12" s="7"/>
      <c r="AL12" s="7"/>
      <c r="AM12" s="7" t="s">
        <v>142</v>
      </c>
      <c r="AN12" s="8" t="s">
        <v>143</v>
      </c>
      <c r="AO12" s="6"/>
      <c r="AP12" s="6"/>
      <c r="AQ12" s="8" t="s">
        <v>143</v>
      </c>
      <c r="AR12" s="7"/>
      <c r="AS12" s="7"/>
      <c r="AT12" s="8" t="s">
        <v>143</v>
      </c>
      <c r="AU12" s="8" t="s">
        <v>143</v>
      </c>
      <c r="AV12" s="8" t="s">
        <v>143</v>
      </c>
      <c r="AW12" s="8" t="s">
        <v>143</v>
      </c>
      <c r="AX12" s="8" t="s">
        <v>143</v>
      </c>
      <c r="AY12" s="7"/>
      <c r="AZ12" s="7"/>
      <c r="BA12" s="8" t="s">
        <v>143</v>
      </c>
      <c r="BB12" s="8" t="s">
        <v>143</v>
      </c>
      <c r="BC12" s="8" t="s">
        <v>143</v>
      </c>
      <c r="BD12" s="8" t="s">
        <v>143</v>
      </c>
      <c r="BE12" s="8" t="s">
        <v>143</v>
      </c>
      <c r="BF12" s="7"/>
      <c r="BG12" s="7"/>
      <c r="BH12" s="8" t="s">
        <v>143</v>
      </c>
      <c r="BI12" s="8" t="s">
        <v>143</v>
      </c>
      <c r="BJ12" s="8" t="s">
        <v>143</v>
      </c>
      <c r="BK12" s="8" t="s">
        <v>143</v>
      </c>
      <c r="BL12" s="8" t="s">
        <v>143</v>
      </c>
      <c r="BM12" s="7"/>
      <c r="BN12" s="7"/>
      <c r="BO12" s="8" t="s">
        <v>143</v>
      </c>
      <c r="BP12" s="8" t="s">
        <v>143</v>
      </c>
      <c r="BQ12" s="8" t="s">
        <v>143</v>
      </c>
      <c r="BR12" s="8" t="s">
        <v>143</v>
      </c>
      <c r="BS12" s="8" t="s">
        <v>143</v>
      </c>
      <c r="BT12" s="7"/>
      <c r="BU12" s="7"/>
      <c r="BV12" s="7" t="s">
        <v>142</v>
      </c>
      <c r="BW12" s="8" t="s">
        <v>143</v>
      </c>
      <c r="BX12" s="8" t="s">
        <v>143</v>
      </c>
      <c r="BY12" s="8" t="s">
        <v>143</v>
      </c>
      <c r="BZ12" s="8" t="s">
        <v>143</v>
      </c>
      <c r="CA12" s="7"/>
      <c r="CB12" s="7"/>
      <c r="CC12" s="8" t="s">
        <v>143</v>
      </c>
      <c r="CD12" s="8" t="s">
        <v>143</v>
      </c>
      <c r="CE12" s="8" t="s">
        <v>143</v>
      </c>
      <c r="CF12" s="8" t="s">
        <v>143</v>
      </c>
      <c r="CG12" s="8" t="s">
        <v>143</v>
      </c>
      <c r="CH12" s="3"/>
      <c r="CI12" s="3"/>
      <c r="CJ12" s="2" t="s">
        <v>143</v>
      </c>
      <c r="CK12" s="2" t="s">
        <v>143</v>
      </c>
      <c r="CL12" s="2" t="s">
        <v>143</v>
      </c>
      <c r="CM12" s="2" t="s">
        <v>143</v>
      </c>
      <c r="CN12" s="2" t="s">
        <v>143</v>
      </c>
      <c r="CO12" s="3"/>
      <c r="CP12" s="3"/>
      <c r="CQ12" s="3"/>
      <c r="CR12" s="83" t="s">
        <v>18</v>
      </c>
      <c r="CS12" s="2" t="s">
        <v>143</v>
      </c>
      <c r="CT12" s="83" t="s">
        <v>18</v>
      </c>
      <c r="CU12" s="2" t="s">
        <v>143</v>
      </c>
      <c r="CV12" s="3"/>
      <c r="CW12" s="3"/>
      <c r="CX12" s="2" t="s">
        <v>143</v>
      </c>
      <c r="CY12" s="2" t="s">
        <v>143</v>
      </c>
      <c r="CZ12" s="2" t="s">
        <v>143</v>
      </c>
      <c r="DA12" s="2" t="s">
        <v>143</v>
      </c>
      <c r="DB12" s="2" t="s">
        <v>143</v>
      </c>
      <c r="DC12" s="3"/>
      <c r="DD12" s="3"/>
      <c r="DE12" s="11" t="s">
        <v>141</v>
      </c>
      <c r="DF12" s="2" t="s">
        <v>143</v>
      </c>
      <c r="DG12" s="2" t="s">
        <v>143</v>
      </c>
      <c r="DH12" s="2" t="s">
        <v>143</v>
      </c>
      <c r="DI12" s="2" t="s">
        <v>143</v>
      </c>
      <c r="DJ12" s="24"/>
      <c r="DK12" s="24"/>
      <c r="DL12" s="11" t="s">
        <v>141</v>
      </c>
      <c r="DM12" s="2" t="s">
        <v>143</v>
      </c>
      <c r="DN12" s="2" t="s">
        <v>143</v>
      </c>
      <c r="DO12" s="2" t="s">
        <v>143</v>
      </c>
      <c r="DP12" s="11" t="s">
        <v>141</v>
      </c>
      <c r="DQ12" s="24"/>
      <c r="DR12" s="24"/>
      <c r="DS12" s="2" t="s">
        <v>143</v>
      </c>
      <c r="DT12" s="2" t="s">
        <v>143</v>
      </c>
      <c r="DU12" s="11" t="s">
        <v>141</v>
      </c>
      <c r="DV12" s="2" t="s">
        <v>143</v>
      </c>
      <c r="DW12" s="2" t="s">
        <v>143</v>
      </c>
      <c r="DX12" s="24"/>
      <c r="DY12" s="24"/>
      <c r="DZ12" s="11" t="s">
        <v>141</v>
      </c>
      <c r="EA12" s="2" t="s">
        <v>143</v>
      </c>
      <c r="EB12" s="2" t="s">
        <v>143</v>
      </c>
      <c r="EC12" s="2" t="s">
        <v>143</v>
      </c>
      <c r="ED12" s="2" t="s">
        <v>143</v>
      </c>
      <c r="EE12" s="24"/>
      <c r="EF12" s="24"/>
      <c r="EG12" s="2" t="s">
        <v>143</v>
      </c>
      <c r="EH12" s="2" t="s">
        <v>143</v>
      </c>
      <c r="EI12" s="2" t="s">
        <v>143</v>
      </c>
      <c r="EJ12" s="11" t="s">
        <v>141</v>
      </c>
      <c r="EK12" s="11" t="s">
        <v>141</v>
      </c>
      <c r="EL12" s="24"/>
      <c r="EM12" s="24"/>
      <c r="EN12" s="11" t="s">
        <v>141</v>
      </c>
      <c r="EO12" s="2" t="s">
        <v>143</v>
      </c>
      <c r="EP12" s="2" t="s">
        <v>143</v>
      </c>
      <c r="EQ12" s="2" t="s">
        <v>143</v>
      </c>
      <c r="ER12" s="2" t="s">
        <v>143</v>
      </c>
      <c r="ES12" s="24"/>
      <c r="ET12" s="24"/>
      <c r="EU12" s="2" t="s">
        <v>143</v>
      </c>
      <c r="EV12" s="2" t="s">
        <v>143</v>
      </c>
      <c r="EW12" s="2" t="s">
        <v>143</v>
      </c>
      <c r="EX12" s="2" t="s">
        <v>143</v>
      </c>
      <c r="EY12" s="2" t="s">
        <v>143</v>
      </c>
      <c r="EZ12" s="24"/>
      <c r="FA12" s="24"/>
      <c r="FB12" s="2" t="s">
        <v>143</v>
      </c>
      <c r="FC12" s="2" t="s">
        <v>143</v>
      </c>
      <c r="FD12" s="2" t="s">
        <v>143</v>
      </c>
      <c r="FE12" s="2" t="s">
        <v>143</v>
      </c>
      <c r="FF12" s="11" t="s">
        <v>141</v>
      </c>
      <c r="FG12" s="24"/>
      <c r="FH12" s="24"/>
      <c r="FI12" s="11" t="s">
        <v>141</v>
      </c>
      <c r="FJ12" s="11" t="s">
        <v>141</v>
      </c>
      <c r="FK12" s="11" t="s">
        <v>141</v>
      </c>
      <c r="FL12" s="11" t="s">
        <v>141</v>
      </c>
      <c r="FM12" s="11" t="s">
        <v>141</v>
      </c>
      <c r="FN12" s="24"/>
      <c r="FO12" s="24"/>
      <c r="FP12" s="11" t="s">
        <v>141</v>
      </c>
      <c r="FQ12" s="2" t="s">
        <v>143</v>
      </c>
      <c r="FR12" s="83" t="s">
        <v>38</v>
      </c>
      <c r="FS12" s="2" t="s">
        <v>143</v>
      </c>
      <c r="FT12" s="2" t="s">
        <v>143</v>
      </c>
      <c r="FU12" s="24"/>
      <c r="FV12" s="24"/>
      <c r="FW12" s="2" t="s">
        <v>143</v>
      </c>
      <c r="FX12" s="2" t="s">
        <v>143</v>
      </c>
      <c r="FY12" s="2" t="s">
        <v>143</v>
      </c>
      <c r="FZ12" s="2" t="s">
        <v>143</v>
      </c>
      <c r="GA12" s="2" t="s">
        <v>143</v>
      </c>
      <c r="GB12" s="24"/>
      <c r="GC12" s="24"/>
      <c r="GD12" s="24"/>
      <c r="GE12" s="2" t="s">
        <v>143</v>
      </c>
      <c r="GF12" s="2" t="s">
        <v>143</v>
      </c>
      <c r="GG12" s="2" t="s">
        <v>143</v>
      </c>
      <c r="GH12" s="2" t="s">
        <v>143</v>
      </c>
      <c r="GI12" s="24"/>
      <c r="GJ12" s="24"/>
      <c r="GK12" s="2" t="s">
        <v>143</v>
      </c>
      <c r="GL12" s="83" t="s">
        <v>38</v>
      </c>
      <c r="GM12" s="83" t="s">
        <v>38</v>
      </c>
      <c r="GN12" s="2" t="s">
        <v>143</v>
      </c>
      <c r="GO12" s="2" t="s">
        <v>143</v>
      </c>
      <c r="GP12" s="24"/>
      <c r="GQ12" s="24"/>
      <c r="GR12" s="2" t="s">
        <v>143</v>
      </c>
      <c r="GS12" s="2" t="s">
        <v>143</v>
      </c>
      <c r="GT12" s="2" t="s">
        <v>143</v>
      </c>
      <c r="GU12" s="2" t="s">
        <v>143</v>
      </c>
      <c r="GV12" s="2" t="s">
        <v>143</v>
      </c>
      <c r="GW12" s="24"/>
      <c r="GX12" s="24"/>
      <c r="GY12" s="2" t="s">
        <v>143</v>
      </c>
      <c r="GZ12" s="2" t="s">
        <v>143</v>
      </c>
      <c r="HA12" s="2" t="s">
        <v>143</v>
      </c>
      <c r="HB12" s="2" t="s">
        <v>143</v>
      </c>
      <c r="HC12" s="2" t="s">
        <v>143</v>
      </c>
      <c r="HD12" s="24"/>
      <c r="HE12" s="24"/>
      <c r="HF12" s="2" t="s">
        <v>143</v>
      </c>
      <c r="HG12" s="2" t="s">
        <v>143</v>
      </c>
      <c r="HH12" s="2" t="s">
        <v>143</v>
      </c>
      <c r="HI12" s="2" t="s">
        <v>143</v>
      </c>
      <c r="HJ12" s="11" t="s">
        <v>141</v>
      </c>
      <c r="HK12" s="24"/>
      <c r="HL12" s="24"/>
      <c r="HM12" s="11" t="s">
        <v>141</v>
      </c>
      <c r="HN12" s="2" t="s">
        <v>143</v>
      </c>
      <c r="HO12" s="2" t="s">
        <v>143</v>
      </c>
      <c r="HP12" s="2" t="s">
        <v>143</v>
      </c>
      <c r="HQ12" s="2" t="s">
        <v>143</v>
      </c>
      <c r="HR12" s="24"/>
      <c r="HS12" s="24"/>
      <c r="HT12" s="11" t="s">
        <v>141</v>
      </c>
      <c r="HU12" s="2" t="s">
        <v>143</v>
      </c>
      <c r="HV12" s="2" t="s">
        <v>143</v>
      </c>
      <c r="HW12" s="2" t="s">
        <v>143</v>
      </c>
      <c r="HX12" s="2" t="s">
        <v>143</v>
      </c>
      <c r="HY12" s="24"/>
      <c r="HZ12" s="24"/>
      <c r="IA12" s="2" t="s">
        <v>143</v>
      </c>
      <c r="IB12" s="2" t="s">
        <v>143</v>
      </c>
      <c r="IC12" s="2" t="s">
        <v>143</v>
      </c>
      <c r="ID12" s="2" t="s">
        <v>143</v>
      </c>
      <c r="IE12" s="2" t="s">
        <v>143</v>
      </c>
      <c r="IF12" s="24"/>
      <c r="IG12" s="24"/>
      <c r="IH12" s="2" t="s">
        <v>143</v>
      </c>
      <c r="II12" s="2" t="s">
        <v>143</v>
      </c>
      <c r="IJ12" s="2" t="s">
        <v>143</v>
      </c>
      <c r="IK12" s="12" t="s">
        <v>140</v>
      </c>
      <c r="IL12" s="12" t="s">
        <v>140</v>
      </c>
      <c r="IM12" s="24"/>
      <c r="IN12" s="24"/>
      <c r="IO12" s="2" t="s">
        <v>143</v>
      </c>
      <c r="IP12" s="2" t="s">
        <v>143</v>
      </c>
      <c r="IQ12" s="2" t="s">
        <v>143</v>
      </c>
      <c r="IR12" s="2" t="s">
        <v>143</v>
      </c>
      <c r="IS12" s="2" t="s">
        <v>143</v>
      </c>
      <c r="IT12" s="24"/>
      <c r="IU12" s="24"/>
      <c r="IV12" s="2" t="s">
        <v>143</v>
      </c>
      <c r="IW12" s="2" t="s">
        <v>143</v>
      </c>
      <c r="IX12" s="2" t="s">
        <v>143</v>
      </c>
      <c r="IY12" s="2" t="s">
        <v>143</v>
      </c>
      <c r="IZ12" s="2" t="s">
        <v>143</v>
      </c>
      <c r="JA12" s="24"/>
      <c r="JB12" s="24"/>
      <c r="JC12" s="2" t="s">
        <v>143</v>
      </c>
      <c r="JD12" s="2" t="s">
        <v>143</v>
      </c>
      <c r="JE12" s="2" t="s">
        <v>143</v>
      </c>
      <c r="JF12" s="2" t="s">
        <v>143</v>
      </c>
      <c r="JG12" s="2" t="s">
        <v>143</v>
      </c>
      <c r="JH12" s="24"/>
      <c r="JI12" s="24"/>
      <c r="JJ12" s="2" t="s">
        <v>143</v>
      </c>
      <c r="JK12" s="2" t="s">
        <v>143</v>
      </c>
      <c r="JL12" s="2" t="s">
        <v>143</v>
      </c>
      <c r="JM12" s="2" t="s">
        <v>143</v>
      </c>
      <c r="JN12" s="11" t="s">
        <v>141</v>
      </c>
      <c r="JO12" s="24"/>
      <c r="JP12" s="24"/>
      <c r="JQ12" s="2" t="s">
        <v>143</v>
      </c>
      <c r="JR12" s="2" t="s">
        <v>143</v>
      </c>
      <c r="JS12" s="2" t="s">
        <v>143</v>
      </c>
      <c r="JT12" s="2" t="s">
        <v>143</v>
      </c>
      <c r="JU12" s="2" t="s">
        <v>143</v>
      </c>
      <c r="JV12" s="24"/>
      <c r="JW12" s="24"/>
      <c r="JX12" s="2" t="s">
        <v>143</v>
      </c>
      <c r="JY12" s="2" t="s">
        <v>143</v>
      </c>
      <c r="JZ12" s="2" t="s">
        <v>143</v>
      </c>
      <c r="KA12" s="2" t="s">
        <v>143</v>
      </c>
      <c r="KB12" s="80" t="s">
        <v>151</v>
      </c>
      <c r="KC12" s="24"/>
      <c r="KD12" s="24"/>
      <c r="KE12" s="80" t="s">
        <v>151</v>
      </c>
      <c r="KF12" s="2" t="s">
        <v>143</v>
      </c>
      <c r="KG12" s="2" t="s">
        <v>177</v>
      </c>
      <c r="KH12" s="2" t="s">
        <v>177</v>
      </c>
      <c r="KI12" s="80" t="s">
        <v>151</v>
      </c>
      <c r="KJ12" s="24"/>
      <c r="KK12" s="24"/>
      <c r="KL12" s="80" t="s">
        <v>151</v>
      </c>
      <c r="KM12" s="2" t="s">
        <v>177</v>
      </c>
      <c r="KN12" s="2" t="s">
        <v>177</v>
      </c>
      <c r="KO12" s="2" t="s">
        <v>177</v>
      </c>
      <c r="KP12" s="2" t="s">
        <v>177</v>
      </c>
      <c r="KQ12" s="24"/>
      <c r="KR12" s="24"/>
      <c r="KS12" s="2" t="s">
        <v>143</v>
      </c>
      <c r="KT12" s="2" t="s">
        <v>143</v>
      </c>
      <c r="KU12" s="24"/>
      <c r="KV12" s="24"/>
      <c r="KW12" s="11" t="s">
        <v>141</v>
      </c>
      <c r="KX12" s="24"/>
      <c r="KY12" s="24"/>
      <c r="KZ12" s="2" t="s">
        <v>143</v>
      </c>
      <c r="LA12" s="2" t="s">
        <v>143</v>
      </c>
      <c r="LB12" s="33"/>
      <c r="LC12" s="33"/>
      <c r="LD12" s="33"/>
      <c r="LE12" s="33"/>
      <c r="LF12" s="33"/>
    </row>
    <row r="13" spans="1:463" hidden="1">
      <c r="A13" s="48" t="s">
        <v>178</v>
      </c>
      <c r="B13" s="48" t="s">
        <v>175</v>
      </c>
      <c r="C13" s="48" t="s">
        <v>37</v>
      </c>
      <c r="D13" s="8" t="s">
        <v>143</v>
      </c>
      <c r="E13" s="8" t="s">
        <v>143</v>
      </c>
      <c r="F13" s="8" t="s">
        <v>143</v>
      </c>
      <c r="G13" s="8" t="s">
        <v>143</v>
      </c>
      <c r="H13" s="8" t="s">
        <v>143</v>
      </c>
      <c r="I13" s="7"/>
      <c r="J13" s="7"/>
      <c r="K13" s="8" t="s">
        <v>143</v>
      </c>
      <c r="L13" s="8" t="s">
        <v>143</v>
      </c>
      <c r="M13" s="8" t="s">
        <v>143</v>
      </c>
      <c r="N13" s="8" t="s">
        <v>143</v>
      </c>
      <c r="O13" s="8" t="s">
        <v>143</v>
      </c>
      <c r="P13" s="7"/>
      <c r="Q13" s="7"/>
      <c r="R13" s="8" t="s">
        <v>143</v>
      </c>
      <c r="S13" s="8" t="s">
        <v>143</v>
      </c>
      <c r="T13" s="8" t="s">
        <v>143</v>
      </c>
      <c r="U13" s="8" t="s">
        <v>143</v>
      </c>
      <c r="V13" s="8" t="s">
        <v>143</v>
      </c>
      <c r="W13" s="7"/>
      <c r="X13" s="7"/>
      <c r="Y13" s="8" t="s">
        <v>143</v>
      </c>
      <c r="Z13" s="8" t="s">
        <v>143</v>
      </c>
      <c r="AA13" s="8" t="s">
        <v>143</v>
      </c>
      <c r="AB13" s="8" t="s">
        <v>143</v>
      </c>
      <c r="AC13" s="8" t="s">
        <v>143</v>
      </c>
      <c r="AD13" s="7"/>
      <c r="AE13" s="7"/>
      <c r="AF13" s="8" t="s">
        <v>143</v>
      </c>
      <c r="AG13" s="8" t="s">
        <v>143</v>
      </c>
      <c r="AH13" s="8" t="s">
        <v>143</v>
      </c>
      <c r="AI13" s="8" t="s">
        <v>143</v>
      </c>
      <c r="AJ13" s="7" t="s">
        <v>142</v>
      </c>
      <c r="AK13" s="7"/>
      <c r="AL13" s="7"/>
      <c r="AM13" s="7" t="s">
        <v>142</v>
      </c>
      <c r="AN13" s="6"/>
      <c r="AO13" s="6"/>
      <c r="AP13" s="6"/>
      <c r="AQ13" s="6"/>
      <c r="AR13" s="7"/>
      <c r="AS13" s="7"/>
      <c r="AT13" s="8" t="s">
        <v>143</v>
      </c>
      <c r="AU13" s="8" t="s">
        <v>143</v>
      </c>
      <c r="AV13" s="8" t="s">
        <v>143</v>
      </c>
      <c r="AW13" s="8" t="s">
        <v>143</v>
      </c>
      <c r="AX13" s="8" t="s">
        <v>143</v>
      </c>
      <c r="AY13" s="7"/>
      <c r="AZ13" s="7"/>
      <c r="BA13" s="8" t="s">
        <v>143</v>
      </c>
      <c r="BB13" s="8" t="s">
        <v>143</v>
      </c>
      <c r="BC13" s="8" t="s">
        <v>143</v>
      </c>
      <c r="BD13" s="8" t="s">
        <v>143</v>
      </c>
      <c r="BE13" s="8" t="s">
        <v>143</v>
      </c>
      <c r="BF13" s="7"/>
      <c r="BG13" s="7"/>
      <c r="BH13" s="8" t="s">
        <v>143</v>
      </c>
      <c r="BI13" s="8" t="s">
        <v>143</v>
      </c>
      <c r="BJ13" s="8" t="s">
        <v>143</v>
      </c>
      <c r="BK13" s="8" t="s">
        <v>143</v>
      </c>
      <c r="BL13" s="8" t="s">
        <v>143</v>
      </c>
      <c r="BM13" s="7"/>
      <c r="BN13" s="7"/>
      <c r="BO13" s="8" t="s">
        <v>143</v>
      </c>
      <c r="BP13" s="8" t="s">
        <v>143</v>
      </c>
      <c r="BQ13" s="8" t="s">
        <v>143</v>
      </c>
      <c r="BR13" s="8" t="s">
        <v>143</v>
      </c>
      <c r="BS13" s="8" t="s">
        <v>143</v>
      </c>
      <c r="BT13" s="7"/>
      <c r="BU13" s="7"/>
      <c r="BV13" s="7" t="s">
        <v>142</v>
      </c>
      <c r="BW13" s="14" t="s">
        <v>179</v>
      </c>
      <c r="BX13" s="14" t="s">
        <v>179</v>
      </c>
      <c r="BY13" s="14" t="s">
        <v>179</v>
      </c>
      <c r="BZ13" s="14" t="s">
        <v>179</v>
      </c>
      <c r="CA13" s="7"/>
      <c r="CB13" s="7"/>
      <c r="CC13" s="6"/>
      <c r="CD13" s="8" t="s">
        <v>143</v>
      </c>
      <c r="CE13" s="6"/>
      <c r="CF13" s="6"/>
      <c r="CG13" s="6"/>
      <c r="CH13" s="3"/>
      <c r="CI13" s="3"/>
      <c r="CO13" s="3"/>
      <c r="CP13" s="3"/>
      <c r="CQ13" s="3"/>
      <c r="CV13" s="3"/>
      <c r="CW13" s="3"/>
      <c r="DC13" s="3"/>
      <c r="DD13" s="3"/>
      <c r="DE13" s="2" t="s">
        <v>143</v>
      </c>
      <c r="DJ13" s="24"/>
      <c r="DK13" s="24"/>
      <c r="DM13" s="2" t="s">
        <v>143</v>
      </c>
      <c r="DQ13" s="24"/>
      <c r="DR13" s="24"/>
      <c r="DS13" s="2" t="s">
        <v>143</v>
      </c>
      <c r="DT13" s="2" t="s">
        <v>143</v>
      </c>
      <c r="DX13" s="24"/>
      <c r="DY13" s="24"/>
      <c r="EA13" s="2" t="s">
        <v>143</v>
      </c>
      <c r="EB13" s="2" t="s">
        <v>143</v>
      </c>
      <c r="EC13" s="2" t="s">
        <v>143</v>
      </c>
      <c r="ED13" s="2" t="s">
        <v>143</v>
      </c>
      <c r="EE13" s="24"/>
      <c r="EF13" s="24"/>
      <c r="EG13" s="2" t="s">
        <v>143</v>
      </c>
      <c r="EH13" s="2" t="s">
        <v>143</v>
      </c>
      <c r="EI13" s="2" t="s">
        <v>143</v>
      </c>
      <c r="EL13" s="24"/>
      <c r="EM13" s="24"/>
      <c r="EO13" s="2" t="s">
        <v>143</v>
      </c>
      <c r="EP13" s="2" t="s">
        <v>143</v>
      </c>
      <c r="EQ13" s="2" t="s">
        <v>143</v>
      </c>
      <c r="ER13" s="2" t="s">
        <v>143</v>
      </c>
      <c r="ES13" s="24"/>
      <c r="ET13" s="24"/>
      <c r="EU13" s="2" t="s">
        <v>143</v>
      </c>
      <c r="EV13" s="2" t="s">
        <v>143</v>
      </c>
      <c r="EW13" s="2" t="s">
        <v>143</v>
      </c>
      <c r="EX13" s="2" t="s">
        <v>143</v>
      </c>
      <c r="EY13" s="2" t="s">
        <v>143</v>
      </c>
      <c r="EZ13" s="24"/>
      <c r="FA13" s="24"/>
      <c r="FB13" s="2" t="s">
        <v>143</v>
      </c>
      <c r="FC13" s="2" t="s">
        <v>143</v>
      </c>
      <c r="FD13" s="2" t="s">
        <v>143</v>
      </c>
      <c r="FE13" s="2" t="s">
        <v>143</v>
      </c>
      <c r="FG13" s="24"/>
      <c r="FH13" s="24"/>
      <c r="FN13" s="24"/>
      <c r="FO13" s="24"/>
      <c r="FU13" s="24"/>
      <c r="FV13" s="24"/>
      <c r="FW13" s="2" t="s">
        <v>143</v>
      </c>
      <c r="FX13" s="2" t="s">
        <v>143</v>
      </c>
      <c r="FY13" s="2" t="s">
        <v>143</v>
      </c>
      <c r="FZ13" s="2" t="s">
        <v>143</v>
      </c>
      <c r="GA13" s="2" t="s">
        <v>143</v>
      </c>
      <c r="GB13" s="24"/>
      <c r="GC13" s="24"/>
      <c r="GD13" s="24"/>
      <c r="GE13" s="2" t="s">
        <v>143</v>
      </c>
      <c r="GF13" s="2" t="s">
        <v>143</v>
      </c>
      <c r="GG13" s="2" t="s">
        <v>143</v>
      </c>
      <c r="GH13" s="2" t="s">
        <v>143</v>
      </c>
      <c r="GI13" s="24"/>
      <c r="GJ13" s="24"/>
      <c r="GK13" s="2" t="s">
        <v>143</v>
      </c>
      <c r="GL13" s="2" t="s">
        <v>143</v>
      </c>
      <c r="GM13" s="2" t="s">
        <v>143</v>
      </c>
      <c r="GN13" s="2" t="s">
        <v>143</v>
      </c>
      <c r="GO13" s="2" t="s">
        <v>143</v>
      </c>
      <c r="GP13" s="24"/>
      <c r="GQ13" s="24"/>
      <c r="GR13" s="2" t="s">
        <v>143</v>
      </c>
      <c r="GS13" s="2" t="s">
        <v>143</v>
      </c>
      <c r="GT13" s="2" t="s">
        <v>143</v>
      </c>
      <c r="GU13" s="2" t="s">
        <v>143</v>
      </c>
      <c r="GV13" s="2" t="s">
        <v>143</v>
      </c>
      <c r="GW13" s="24"/>
      <c r="GX13" s="24"/>
      <c r="GY13" s="2" t="s">
        <v>143</v>
      </c>
      <c r="GZ13" s="2" t="s">
        <v>143</v>
      </c>
      <c r="HA13" s="2" t="s">
        <v>143</v>
      </c>
      <c r="HB13" s="2" t="s">
        <v>143</v>
      </c>
      <c r="HC13" s="2" t="s">
        <v>143</v>
      </c>
      <c r="HD13" s="24"/>
      <c r="HE13" s="24"/>
      <c r="HF13" s="2" t="s">
        <v>143</v>
      </c>
      <c r="HG13" s="2" t="s">
        <v>143</v>
      </c>
      <c r="HH13" s="2" t="s">
        <v>143</v>
      </c>
      <c r="HI13" s="2" t="s">
        <v>143</v>
      </c>
      <c r="HK13" s="24"/>
      <c r="HL13" s="24"/>
      <c r="HN13" s="2" t="s">
        <v>143</v>
      </c>
      <c r="HO13" s="2" t="s">
        <v>143</v>
      </c>
      <c r="HP13" s="2" t="s">
        <v>143</v>
      </c>
      <c r="HQ13" s="2" t="s">
        <v>143</v>
      </c>
      <c r="HR13" s="24"/>
      <c r="HS13" s="24"/>
      <c r="HT13" s="2" t="s">
        <v>143</v>
      </c>
      <c r="HU13" s="2" t="s">
        <v>143</v>
      </c>
      <c r="HV13" s="2" t="s">
        <v>143</v>
      </c>
      <c r="HW13" s="2" t="s">
        <v>143</v>
      </c>
      <c r="HX13" s="2" t="s">
        <v>143</v>
      </c>
      <c r="HY13" s="24"/>
      <c r="HZ13" s="24"/>
      <c r="IA13" s="2" t="s">
        <v>143</v>
      </c>
      <c r="IB13" s="2" t="s">
        <v>143</v>
      </c>
      <c r="IC13" s="2" t="s">
        <v>143</v>
      </c>
      <c r="ID13" s="2" t="s">
        <v>143</v>
      </c>
      <c r="IE13" s="2" t="s">
        <v>143</v>
      </c>
      <c r="IF13" s="24"/>
      <c r="IG13" s="24"/>
      <c r="IH13" s="2" t="s">
        <v>143</v>
      </c>
      <c r="II13" s="2" t="s">
        <v>143</v>
      </c>
      <c r="IJ13" s="2" t="s">
        <v>143</v>
      </c>
      <c r="IK13" s="2" t="s">
        <v>143</v>
      </c>
      <c r="IL13" s="2" t="s">
        <v>143</v>
      </c>
      <c r="IM13" s="24"/>
      <c r="IN13" s="24"/>
      <c r="IQ13" s="2" t="s">
        <v>143</v>
      </c>
      <c r="IT13" s="24"/>
      <c r="IU13" s="24"/>
      <c r="JA13" s="24"/>
      <c r="JB13" s="24"/>
      <c r="JC13" s="2" t="s">
        <v>143</v>
      </c>
      <c r="JD13" s="2" t="s">
        <v>143</v>
      </c>
      <c r="JE13" s="2" t="s">
        <v>143</v>
      </c>
      <c r="JF13" s="2" t="s">
        <v>143</v>
      </c>
      <c r="JG13" s="2" t="s">
        <v>143</v>
      </c>
      <c r="JH13" s="24"/>
      <c r="JI13" s="24"/>
      <c r="JJ13" s="2" t="s">
        <v>143</v>
      </c>
      <c r="JK13" s="2" t="s">
        <v>143</v>
      </c>
      <c r="JL13" s="2" t="s">
        <v>143</v>
      </c>
      <c r="JM13" s="2" t="s">
        <v>143</v>
      </c>
      <c r="JO13" s="24"/>
      <c r="JP13" s="24"/>
      <c r="JQ13" s="2" t="s">
        <v>143</v>
      </c>
      <c r="JR13" s="2" t="s">
        <v>143</v>
      </c>
      <c r="JS13" s="2" t="s">
        <v>143</v>
      </c>
      <c r="JU13" s="2" t="s">
        <v>143</v>
      </c>
      <c r="JV13" s="24"/>
      <c r="JW13" s="24"/>
      <c r="JX13" s="2" t="s">
        <v>143</v>
      </c>
      <c r="JY13" s="2" t="s">
        <v>143</v>
      </c>
      <c r="JZ13" s="2" t="s">
        <v>143</v>
      </c>
      <c r="KA13" s="2" t="s">
        <v>143</v>
      </c>
      <c r="KB13" s="2" t="s">
        <v>143</v>
      </c>
      <c r="KC13" s="24"/>
      <c r="KD13" s="24"/>
      <c r="KJ13" s="24"/>
      <c r="KK13" s="24"/>
      <c r="KQ13" s="24"/>
      <c r="KR13" s="24"/>
      <c r="KS13" s="2" t="s">
        <v>143</v>
      </c>
      <c r="KU13" s="24"/>
      <c r="KV13" s="24"/>
      <c r="KX13" s="24"/>
      <c r="KY13" s="24"/>
      <c r="LB13" s="33"/>
      <c r="LC13" s="33"/>
      <c r="LD13" s="33"/>
      <c r="LE13" s="33"/>
      <c r="LF13" s="33"/>
    </row>
    <row r="14" spans="1:463">
      <c r="A14" s="48" t="s">
        <v>180</v>
      </c>
      <c r="B14" s="48" t="s">
        <v>175</v>
      </c>
      <c r="C14" s="48" t="s">
        <v>37</v>
      </c>
      <c r="D14" s="8"/>
      <c r="E14" s="8"/>
      <c r="F14" s="8"/>
      <c r="G14" s="8"/>
      <c r="H14" s="8"/>
      <c r="I14" s="7"/>
      <c r="J14" s="7"/>
      <c r="K14" s="8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7"/>
      <c r="X14" s="7"/>
      <c r="Y14" s="8"/>
      <c r="Z14" s="8"/>
      <c r="AA14" s="8"/>
      <c r="AB14" s="8"/>
      <c r="AC14" s="8"/>
      <c r="AD14" s="7"/>
      <c r="AE14" s="7"/>
      <c r="AF14" s="8"/>
      <c r="AG14" s="8"/>
      <c r="AH14" s="8"/>
      <c r="AI14" s="8"/>
      <c r="AJ14" s="7"/>
      <c r="AK14" s="7"/>
      <c r="AL14" s="7"/>
      <c r="AM14" s="7"/>
      <c r="AN14" s="6"/>
      <c r="AO14" s="6"/>
      <c r="AP14" s="6"/>
      <c r="AQ14" s="6"/>
      <c r="AR14" s="7"/>
      <c r="AS14" s="7"/>
      <c r="AT14" s="8"/>
      <c r="AU14" s="8"/>
      <c r="AV14" s="8"/>
      <c r="AW14" s="8"/>
      <c r="AX14" s="8"/>
      <c r="AY14" s="7"/>
      <c r="AZ14" s="7"/>
      <c r="BA14" s="8"/>
      <c r="BB14" s="8"/>
      <c r="BC14" s="8"/>
      <c r="BD14" s="8"/>
      <c r="BE14" s="8"/>
      <c r="BF14" s="7"/>
      <c r="BG14" s="7"/>
      <c r="BH14" s="8"/>
      <c r="BI14" s="8"/>
      <c r="BJ14" s="8"/>
      <c r="BK14" s="8"/>
      <c r="BL14" s="8"/>
      <c r="BM14" s="7"/>
      <c r="BN14" s="7"/>
      <c r="BO14" s="8"/>
      <c r="BP14" s="8"/>
      <c r="BQ14" s="8"/>
      <c r="BR14" s="8"/>
      <c r="BS14" s="8"/>
      <c r="BT14" s="7"/>
      <c r="BU14" s="7"/>
      <c r="BV14" s="7"/>
      <c r="BW14" s="14"/>
      <c r="BX14" s="14"/>
      <c r="BY14" s="14"/>
      <c r="BZ14" s="14"/>
      <c r="CA14" s="7"/>
      <c r="CB14" s="7"/>
      <c r="CC14" s="31" t="s">
        <v>181</v>
      </c>
      <c r="CD14" s="31" t="s">
        <v>182</v>
      </c>
      <c r="CE14" s="31" t="s">
        <v>182</v>
      </c>
      <c r="CF14" s="31" t="s">
        <v>182</v>
      </c>
      <c r="CG14" s="31" t="s">
        <v>182</v>
      </c>
      <c r="CH14" s="3"/>
      <c r="CI14" s="3"/>
      <c r="CJ14" s="10" t="s">
        <v>140</v>
      </c>
      <c r="CK14" s="10" t="s">
        <v>140</v>
      </c>
      <c r="CL14" s="2" t="s">
        <v>143</v>
      </c>
      <c r="CM14" s="2" t="s">
        <v>143</v>
      </c>
      <c r="CN14" s="2" t="s">
        <v>143</v>
      </c>
      <c r="CO14" s="3"/>
      <c r="CP14" s="3"/>
      <c r="CQ14" s="3"/>
      <c r="CR14" s="2" t="s">
        <v>143</v>
      </c>
      <c r="CS14" s="2" t="s">
        <v>143</v>
      </c>
      <c r="CT14" s="2" t="s">
        <v>143</v>
      </c>
      <c r="CU14" s="2" t="s">
        <v>143</v>
      </c>
      <c r="CV14" s="3"/>
      <c r="CW14" s="3"/>
      <c r="CX14" s="11" t="s">
        <v>141</v>
      </c>
      <c r="CY14" s="11" t="s">
        <v>141</v>
      </c>
      <c r="CZ14" s="11" t="s">
        <v>141</v>
      </c>
      <c r="DA14" s="11" t="s">
        <v>141</v>
      </c>
      <c r="DB14" s="11" t="s">
        <v>141</v>
      </c>
      <c r="DC14" s="3"/>
      <c r="DD14" s="3"/>
      <c r="DE14" s="2" t="s">
        <v>143</v>
      </c>
      <c r="DF14" s="2" t="s">
        <v>143</v>
      </c>
      <c r="DG14" s="2" t="s">
        <v>143</v>
      </c>
      <c r="DH14" s="5" t="s">
        <v>38</v>
      </c>
      <c r="DI14" s="2" t="s">
        <v>143</v>
      </c>
      <c r="DJ14" s="24"/>
      <c r="DK14" s="24"/>
      <c r="DL14" s="2" t="s">
        <v>143</v>
      </c>
      <c r="DM14" s="83" t="s">
        <v>18</v>
      </c>
      <c r="DN14" s="2" t="s">
        <v>143</v>
      </c>
      <c r="DO14" s="2" t="s">
        <v>143</v>
      </c>
      <c r="DP14" s="2" t="s">
        <v>143</v>
      </c>
      <c r="DQ14" s="24"/>
      <c r="DR14" s="24"/>
      <c r="DS14" s="2" t="s">
        <v>143</v>
      </c>
      <c r="DT14" s="2" t="s">
        <v>143</v>
      </c>
      <c r="DU14" s="2" t="s">
        <v>143</v>
      </c>
      <c r="DV14" s="2" t="s">
        <v>143</v>
      </c>
      <c r="DW14" s="2" t="s">
        <v>143</v>
      </c>
      <c r="DX14" s="24"/>
      <c r="DY14" s="24"/>
      <c r="DZ14" s="2" t="s">
        <v>143</v>
      </c>
      <c r="EA14" s="2" t="s">
        <v>143</v>
      </c>
      <c r="EB14" s="2" t="s">
        <v>143</v>
      </c>
      <c r="EC14" s="2" t="s">
        <v>143</v>
      </c>
      <c r="ED14" s="2" t="s">
        <v>143</v>
      </c>
      <c r="EE14" s="24"/>
      <c r="EF14" s="24"/>
      <c r="EG14" s="2" t="s">
        <v>143</v>
      </c>
      <c r="EH14" s="2" t="s">
        <v>143</v>
      </c>
      <c r="EI14" s="2" t="s">
        <v>143</v>
      </c>
      <c r="EJ14" s="2" t="s">
        <v>143</v>
      </c>
      <c r="EK14" s="2" t="s">
        <v>143</v>
      </c>
      <c r="EL14" s="24"/>
      <c r="EM14" s="24"/>
      <c r="EN14" s="2" t="s">
        <v>143</v>
      </c>
      <c r="EO14" s="2" t="s">
        <v>143</v>
      </c>
      <c r="EP14" s="2" t="s">
        <v>143</v>
      </c>
      <c r="EQ14" s="2" t="s">
        <v>143</v>
      </c>
      <c r="ER14" s="2" t="s">
        <v>143</v>
      </c>
      <c r="ES14" s="24"/>
      <c r="ET14" s="24"/>
      <c r="EU14" s="2" t="s">
        <v>143</v>
      </c>
      <c r="EV14" s="2" t="s">
        <v>143</v>
      </c>
      <c r="EW14" s="2" t="s">
        <v>143</v>
      </c>
      <c r="EX14" s="2" t="s">
        <v>143</v>
      </c>
      <c r="EY14" s="11" t="s">
        <v>141</v>
      </c>
      <c r="EZ14" s="24"/>
      <c r="FA14" s="24"/>
      <c r="FB14" s="2" t="s">
        <v>143</v>
      </c>
      <c r="FC14" s="2" t="s">
        <v>143</v>
      </c>
      <c r="FD14" s="2" t="s">
        <v>143</v>
      </c>
      <c r="FE14" s="2" t="s">
        <v>143</v>
      </c>
      <c r="FF14" s="2" t="s">
        <v>143</v>
      </c>
      <c r="FG14" s="24"/>
      <c r="FH14" s="24"/>
      <c r="FI14" s="2" t="s">
        <v>143</v>
      </c>
      <c r="FJ14" s="2" t="s">
        <v>143</v>
      </c>
      <c r="FK14" s="2" t="s">
        <v>143</v>
      </c>
      <c r="FL14" s="2" t="s">
        <v>143</v>
      </c>
      <c r="FM14" s="2" t="s">
        <v>143</v>
      </c>
      <c r="FN14" s="24"/>
      <c r="FO14" s="24"/>
      <c r="FP14" s="2" t="s">
        <v>143</v>
      </c>
      <c r="FQ14" s="2" t="s">
        <v>143</v>
      </c>
      <c r="FR14" s="2" t="s">
        <v>143</v>
      </c>
      <c r="FS14" s="2" t="s">
        <v>143</v>
      </c>
      <c r="FT14" s="2" t="s">
        <v>143</v>
      </c>
      <c r="FU14" s="24"/>
      <c r="FV14" s="24"/>
      <c r="FW14" s="2" t="s">
        <v>143</v>
      </c>
      <c r="FX14" s="2" t="s">
        <v>143</v>
      </c>
      <c r="FY14" s="2" t="s">
        <v>143</v>
      </c>
      <c r="FZ14" s="2" t="s">
        <v>143</v>
      </c>
      <c r="GA14" s="2" t="s">
        <v>143</v>
      </c>
      <c r="GB14" s="24"/>
      <c r="GC14" s="24"/>
      <c r="GD14" s="24"/>
      <c r="GE14" s="2" t="s">
        <v>143</v>
      </c>
      <c r="GF14" s="83" t="s">
        <v>38</v>
      </c>
      <c r="GG14" s="2" t="s">
        <v>143</v>
      </c>
      <c r="GH14" s="2" t="s">
        <v>143</v>
      </c>
      <c r="GI14" s="24"/>
      <c r="GJ14" s="24"/>
      <c r="GK14" s="2" t="s">
        <v>143</v>
      </c>
      <c r="GL14" s="2" t="s">
        <v>143</v>
      </c>
      <c r="GM14" s="2" t="s">
        <v>143</v>
      </c>
      <c r="GN14" s="2" t="s">
        <v>143</v>
      </c>
      <c r="GO14" s="2" t="s">
        <v>143</v>
      </c>
      <c r="GP14" s="24"/>
      <c r="GQ14" s="24"/>
      <c r="GR14" s="2" t="s">
        <v>143</v>
      </c>
      <c r="GS14" s="2" t="s">
        <v>143</v>
      </c>
      <c r="GT14" s="2" t="s">
        <v>143</v>
      </c>
      <c r="GU14" s="2" t="s">
        <v>143</v>
      </c>
      <c r="GV14" s="2" t="s">
        <v>143</v>
      </c>
      <c r="GW14" s="24"/>
      <c r="GX14" s="24"/>
      <c r="GY14" s="2" t="s">
        <v>143</v>
      </c>
      <c r="GZ14" s="2" t="s">
        <v>143</v>
      </c>
      <c r="HA14" s="2" t="s">
        <v>143</v>
      </c>
      <c r="HB14" s="2" t="s">
        <v>143</v>
      </c>
      <c r="HC14" s="2" t="s">
        <v>143</v>
      </c>
      <c r="HD14" s="24"/>
      <c r="HE14" s="24"/>
      <c r="HF14" s="2" t="s">
        <v>143</v>
      </c>
      <c r="HG14" s="2" t="s">
        <v>143</v>
      </c>
      <c r="HH14" s="2" t="s">
        <v>143</v>
      </c>
      <c r="HI14" s="2" t="s">
        <v>143</v>
      </c>
      <c r="HJ14" s="2" t="s">
        <v>143</v>
      </c>
      <c r="HK14" s="24"/>
      <c r="HL14" s="24"/>
      <c r="HM14" s="2" t="s">
        <v>143</v>
      </c>
      <c r="HN14" s="2" t="s">
        <v>143</v>
      </c>
      <c r="HO14" s="2" t="s">
        <v>143</v>
      </c>
      <c r="HP14" s="2" t="s">
        <v>143</v>
      </c>
      <c r="HQ14" s="2" t="s">
        <v>143</v>
      </c>
      <c r="HR14" s="24"/>
      <c r="HS14" s="24"/>
      <c r="HT14" s="2" t="s">
        <v>143</v>
      </c>
      <c r="HU14" s="2" t="s">
        <v>143</v>
      </c>
      <c r="HV14" s="2" t="s">
        <v>143</v>
      </c>
      <c r="HW14" s="2" t="s">
        <v>143</v>
      </c>
      <c r="HX14" s="2" t="s">
        <v>143</v>
      </c>
      <c r="HY14" s="24"/>
      <c r="HZ14" s="24"/>
      <c r="IA14" s="2" t="s">
        <v>143</v>
      </c>
      <c r="IB14" s="2" t="s">
        <v>143</v>
      </c>
      <c r="IC14" s="2" t="s">
        <v>143</v>
      </c>
      <c r="ID14" s="2" t="s">
        <v>143</v>
      </c>
      <c r="IE14" s="2" t="s">
        <v>143</v>
      </c>
      <c r="IF14" s="24"/>
      <c r="IG14" s="24"/>
      <c r="IH14" s="2" t="s">
        <v>143</v>
      </c>
      <c r="II14" s="2" t="s">
        <v>143</v>
      </c>
      <c r="IJ14" s="2" t="s">
        <v>143</v>
      </c>
      <c r="IK14" s="2" t="s">
        <v>143</v>
      </c>
      <c r="IL14" s="2" t="s">
        <v>143</v>
      </c>
      <c r="IM14" s="24"/>
      <c r="IN14" s="24"/>
      <c r="IO14" s="11" t="s">
        <v>141</v>
      </c>
      <c r="IP14" s="11" t="s">
        <v>141</v>
      </c>
      <c r="IQ14" s="11" t="s">
        <v>141</v>
      </c>
      <c r="IR14" s="11" t="s">
        <v>141</v>
      </c>
      <c r="IS14" s="11" t="s">
        <v>141</v>
      </c>
      <c r="IT14" s="24"/>
      <c r="IU14" s="24"/>
      <c r="IV14" s="11" t="s">
        <v>141</v>
      </c>
      <c r="IW14" s="11" t="s">
        <v>141</v>
      </c>
      <c r="IX14" s="11" t="s">
        <v>141</v>
      </c>
      <c r="IY14" s="11" t="s">
        <v>141</v>
      </c>
      <c r="IZ14" s="11" t="s">
        <v>141</v>
      </c>
      <c r="JA14" s="24"/>
      <c r="JB14" s="24"/>
      <c r="JC14" s="2" t="s">
        <v>143</v>
      </c>
      <c r="JD14" s="2" t="s">
        <v>143</v>
      </c>
      <c r="JE14" s="2" t="s">
        <v>143</v>
      </c>
      <c r="JF14" s="2" t="s">
        <v>143</v>
      </c>
      <c r="JG14" s="2" t="s">
        <v>143</v>
      </c>
      <c r="JH14" s="24"/>
      <c r="JI14" s="24"/>
      <c r="JJ14" s="2" t="s">
        <v>143</v>
      </c>
      <c r="JK14" s="2" t="s">
        <v>143</v>
      </c>
      <c r="JL14" s="2" t="s">
        <v>143</v>
      </c>
      <c r="JM14" s="2" t="s">
        <v>143</v>
      </c>
      <c r="JN14" s="2" t="s">
        <v>143</v>
      </c>
      <c r="JO14" s="24"/>
      <c r="JP14" s="24"/>
      <c r="JQ14" s="2" t="s">
        <v>143</v>
      </c>
      <c r="JR14" s="2" t="s">
        <v>143</v>
      </c>
      <c r="JS14" s="2" t="s">
        <v>143</v>
      </c>
      <c r="JT14" s="2" t="s">
        <v>143</v>
      </c>
      <c r="JU14" s="2" t="s">
        <v>143</v>
      </c>
      <c r="JV14" s="24"/>
      <c r="JW14" s="24"/>
      <c r="JX14" s="2" t="s">
        <v>143</v>
      </c>
      <c r="JY14" s="2" t="s">
        <v>143</v>
      </c>
      <c r="JZ14" s="2" t="s">
        <v>143</v>
      </c>
      <c r="KA14" s="2" t="s">
        <v>143</v>
      </c>
      <c r="KB14" s="2" t="s">
        <v>143</v>
      </c>
      <c r="KC14" s="24"/>
      <c r="KD14" s="24"/>
      <c r="KE14" s="2" t="s">
        <v>143</v>
      </c>
      <c r="KF14" s="2" t="s">
        <v>143</v>
      </c>
      <c r="KG14" s="80" t="s">
        <v>183</v>
      </c>
      <c r="KH14" s="2" t="s">
        <v>143</v>
      </c>
      <c r="KI14" s="2" t="s">
        <v>143</v>
      </c>
      <c r="KJ14" s="24"/>
      <c r="KK14" s="24"/>
      <c r="KL14" s="2" t="s">
        <v>143</v>
      </c>
      <c r="KM14" s="2" t="s">
        <v>143</v>
      </c>
      <c r="KN14" s="2" t="s">
        <v>143</v>
      </c>
      <c r="KO14" s="2" t="s">
        <v>143</v>
      </c>
      <c r="KP14" s="2" t="s">
        <v>143</v>
      </c>
      <c r="KQ14" s="24"/>
      <c r="KR14" s="24"/>
      <c r="KS14" s="2" t="s">
        <v>143</v>
      </c>
      <c r="KT14" s="2" t="s">
        <v>143</v>
      </c>
      <c r="KU14" s="24"/>
      <c r="KV14" s="24"/>
      <c r="KW14" s="2" t="s">
        <v>143</v>
      </c>
      <c r="KX14" s="24"/>
      <c r="KY14" s="24"/>
      <c r="KZ14" s="2" t="s">
        <v>143</v>
      </c>
      <c r="LA14" s="2" t="s">
        <v>143</v>
      </c>
      <c r="LB14" s="33"/>
      <c r="LC14" s="33"/>
      <c r="LD14" s="33"/>
      <c r="LE14" s="33"/>
      <c r="LF14" s="33"/>
    </row>
    <row r="15" spans="1:463" s="43" customFormat="1">
      <c r="A15" s="38" t="s">
        <v>20</v>
      </c>
      <c r="B15" s="42"/>
      <c r="C15" s="42"/>
      <c r="D15" s="42"/>
      <c r="E15" s="42"/>
      <c r="F15" s="42"/>
      <c r="G15" s="42"/>
      <c r="H15" s="42"/>
      <c r="I15" s="7"/>
      <c r="J15" s="7"/>
      <c r="K15" s="42"/>
      <c r="L15" s="42"/>
      <c r="M15" s="42"/>
      <c r="N15" s="42"/>
      <c r="O15" s="42"/>
      <c r="P15" s="7"/>
      <c r="Q15" s="7"/>
      <c r="R15" s="42"/>
      <c r="S15" s="42"/>
      <c r="T15" s="42"/>
      <c r="U15" s="42"/>
      <c r="V15" s="42"/>
      <c r="W15" s="7"/>
      <c r="X15" s="7"/>
      <c r="Y15" s="42"/>
      <c r="Z15" s="42"/>
      <c r="AA15" s="42"/>
      <c r="AB15" s="42"/>
      <c r="AC15" s="42"/>
      <c r="AD15" s="7"/>
      <c r="AE15" s="7"/>
      <c r="AF15" s="42"/>
      <c r="AG15" s="42"/>
      <c r="AH15" s="42"/>
      <c r="AI15" s="42"/>
      <c r="AJ15" s="7"/>
      <c r="AK15" s="7"/>
      <c r="AL15" s="7"/>
      <c r="AM15" s="7"/>
      <c r="AN15" s="42"/>
      <c r="AO15" s="42"/>
      <c r="AP15" s="42"/>
      <c r="AQ15" s="42"/>
      <c r="AR15" s="7"/>
      <c r="AS15" s="7"/>
      <c r="AT15" s="42"/>
      <c r="AU15" s="42"/>
      <c r="AV15" s="42"/>
      <c r="AW15" s="42"/>
      <c r="AX15" s="42"/>
      <c r="AY15" s="7"/>
      <c r="AZ15" s="7"/>
      <c r="BA15" s="42"/>
      <c r="BB15" s="42"/>
      <c r="BC15" s="42"/>
      <c r="BD15" s="42"/>
      <c r="BE15" s="42"/>
      <c r="BF15" s="7"/>
      <c r="BG15" s="7"/>
      <c r="BH15" s="42"/>
      <c r="BI15" s="42"/>
      <c r="BJ15" s="42"/>
      <c r="BK15" s="42"/>
      <c r="BL15" s="42"/>
      <c r="BM15" s="7"/>
      <c r="BN15" s="7"/>
      <c r="BO15" s="42"/>
      <c r="BP15" s="42"/>
      <c r="BQ15" s="42"/>
      <c r="BR15" s="42"/>
      <c r="BS15" s="42"/>
      <c r="BT15" s="7"/>
      <c r="BU15" s="7"/>
      <c r="BV15" s="7"/>
      <c r="BW15" s="42"/>
      <c r="BX15" s="42"/>
      <c r="BY15" s="42"/>
      <c r="BZ15" s="42"/>
      <c r="CA15" s="7"/>
      <c r="CB15" s="7"/>
      <c r="CC15" s="42"/>
      <c r="CD15" s="42"/>
      <c r="CE15" s="42"/>
      <c r="CF15" s="42"/>
      <c r="CG15" s="42"/>
      <c r="CH15" s="3"/>
      <c r="CI15" s="3"/>
      <c r="CO15" s="3"/>
      <c r="CP15" s="3"/>
      <c r="CQ15" s="3"/>
      <c r="CV15" s="3"/>
      <c r="CW15" s="3"/>
      <c r="DC15" s="3"/>
      <c r="DD15" s="3"/>
      <c r="DJ15" s="24"/>
      <c r="DK15" s="24"/>
      <c r="DQ15" s="24"/>
      <c r="DR15" s="24"/>
      <c r="DX15" s="24"/>
      <c r="DY15" s="24"/>
      <c r="EE15" s="24"/>
      <c r="EF15" s="24"/>
      <c r="EL15" s="24"/>
      <c r="EM15" s="24"/>
      <c r="ES15" s="24"/>
      <c r="ET15" s="24"/>
      <c r="EZ15" s="24"/>
      <c r="FA15" s="24"/>
      <c r="FG15" s="24"/>
      <c r="FH15" s="24"/>
      <c r="FN15" s="24"/>
      <c r="FO15" s="24"/>
      <c r="FU15" s="24"/>
      <c r="FV15" s="24"/>
      <c r="GB15" s="24"/>
      <c r="GC15" s="24"/>
      <c r="GD15" s="24"/>
      <c r="GI15" s="24"/>
      <c r="GJ15" s="24"/>
      <c r="GP15" s="24"/>
      <c r="GQ15" s="24"/>
      <c r="GW15" s="24"/>
      <c r="GX15" s="24"/>
      <c r="HD15" s="24"/>
      <c r="HE15" s="24"/>
      <c r="HK15" s="24"/>
      <c r="HL15" s="24"/>
      <c r="HR15" s="24"/>
      <c r="HS15" s="24"/>
      <c r="HY15" s="24"/>
      <c r="HZ15" s="24"/>
      <c r="IF15" s="24"/>
      <c r="IG15" s="24"/>
      <c r="IM15" s="24"/>
      <c r="IN15" s="24"/>
      <c r="IT15" s="24"/>
      <c r="IU15" s="24"/>
      <c r="JA15" s="24"/>
      <c r="JB15" s="24"/>
      <c r="JH15" s="24"/>
      <c r="JI15" s="24"/>
      <c r="JO15" s="24"/>
      <c r="JP15" s="24"/>
      <c r="JV15" s="24"/>
      <c r="JW15" s="24"/>
      <c r="KC15" s="24"/>
      <c r="KD15" s="24"/>
      <c r="KJ15" s="24"/>
      <c r="KK15" s="24"/>
      <c r="KQ15" s="24"/>
      <c r="KR15" s="24"/>
      <c r="KU15" s="24"/>
      <c r="KV15" s="24"/>
      <c r="KX15" s="24"/>
      <c r="KY15" s="24"/>
      <c r="LB15" s="33"/>
      <c r="LC15" s="33"/>
      <c r="LD15" s="33"/>
      <c r="LE15" s="33"/>
      <c r="LF15" s="33"/>
    </row>
    <row r="16" spans="1:463">
      <c r="A16" s="48" t="s">
        <v>184</v>
      </c>
      <c r="B16" s="48" t="s">
        <v>37</v>
      </c>
      <c r="C16" s="48" t="s">
        <v>37</v>
      </c>
      <c r="D16" s="8" t="s">
        <v>143</v>
      </c>
      <c r="E16" s="8" t="s">
        <v>143</v>
      </c>
      <c r="F16" s="8" t="s">
        <v>143</v>
      </c>
      <c r="G16" s="8" t="s">
        <v>143</v>
      </c>
      <c r="H16" s="8" t="s">
        <v>156</v>
      </c>
      <c r="I16" s="7"/>
      <c r="J16" s="7"/>
      <c r="K16" s="8" t="s">
        <v>185</v>
      </c>
      <c r="L16" s="8" t="s">
        <v>185</v>
      </c>
      <c r="M16" s="8" t="s">
        <v>185</v>
      </c>
      <c r="N16" s="8" t="s">
        <v>185</v>
      </c>
      <c r="O16" s="8" t="s">
        <v>185</v>
      </c>
      <c r="P16" s="7"/>
      <c r="Q16" s="7"/>
      <c r="R16" s="13" t="s">
        <v>140</v>
      </c>
      <c r="S16" s="13" t="s">
        <v>140</v>
      </c>
      <c r="T16" s="2" t="s">
        <v>160</v>
      </c>
      <c r="U16" s="2" t="s">
        <v>160</v>
      </c>
      <c r="V16" s="2" t="s">
        <v>160</v>
      </c>
      <c r="W16" s="7"/>
      <c r="X16" s="7"/>
      <c r="AB16" s="5" t="s">
        <v>186</v>
      </c>
      <c r="AC16" s="5" t="s">
        <v>38</v>
      </c>
      <c r="AD16" s="7"/>
      <c r="AE16" s="7"/>
      <c r="AF16" s="5" t="s">
        <v>186</v>
      </c>
      <c r="AG16" s="5" t="s">
        <v>186</v>
      </c>
      <c r="AH16" s="8" t="s">
        <v>143</v>
      </c>
      <c r="AI16" s="8" t="s">
        <v>143</v>
      </c>
      <c r="AJ16" s="7" t="s">
        <v>142</v>
      </c>
      <c r="AK16" s="7"/>
      <c r="AL16" s="7"/>
      <c r="AM16" s="7" t="s">
        <v>142</v>
      </c>
      <c r="AN16" s="5" t="s">
        <v>160</v>
      </c>
      <c r="AR16" s="7"/>
      <c r="AS16" s="7"/>
      <c r="AT16" s="5" t="s">
        <v>38</v>
      </c>
      <c r="AU16" s="5" t="s">
        <v>38</v>
      </c>
      <c r="AV16" s="8" t="s">
        <v>143</v>
      </c>
      <c r="AW16" s="5" t="s">
        <v>160</v>
      </c>
      <c r="AX16" s="5" t="s">
        <v>160</v>
      </c>
      <c r="AY16" s="7"/>
      <c r="AZ16" s="7"/>
      <c r="BA16" s="5" t="s">
        <v>160</v>
      </c>
      <c r="BB16" s="5" t="s">
        <v>160</v>
      </c>
      <c r="BC16" s="5" t="s">
        <v>160</v>
      </c>
      <c r="BD16" s="5" t="s">
        <v>160</v>
      </c>
      <c r="BE16" s="5" t="s">
        <v>160</v>
      </c>
      <c r="BF16" s="7"/>
      <c r="BG16" s="7"/>
      <c r="BH16" s="5" t="s">
        <v>38</v>
      </c>
      <c r="BI16" s="5" t="s">
        <v>38</v>
      </c>
      <c r="BJ16" s="5" t="s">
        <v>38</v>
      </c>
      <c r="BK16" s="8" t="s">
        <v>143</v>
      </c>
      <c r="BL16" s="8" t="s">
        <v>143</v>
      </c>
      <c r="BM16" s="7"/>
      <c r="BN16" s="7"/>
      <c r="BO16" s="8" t="s">
        <v>143</v>
      </c>
      <c r="BP16" s="8" t="s">
        <v>143</v>
      </c>
      <c r="BQ16" s="8" t="s">
        <v>143</v>
      </c>
      <c r="BR16" s="8" t="s">
        <v>143</v>
      </c>
      <c r="BS16" s="8" t="s">
        <v>143</v>
      </c>
      <c r="BT16" s="7"/>
      <c r="BU16" s="7"/>
      <c r="BV16" s="7" t="s">
        <v>142</v>
      </c>
      <c r="BW16" s="8" t="s">
        <v>143</v>
      </c>
      <c r="BX16" s="8" t="s">
        <v>143</v>
      </c>
      <c r="BY16" s="8" t="s">
        <v>143</v>
      </c>
      <c r="BZ16" s="8" t="s">
        <v>143</v>
      </c>
      <c r="CA16" s="7"/>
      <c r="CB16" s="7"/>
      <c r="CC16" s="8" t="s">
        <v>143</v>
      </c>
      <c r="CD16" s="8" t="s">
        <v>143</v>
      </c>
      <c r="CE16" s="8" t="s">
        <v>143</v>
      </c>
      <c r="CF16" s="8" t="s">
        <v>143</v>
      </c>
      <c r="CG16" s="8" t="s">
        <v>143</v>
      </c>
      <c r="CH16" s="3"/>
      <c r="CI16" s="3"/>
      <c r="CJ16" s="83" t="s">
        <v>18</v>
      </c>
      <c r="CK16" s="83" t="s">
        <v>18</v>
      </c>
      <c r="CL16" s="2" t="s">
        <v>143</v>
      </c>
      <c r="CM16" s="2" t="s">
        <v>143</v>
      </c>
      <c r="CN16" s="11" t="s">
        <v>141</v>
      </c>
      <c r="CO16" s="3"/>
      <c r="CP16" s="3"/>
      <c r="CQ16" s="3"/>
      <c r="CR16" s="83" t="s">
        <v>18</v>
      </c>
      <c r="CS16" s="83" t="s">
        <v>38</v>
      </c>
      <c r="CT16" s="83" t="s">
        <v>18</v>
      </c>
      <c r="CU16" s="83" t="s">
        <v>18</v>
      </c>
      <c r="CV16" s="3"/>
      <c r="CW16" s="3"/>
      <c r="CX16" s="83" t="s">
        <v>18</v>
      </c>
      <c r="CY16" s="83" t="s">
        <v>18</v>
      </c>
      <c r="CZ16" s="2" t="s">
        <v>143</v>
      </c>
      <c r="DA16" s="2" t="s">
        <v>143</v>
      </c>
      <c r="DB16" s="2" t="s">
        <v>143</v>
      </c>
      <c r="DC16" s="3"/>
      <c r="DD16" s="3"/>
      <c r="DE16" s="11" t="s">
        <v>141</v>
      </c>
      <c r="DF16" s="2" t="s">
        <v>143</v>
      </c>
      <c r="DG16" s="83" t="s">
        <v>38</v>
      </c>
      <c r="DH16" s="83" t="s">
        <v>38</v>
      </c>
      <c r="DI16" s="11" t="s">
        <v>141</v>
      </c>
      <c r="DJ16" s="24"/>
      <c r="DK16" s="24"/>
      <c r="DL16" s="2" t="s">
        <v>143</v>
      </c>
      <c r="DM16" s="2" t="s">
        <v>143</v>
      </c>
      <c r="DN16" s="2" t="s">
        <v>143</v>
      </c>
      <c r="DO16" s="83" t="s">
        <v>38</v>
      </c>
      <c r="DP16" s="2" t="s">
        <v>143</v>
      </c>
      <c r="DQ16" s="24"/>
      <c r="DR16" s="24"/>
      <c r="DS16" s="2" t="s">
        <v>143</v>
      </c>
      <c r="DT16" s="2" t="s">
        <v>143</v>
      </c>
      <c r="DU16" s="2" t="s">
        <v>143</v>
      </c>
      <c r="DV16" s="83" t="s">
        <v>38</v>
      </c>
      <c r="DW16" s="2" t="s">
        <v>143</v>
      </c>
      <c r="DX16" s="24"/>
      <c r="DY16" s="24"/>
      <c r="DZ16" s="2" t="s">
        <v>143</v>
      </c>
      <c r="EA16" s="2" t="s">
        <v>143</v>
      </c>
      <c r="EB16" s="2" t="s">
        <v>143</v>
      </c>
      <c r="EC16" s="2" t="s">
        <v>143</v>
      </c>
      <c r="ED16" s="2" t="s">
        <v>143</v>
      </c>
      <c r="EE16" s="24"/>
      <c r="EF16" s="24"/>
      <c r="EG16" s="2" t="s">
        <v>143</v>
      </c>
      <c r="EH16" s="2" t="s">
        <v>143</v>
      </c>
      <c r="EI16" s="2" t="s">
        <v>143</v>
      </c>
      <c r="EJ16" s="2" t="s">
        <v>143</v>
      </c>
      <c r="EK16" s="2" t="s">
        <v>143</v>
      </c>
      <c r="EL16" s="24"/>
      <c r="EM16" s="24"/>
      <c r="EN16" s="2" t="s">
        <v>143</v>
      </c>
      <c r="EO16" s="2" t="s">
        <v>143</v>
      </c>
      <c r="EP16" s="2" t="s">
        <v>143</v>
      </c>
      <c r="EQ16" s="2" t="s">
        <v>143</v>
      </c>
      <c r="ER16" s="2" t="s">
        <v>143</v>
      </c>
      <c r="ES16" s="24"/>
      <c r="ET16" s="24"/>
      <c r="EU16" s="2" t="s">
        <v>143</v>
      </c>
      <c r="EV16" s="2" t="s">
        <v>143</v>
      </c>
      <c r="EW16" s="2" t="s">
        <v>143</v>
      </c>
      <c r="EX16" s="2" t="s">
        <v>143</v>
      </c>
      <c r="EY16" s="2" t="s">
        <v>143</v>
      </c>
      <c r="EZ16" s="24"/>
      <c r="FA16" s="24"/>
      <c r="FB16" s="2" t="s">
        <v>143</v>
      </c>
      <c r="FC16" s="2" t="s">
        <v>143</v>
      </c>
      <c r="FD16" s="2" t="s">
        <v>143</v>
      </c>
      <c r="FE16" s="2" t="s">
        <v>143</v>
      </c>
      <c r="FF16" s="2" t="s">
        <v>143</v>
      </c>
      <c r="FG16" s="24"/>
      <c r="FH16" s="24"/>
      <c r="FI16" s="80" t="s">
        <v>187</v>
      </c>
      <c r="FJ16" s="2" t="s">
        <v>143</v>
      </c>
      <c r="FK16" s="2" t="s">
        <v>143</v>
      </c>
      <c r="FL16" s="2" t="s">
        <v>143</v>
      </c>
      <c r="FM16" s="2" t="s">
        <v>143</v>
      </c>
      <c r="FN16" s="24"/>
      <c r="FO16" s="24"/>
      <c r="FP16" s="2" t="s">
        <v>143</v>
      </c>
      <c r="FQ16" s="2" t="s">
        <v>143</v>
      </c>
      <c r="FR16" s="2" t="s">
        <v>143</v>
      </c>
      <c r="FS16" s="2" t="s">
        <v>143</v>
      </c>
      <c r="FT16" s="2" t="s">
        <v>143</v>
      </c>
      <c r="FU16" s="24"/>
      <c r="FV16" s="24"/>
      <c r="FW16" s="2" t="s">
        <v>143</v>
      </c>
      <c r="FX16" s="2" t="s">
        <v>143</v>
      </c>
      <c r="FY16" s="83" t="s">
        <v>38</v>
      </c>
      <c r="FZ16" s="2" t="s">
        <v>143</v>
      </c>
      <c r="GA16" s="2" t="s">
        <v>143</v>
      </c>
      <c r="GB16" s="24"/>
      <c r="GC16" s="24"/>
      <c r="GD16" s="24"/>
      <c r="GE16" s="2" t="s">
        <v>143</v>
      </c>
      <c r="GF16" s="2" t="s">
        <v>143</v>
      </c>
      <c r="GG16" s="2" t="s">
        <v>143</v>
      </c>
      <c r="GH16" s="2" t="s">
        <v>143</v>
      </c>
      <c r="GI16" s="24"/>
      <c r="GJ16" s="24"/>
      <c r="GK16" s="83" t="s">
        <v>38</v>
      </c>
      <c r="GL16" s="2" t="s">
        <v>143</v>
      </c>
      <c r="GM16" s="2" t="s">
        <v>143</v>
      </c>
      <c r="GN16" s="2" t="s">
        <v>143</v>
      </c>
      <c r="GO16" s="2" t="s">
        <v>143</v>
      </c>
      <c r="GP16" s="24"/>
      <c r="GQ16" s="24"/>
      <c r="GR16" s="2" t="s">
        <v>143</v>
      </c>
      <c r="GS16" s="2" t="s">
        <v>143</v>
      </c>
      <c r="GT16" s="83" t="s">
        <v>38</v>
      </c>
      <c r="GU16" s="2" t="s">
        <v>143</v>
      </c>
      <c r="GV16" s="2" t="s">
        <v>143</v>
      </c>
      <c r="GW16" s="24"/>
      <c r="GX16" s="24"/>
      <c r="GY16" s="2" t="s">
        <v>143</v>
      </c>
      <c r="GZ16" s="83" t="s">
        <v>38</v>
      </c>
      <c r="HA16" s="2" t="s">
        <v>143</v>
      </c>
      <c r="HB16" s="2" t="s">
        <v>143</v>
      </c>
      <c r="HC16" s="12" t="s">
        <v>140</v>
      </c>
      <c r="HD16" s="24"/>
      <c r="HE16" s="24"/>
      <c r="HF16" s="2" t="s">
        <v>143</v>
      </c>
      <c r="HG16" s="2" t="s">
        <v>143</v>
      </c>
      <c r="HH16" s="2" t="s">
        <v>143</v>
      </c>
      <c r="HI16" s="2" t="s">
        <v>143</v>
      </c>
      <c r="HJ16" s="2" t="s">
        <v>143</v>
      </c>
      <c r="HK16" s="24"/>
      <c r="HL16" s="24"/>
      <c r="HM16" s="2" t="s">
        <v>143</v>
      </c>
      <c r="HN16" s="2" t="s">
        <v>143</v>
      </c>
      <c r="HO16" s="2" t="s">
        <v>143</v>
      </c>
      <c r="HP16" s="2" t="s">
        <v>143</v>
      </c>
      <c r="HQ16" s="2" t="s">
        <v>143</v>
      </c>
      <c r="HR16" s="24"/>
      <c r="HS16" s="24"/>
      <c r="HT16" s="2" t="s">
        <v>143</v>
      </c>
      <c r="HU16" s="2" t="s">
        <v>143</v>
      </c>
      <c r="HV16" s="2" t="s">
        <v>143</v>
      </c>
      <c r="HW16" s="2" t="s">
        <v>143</v>
      </c>
      <c r="HX16" s="2" t="s">
        <v>143</v>
      </c>
      <c r="HY16" s="24"/>
      <c r="HZ16" s="24"/>
      <c r="IA16" s="2" t="s">
        <v>143</v>
      </c>
      <c r="IB16" s="2" t="s">
        <v>143</v>
      </c>
      <c r="IC16" s="2" t="s">
        <v>143</v>
      </c>
      <c r="ID16" s="80" t="s">
        <v>188</v>
      </c>
      <c r="IE16" s="80" t="s">
        <v>188</v>
      </c>
      <c r="IF16" s="24"/>
      <c r="IG16" s="24"/>
      <c r="IH16" s="2" t="s">
        <v>143</v>
      </c>
      <c r="II16" s="2" t="s">
        <v>143</v>
      </c>
      <c r="IJ16" s="2" t="s">
        <v>143</v>
      </c>
      <c r="IK16" s="2" t="s">
        <v>143</v>
      </c>
      <c r="IL16" s="2" t="s">
        <v>143</v>
      </c>
      <c r="IM16" s="24"/>
      <c r="IN16" s="24"/>
      <c r="IO16" s="2" t="s">
        <v>143</v>
      </c>
      <c r="IP16" s="2" t="s">
        <v>143</v>
      </c>
      <c r="IQ16" s="2" t="s">
        <v>143</v>
      </c>
      <c r="IR16" s="2" t="s">
        <v>143</v>
      </c>
      <c r="IS16" s="2" t="s">
        <v>143</v>
      </c>
      <c r="IT16" s="24"/>
      <c r="IU16" s="24"/>
      <c r="IV16" s="2" t="s">
        <v>143</v>
      </c>
      <c r="IW16" s="2" t="s">
        <v>143</v>
      </c>
      <c r="IX16" s="2" t="s">
        <v>143</v>
      </c>
      <c r="IY16" s="2" t="s">
        <v>143</v>
      </c>
      <c r="IZ16" s="2" t="s">
        <v>143</v>
      </c>
      <c r="JA16" s="24"/>
      <c r="JB16" s="24"/>
      <c r="JC16" s="2" t="s">
        <v>143</v>
      </c>
      <c r="JD16" s="2" t="s">
        <v>143</v>
      </c>
      <c r="JE16" s="2" t="s">
        <v>143</v>
      </c>
      <c r="JF16" s="2" t="s">
        <v>143</v>
      </c>
      <c r="JG16" s="2" t="s">
        <v>143</v>
      </c>
      <c r="JH16" s="24"/>
      <c r="JI16" s="24"/>
      <c r="JJ16" s="2" t="s">
        <v>143</v>
      </c>
      <c r="JK16" s="2" t="s">
        <v>143</v>
      </c>
      <c r="JL16" s="2" t="s">
        <v>143</v>
      </c>
      <c r="JM16" s="2" t="s">
        <v>143</v>
      </c>
      <c r="JN16" s="2" t="s">
        <v>143</v>
      </c>
      <c r="JO16" s="24"/>
      <c r="JP16" s="24"/>
      <c r="JQ16" s="2" t="s">
        <v>143</v>
      </c>
      <c r="JR16" s="2" t="s">
        <v>143</v>
      </c>
      <c r="JS16" s="2" t="s">
        <v>143</v>
      </c>
      <c r="JT16" s="2" t="s">
        <v>143</v>
      </c>
      <c r="JU16" s="2" t="s">
        <v>143</v>
      </c>
      <c r="JV16" s="24"/>
      <c r="JW16" s="24"/>
      <c r="JX16" s="2" t="s">
        <v>143</v>
      </c>
      <c r="JY16" s="2" t="s">
        <v>143</v>
      </c>
      <c r="JZ16" s="80" t="s">
        <v>183</v>
      </c>
      <c r="KA16" s="2" t="s">
        <v>143</v>
      </c>
      <c r="KB16" s="2" t="s">
        <v>143</v>
      </c>
      <c r="KC16" s="24"/>
      <c r="KD16" s="24"/>
      <c r="KE16" s="80" t="s">
        <v>183</v>
      </c>
      <c r="KF16" s="80" t="s">
        <v>151</v>
      </c>
      <c r="KG16" s="2" t="s">
        <v>143</v>
      </c>
      <c r="KH16" s="2" t="s">
        <v>143</v>
      </c>
      <c r="KI16" s="2" t="s">
        <v>143</v>
      </c>
      <c r="KJ16" s="24"/>
      <c r="KK16" s="24"/>
      <c r="KL16" s="2" t="s">
        <v>143</v>
      </c>
      <c r="KM16" s="2" t="s">
        <v>143</v>
      </c>
      <c r="KN16" s="2" t="s">
        <v>143</v>
      </c>
      <c r="KO16" s="2" t="s">
        <v>143</v>
      </c>
      <c r="KP16" s="2" t="s">
        <v>143</v>
      </c>
      <c r="KQ16" s="24"/>
      <c r="KR16" s="24"/>
      <c r="KS16" s="80" t="s">
        <v>151</v>
      </c>
      <c r="KT16" s="80" t="s">
        <v>151</v>
      </c>
      <c r="KU16" s="24" t="s">
        <v>153</v>
      </c>
      <c r="KV16" s="24" t="s">
        <v>153</v>
      </c>
      <c r="KW16" s="80" t="s">
        <v>151</v>
      </c>
      <c r="KX16" s="24" t="s">
        <v>153</v>
      </c>
      <c r="KY16" s="24" t="s">
        <v>153</v>
      </c>
      <c r="KZ16" s="80" t="s">
        <v>151</v>
      </c>
      <c r="LA16" s="80" t="s">
        <v>151</v>
      </c>
      <c r="LB16" s="33"/>
      <c r="LC16" s="33"/>
      <c r="LD16" s="33"/>
      <c r="LE16" s="33"/>
      <c r="LF16" s="33"/>
    </row>
    <row r="17" spans="1:466">
      <c r="A17" s="48" t="s">
        <v>189</v>
      </c>
      <c r="B17" s="48" t="s">
        <v>37</v>
      </c>
      <c r="C17" s="48" t="s">
        <v>37</v>
      </c>
      <c r="D17" s="2" t="s">
        <v>190</v>
      </c>
      <c r="E17" s="8" t="s">
        <v>143</v>
      </c>
      <c r="F17" s="8" t="s">
        <v>143</v>
      </c>
      <c r="G17" s="8" t="s">
        <v>143</v>
      </c>
      <c r="H17" s="8" t="s">
        <v>143</v>
      </c>
      <c r="I17" s="7"/>
      <c r="J17" s="7"/>
      <c r="K17" s="2" t="s">
        <v>190</v>
      </c>
      <c r="L17" s="8" t="s">
        <v>143</v>
      </c>
      <c r="M17" s="8" t="s">
        <v>143</v>
      </c>
      <c r="N17" s="8" t="s">
        <v>143</v>
      </c>
      <c r="O17" s="8" t="s">
        <v>143</v>
      </c>
      <c r="P17" s="7"/>
      <c r="Q17" s="7"/>
      <c r="R17" s="5" t="s">
        <v>190</v>
      </c>
      <c r="S17" s="8" t="s">
        <v>143</v>
      </c>
      <c r="T17" s="8" t="s">
        <v>143</v>
      </c>
      <c r="U17" s="8" t="s">
        <v>143</v>
      </c>
      <c r="V17" s="8" t="s">
        <v>143</v>
      </c>
      <c r="W17" s="7"/>
      <c r="X17" s="7"/>
      <c r="Y17" s="5" t="s">
        <v>190</v>
      </c>
      <c r="Z17" s="8" t="s">
        <v>143</v>
      </c>
      <c r="AA17" s="8" t="s">
        <v>143</v>
      </c>
      <c r="AB17" s="8" t="s">
        <v>143</v>
      </c>
      <c r="AC17" s="8" t="s">
        <v>143</v>
      </c>
      <c r="AD17" s="7"/>
      <c r="AE17" s="7"/>
      <c r="AF17" s="5" t="s">
        <v>190</v>
      </c>
      <c r="AG17" s="8" t="s">
        <v>143</v>
      </c>
      <c r="AH17" s="8" t="s">
        <v>143</v>
      </c>
      <c r="AI17" s="8" t="s">
        <v>143</v>
      </c>
      <c r="AJ17" s="7" t="s">
        <v>142</v>
      </c>
      <c r="AK17" s="7"/>
      <c r="AL17" s="7"/>
      <c r="AM17" s="7" t="s">
        <v>142</v>
      </c>
      <c r="AN17" s="8" t="s">
        <v>143</v>
      </c>
      <c r="AO17" s="8" t="s">
        <v>143</v>
      </c>
      <c r="AP17" s="6"/>
      <c r="AQ17" s="6"/>
      <c r="AR17" s="7"/>
      <c r="AS17" s="7"/>
      <c r="AT17" s="5" t="s">
        <v>38</v>
      </c>
      <c r="AU17" s="5" t="s">
        <v>38</v>
      </c>
      <c r="AV17" s="5" t="s">
        <v>38</v>
      </c>
      <c r="AW17" s="8" t="s">
        <v>143</v>
      </c>
      <c r="AX17" s="8" t="s">
        <v>143</v>
      </c>
      <c r="AY17" s="7"/>
      <c r="AZ17" s="7"/>
      <c r="BA17" s="8" t="s">
        <v>143</v>
      </c>
      <c r="BB17" s="8" t="s">
        <v>143</v>
      </c>
      <c r="BC17" s="8" t="s">
        <v>143</v>
      </c>
      <c r="BD17" s="8" t="s">
        <v>143</v>
      </c>
      <c r="BE17" s="8" t="s">
        <v>143</v>
      </c>
      <c r="BF17" s="7"/>
      <c r="BG17" s="7"/>
      <c r="BH17" s="8" t="s">
        <v>143</v>
      </c>
      <c r="BI17" s="8" t="s">
        <v>143</v>
      </c>
      <c r="BJ17" s="8" t="s">
        <v>143</v>
      </c>
      <c r="BK17" s="8" t="s">
        <v>143</v>
      </c>
      <c r="BL17" s="8" t="s">
        <v>143</v>
      </c>
      <c r="BM17" s="7"/>
      <c r="BN17" s="7"/>
      <c r="BO17" s="8" t="s">
        <v>143</v>
      </c>
      <c r="BP17" s="8" t="s">
        <v>143</v>
      </c>
      <c r="BQ17" s="8" t="s">
        <v>143</v>
      </c>
      <c r="BR17" s="8" t="s">
        <v>143</v>
      </c>
      <c r="BS17" s="8" t="s">
        <v>143</v>
      </c>
      <c r="BT17" s="7"/>
      <c r="BU17" s="7"/>
      <c r="BV17" s="7" t="s">
        <v>142</v>
      </c>
      <c r="BW17" s="8" t="s">
        <v>143</v>
      </c>
      <c r="BX17" s="8" t="s">
        <v>143</v>
      </c>
      <c r="BY17" s="8" t="s">
        <v>143</v>
      </c>
      <c r="BZ17" s="8" t="s">
        <v>143</v>
      </c>
      <c r="CA17" s="7"/>
      <c r="CB17" s="7"/>
      <c r="CC17" s="8" t="s">
        <v>143</v>
      </c>
      <c r="CD17" s="8" t="s">
        <v>143</v>
      </c>
      <c r="CE17" s="8" t="s">
        <v>143</v>
      </c>
      <c r="CF17" s="8" t="s">
        <v>143</v>
      </c>
      <c r="CG17" s="8" t="s">
        <v>143</v>
      </c>
      <c r="CH17" s="3"/>
      <c r="CI17" s="3"/>
      <c r="CJ17" s="2" t="s">
        <v>143</v>
      </c>
      <c r="CK17" s="2" t="s">
        <v>143</v>
      </c>
      <c r="CL17" s="2" t="s">
        <v>143</v>
      </c>
      <c r="CM17" s="2" t="s">
        <v>143</v>
      </c>
      <c r="CN17" s="2" t="s">
        <v>143</v>
      </c>
      <c r="CO17" s="3"/>
      <c r="CP17" s="3"/>
      <c r="CQ17" s="3"/>
      <c r="CR17" s="83" t="s">
        <v>18</v>
      </c>
      <c r="CS17" s="2" t="s">
        <v>143</v>
      </c>
      <c r="CT17" s="2" t="s">
        <v>143</v>
      </c>
      <c r="CU17" s="2" t="s">
        <v>143</v>
      </c>
      <c r="CV17" s="3"/>
      <c r="CW17" s="3"/>
      <c r="CX17" s="2" t="s">
        <v>143</v>
      </c>
      <c r="CY17" s="2" t="s">
        <v>143</v>
      </c>
      <c r="CZ17" s="2" t="s">
        <v>143</v>
      </c>
      <c r="DA17" s="2" t="s">
        <v>143</v>
      </c>
      <c r="DB17" s="83" t="s">
        <v>18</v>
      </c>
      <c r="DC17" s="3"/>
      <c r="DD17" s="3"/>
      <c r="DE17" s="2" t="s">
        <v>143</v>
      </c>
      <c r="DF17" s="2" t="s">
        <v>143</v>
      </c>
      <c r="DG17" s="83" t="s">
        <v>38</v>
      </c>
      <c r="DH17" s="2" t="s">
        <v>143</v>
      </c>
      <c r="DI17" s="2" t="s">
        <v>143</v>
      </c>
      <c r="DJ17" s="24"/>
      <c r="DK17" s="24"/>
      <c r="DL17" s="2" t="s">
        <v>143</v>
      </c>
      <c r="DM17" s="2" t="s">
        <v>143</v>
      </c>
      <c r="DN17" s="2" t="s">
        <v>143</v>
      </c>
      <c r="DO17" s="2" t="s">
        <v>143</v>
      </c>
      <c r="DP17" s="2" t="s">
        <v>143</v>
      </c>
      <c r="DQ17" s="24"/>
      <c r="DR17" s="24"/>
      <c r="DS17" s="2" t="s">
        <v>143</v>
      </c>
      <c r="DT17" s="2" t="s">
        <v>143</v>
      </c>
      <c r="DU17" s="2" t="s">
        <v>143</v>
      </c>
      <c r="DV17" s="2" t="s">
        <v>143</v>
      </c>
      <c r="DW17" s="2" t="s">
        <v>143</v>
      </c>
      <c r="DX17" s="24"/>
      <c r="DY17" s="24"/>
      <c r="DZ17" s="2" t="s">
        <v>143</v>
      </c>
      <c r="EA17" s="2" t="s">
        <v>143</v>
      </c>
      <c r="EB17" s="2" t="s">
        <v>143</v>
      </c>
      <c r="EC17" s="2" t="s">
        <v>143</v>
      </c>
      <c r="ED17" s="2" t="s">
        <v>143</v>
      </c>
      <c r="EE17" s="24"/>
      <c r="EF17" s="24"/>
      <c r="EG17" s="2" t="s">
        <v>143</v>
      </c>
      <c r="EH17" s="2" t="s">
        <v>143</v>
      </c>
      <c r="EI17" s="2" t="s">
        <v>143</v>
      </c>
      <c r="EJ17" s="2" t="s">
        <v>143</v>
      </c>
      <c r="EK17" s="2" t="s">
        <v>143</v>
      </c>
      <c r="EL17" s="24"/>
      <c r="EM17" s="24"/>
      <c r="EN17" s="2" t="s">
        <v>143</v>
      </c>
      <c r="EO17" s="2" t="s">
        <v>143</v>
      </c>
      <c r="EP17" s="2" t="s">
        <v>143</v>
      </c>
      <c r="EQ17" s="2" t="s">
        <v>143</v>
      </c>
      <c r="ER17" s="2" t="s">
        <v>143</v>
      </c>
      <c r="ES17" s="24"/>
      <c r="ET17" s="24"/>
      <c r="EU17" s="2" t="s">
        <v>143</v>
      </c>
      <c r="EV17" s="2" t="s">
        <v>143</v>
      </c>
      <c r="EW17" s="2" t="s">
        <v>143</v>
      </c>
      <c r="EX17" s="2" t="s">
        <v>143</v>
      </c>
      <c r="EY17" s="2" t="s">
        <v>143</v>
      </c>
      <c r="EZ17" s="24"/>
      <c r="FA17" s="24"/>
      <c r="FB17" s="2" t="s">
        <v>143</v>
      </c>
      <c r="FC17" s="2" t="s">
        <v>143</v>
      </c>
      <c r="FD17" s="2" t="s">
        <v>143</v>
      </c>
      <c r="FE17" s="2" t="s">
        <v>143</v>
      </c>
      <c r="FF17" s="2" t="s">
        <v>143</v>
      </c>
      <c r="FG17" s="24"/>
      <c r="FH17" s="24"/>
      <c r="FI17" s="11" t="s">
        <v>148</v>
      </c>
      <c r="FJ17" s="2" t="s">
        <v>143</v>
      </c>
      <c r="FK17" s="2" t="s">
        <v>143</v>
      </c>
      <c r="FL17" s="2" t="s">
        <v>143</v>
      </c>
      <c r="FM17" s="2" t="s">
        <v>143</v>
      </c>
      <c r="FN17" s="24"/>
      <c r="FO17" s="24"/>
      <c r="FP17" s="2" t="s">
        <v>143</v>
      </c>
      <c r="FQ17" s="2" t="s">
        <v>143</v>
      </c>
      <c r="FR17" s="83" t="s">
        <v>38</v>
      </c>
      <c r="FS17" s="2" t="s">
        <v>143</v>
      </c>
      <c r="FT17" s="2" t="s">
        <v>143</v>
      </c>
      <c r="FU17" s="24"/>
      <c r="FV17" s="24"/>
      <c r="FW17" s="2" t="s">
        <v>143</v>
      </c>
      <c r="FX17" s="2" t="s">
        <v>143</v>
      </c>
      <c r="FY17" s="2" t="s">
        <v>143</v>
      </c>
      <c r="FZ17" s="2" t="s">
        <v>143</v>
      </c>
      <c r="GA17" s="2" t="s">
        <v>143</v>
      </c>
      <c r="GB17" s="24"/>
      <c r="GC17" s="24"/>
      <c r="GD17" s="24"/>
      <c r="GE17" s="2" t="s">
        <v>143</v>
      </c>
      <c r="GF17" s="83" t="s">
        <v>38</v>
      </c>
      <c r="GG17" s="83" t="s">
        <v>38</v>
      </c>
      <c r="GH17" s="2" t="s">
        <v>143</v>
      </c>
      <c r="GI17" s="24"/>
      <c r="GJ17" s="24"/>
      <c r="GK17" s="83" t="s">
        <v>38</v>
      </c>
      <c r="GL17" s="83" t="s">
        <v>38</v>
      </c>
      <c r="GM17" s="83" t="s">
        <v>38</v>
      </c>
      <c r="GN17" s="2" t="s">
        <v>143</v>
      </c>
      <c r="GO17" s="2" t="s">
        <v>143</v>
      </c>
      <c r="GP17" s="24"/>
      <c r="GQ17" s="24"/>
      <c r="GR17" s="2" t="s">
        <v>143</v>
      </c>
      <c r="GS17" s="2" t="s">
        <v>143</v>
      </c>
      <c r="GT17" s="2" t="s">
        <v>143</v>
      </c>
      <c r="GU17" s="2" t="s">
        <v>143</v>
      </c>
      <c r="GV17" s="2" t="s">
        <v>143</v>
      </c>
      <c r="GW17" s="24"/>
      <c r="GX17" s="24"/>
      <c r="GY17" s="11" t="s">
        <v>141</v>
      </c>
      <c r="GZ17" s="11" t="s">
        <v>141</v>
      </c>
      <c r="HA17" s="11" t="s">
        <v>141</v>
      </c>
      <c r="HB17" s="11" t="s">
        <v>141</v>
      </c>
      <c r="HC17" s="11" t="s">
        <v>141</v>
      </c>
      <c r="HD17" s="24"/>
      <c r="HE17" s="24"/>
      <c r="HF17" s="11" t="s">
        <v>141</v>
      </c>
      <c r="HG17" s="11" t="s">
        <v>141</v>
      </c>
      <c r="HH17" s="11" t="s">
        <v>141</v>
      </c>
      <c r="HI17" s="11" t="s">
        <v>141</v>
      </c>
      <c r="HJ17" s="11" t="s">
        <v>141</v>
      </c>
      <c r="HK17" s="24"/>
      <c r="HL17" s="24"/>
      <c r="HM17" s="2" t="s">
        <v>143</v>
      </c>
      <c r="HN17" s="2" t="s">
        <v>143</v>
      </c>
      <c r="HO17" s="2" t="s">
        <v>143</v>
      </c>
      <c r="HP17" s="2" t="s">
        <v>143</v>
      </c>
      <c r="HQ17" s="2" t="s">
        <v>143</v>
      </c>
      <c r="HR17" s="24"/>
      <c r="HS17" s="24"/>
      <c r="HT17" s="2" t="s">
        <v>143</v>
      </c>
      <c r="HU17" s="2" t="s">
        <v>143</v>
      </c>
      <c r="HV17" s="2" t="s">
        <v>143</v>
      </c>
      <c r="HW17" s="2" t="s">
        <v>143</v>
      </c>
      <c r="HX17" s="2" t="s">
        <v>143</v>
      </c>
      <c r="HY17" s="24"/>
      <c r="HZ17" s="24"/>
      <c r="IA17" s="2" t="s">
        <v>143</v>
      </c>
      <c r="IB17" s="2" t="s">
        <v>143</v>
      </c>
      <c r="IC17" s="2" t="s">
        <v>143</v>
      </c>
      <c r="ID17" s="2" t="s">
        <v>143</v>
      </c>
      <c r="IE17" s="2" t="s">
        <v>143</v>
      </c>
      <c r="IF17" s="24"/>
      <c r="IG17" s="24"/>
      <c r="IH17" s="2" t="s">
        <v>143</v>
      </c>
      <c r="II17" s="2" t="s">
        <v>143</v>
      </c>
      <c r="IJ17" s="2" t="s">
        <v>143</v>
      </c>
      <c r="IK17" s="2" t="s">
        <v>143</v>
      </c>
      <c r="IL17" s="2" t="s">
        <v>143</v>
      </c>
      <c r="IM17" s="24"/>
      <c r="IN17" s="24"/>
      <c r="IO17" s="2" t="s">
        <v>143</v>
      </c>
      <c r="IP17" s="2" t="s">
        <v>143</v>
      </c>
      <c r="IQ17" s="2" t="s">
        <v>143</v>
      </c>
      <c r="IR17" s="2" t="s">
        <v>143</v>
      </c>
      <c r="IS17" s="2" t="s">
        <v>143</v>
      </c>
      <c r="IT17" s="24"/>
      <c r="IU17" s="24"/>
      <c r="IV17" s="2" t="s">
        <v>143</v>
      </c>
      <c r="IW17" s="2" t="s">
        <v>143</v>
      </c>
      <c r="IX17" s="2" t="s">
        <v>143</v>
      </c>
      <c r="IY17" s="2" t="s">
        <v>143</v>
      </c>
      <c r="IZ17" s="2" t="s">
        <v>143</v>
      </c>
      <c r="JA17" s="24"/>
      <c r="JB17" s="24"/>
      <c r="JC17" s="2" t="s">
        <v>143</v>
      </c>
      <c r="JD17" s="2" t="s">
        <v>143</v>
      </c>
      <c r="JE17" s="2" t="s">
        <v>143</v>
      </c>
      <c r="JF17" s="2" t="s">
        <v>143</v>
      </c>
      <c r="JG17" s="2" t="s">
        <v>143</v>
      </c>
      <c r="JH17" s="24"/>
      <c r="JI17" s="24"/>
      <c r="JJ17" s="2" t="s">
        <v>143</v>
      </c>
      <c r="JK17" s="2" t="s">
        <v>143</v>
      </c>
      <c r="JL17" s="2" t="s">
        <v>143</v>
      </c>
      <c r="JM17" s="2" t="s">
        <v>143</v>
      </c>
      <c r="JN17" s="2" t="s">
        <v>143</v>
      </c>
      <c r="JO17" s="24"/>
      <c r="JP17" s="24"/>
      <c r="JQ17" s="2" t="s">
        <v>143</v>
      </c>
      <c r="JR17" s="2" t="s">
        <v>143</v>
      </c>
      <c r="JS17" s="2" t="s">
        <v>143</v>
      </c>
      <c r="JT17" s="2" t="s">
        <v>143</v>
      </c>
      <c r="JU17" s="2" t="s">
        <v>143</v>
      </c>
      <c r="JV17" s="24"/>
      <c r="JW17" s="24"/>
      <c r="JX17" s="2" t="s">
        <v>143</v>
      </c>
      <c r="JY17" s="80" t="s">
        <v>183</v>
      </c>
      <c r="JZ17" s="2" t="s">
        <v>143</v>
      </c>
      <c r="KA17" s="2" t="s">
        <v>143</v>
      </c>
      <c r="KB17" s="2" t="s">
        <v>143</v>
      </c>
      <c r="KC17" s="24"/>
      <c r="KD17" s="24"/>
      <c r="KE17" s="80" t="s">
        <v>183</v>
      </c>
      <c r="KF17" s="2" t="s">
        <v>143</v>
      </c>
      <c r="KG17" s="2" t="s">
        <v>177</v>
      </c>
      <c r="KH17" s="2" t="s">
        <v>177</v>
      </c>
      <c r="KI17" s="2" t="s">
        <v>143</v>
      </c>
      <c r="KJ17" s="24"/>
      <c r="KK17" s="24"/>
      <c r="KL17" s="2" t="s">
        <v>143</v>
      </c>
      <c r="KM17" s="2" t="s">
        <v>143</v>
      </c>
      <c r="KN17" s="2" t="s">
        <v>143</v>
      </c>
      <c r="KO17" s="2" t="s">
        <v>143</v>
      </c>
      <c r="KP17" s="2" t="s">
        <v>143</v>
      </c>
      <c r="KQ17" s="24"/>
      <c r="KR17" s="24"/>
      <c r="KS17" s="2" t="s">
        <v>143</v>
      </c>
      <c r="KT17" s="2" t="s">
        <v>143</v>
      </c>
      <c r="KU17" s="24"/>
      <c r="KV17" s="24"/>
      <c r="KW17" s="2" t="s">
        <v>143</v>
      </c>
      <c r="KX17" s="24"/>
      <c r="KY17" s="24"/>
      <c r="KZ17" s="2" t="s">
        <v>143</v>
      </c>
      <c r="LA17" s="2" t="s">
        <v>143</v>
      </c>
      <c r="LB17" s="33"/>
      <c r="LC17" s="33"/>
      <c r="LD17" s="33"/>
      <c r="LE17" s="33"/>
      <c r="LF17" s="33"/>
    </row>
    <row r="18" spans="1:466" s="43" customFormat="1">
      <c r="A18" s="38" t="s">
        <v>38</v>
      </c>
      <c r="B18" s="42"/>
      <c r="C18" s="42"/>
      <c r="E18" s="42"/>
      <c r="F18" s="42"/>
      <c r="G18" s="42"/>
      <c r="H18" s="42"/>
      <c r="I18" s="7"/>
      <c r="J18" s="7"/>
      <c r="L18" s="42"/>
      <c r="M18" s="42"/>
      <c r="N18" s="42"/>
      <c r="O18" s="42"/>
      <c r="P18" s="7"/>
      <c r="Q18" s="7"/>
      <c r="S18" s="42"/>
      <c r="T18" s="42"/>
      <c r="U18" s="42"/>
      <c r="V18" s="42"/>
      <c r="W18" s="7"/>
      <c r="X18" s="7"/>
      <c r="Z18" s="42"/>
      <c r="AA18" s="42"/>
      <c r="AB18" s="42"/>
      <c r="AC18" s="42"/>
      <c r="AD18" s="7"/>
      <c r="AE18" s="7"/>
      <c r="AG18" s="42"/>
      <c r="AH18" s="42"/>
      <c r="AI18" s="42"/>
      <c r="AJ18" s="7"/>
      <c r="AK18" s="7"/>
      <c r="AL18" s="7"/>
      <c r="AM18" s="7"/>
      <c r="AN18" s="42"/>
      <c r="AO18" s="42"/>
      <c r="AP18" s="42"/>
      <c r="AQ18" s="42"/>
      <c r="AR18" s="7"/>
      <c r="AS18" s="7"/>
      <c r="AW18" s="42"/>
      <c r="AX18" s="42"/>
      <c r="AY18" s="7"/>
      <c r="AZ18" s="7"/>
      <c r="BA18" s="42"/>
      <c r="BB18" s="42"/>
      <c r="BC18" s="42"/>
      <c r="BD18" s="42"/>
      <c r="BE18" s="42"/>
      <c r="BF18" s="7"/>
      <c r="BG18" s="7"/>
      <c r="BH18" s="42"/>
      <c r="BI18" s="42"/>
      <c r="BJ18" s="42"/>
      <c r="BK18" s="42"/>
      <c r="BL18" s="42"/>
      <c r="BM18" s="7"/>
      <c r="BN18" s="7"/>
      <c r="BO18" s="42"/>
      <c r="BP18" s="42"/>
      <c r="BQ18" s="42"/>
      <c r="BR18" s="42"/>
      <c r="BS18" s="42"/>
      <c r="BT18" s="7"/>
      <c r="BU18" s="7"/>
      <c r="BV18" s="7"/>
      <c r="BW18" s="42"/>
      <c r="BX18" s="42"/>
      <c r="BY18" s="42"/>
      <c r="BZ18" s="42"/>
      <c r="CA18" s="7"/>
      <c r="CB18" s="7"/>
      <c r="CC18" s="42"/>
      <c r="CD18" s="42"/>
      <c r="CE18" s="42"/>
      <c r="CF18" s="42"/>
      <c r="CG18" s="42"/>
      <c r="CH18" s="3"/>
      <c r="CI18" s="3"/>
      <c r="CO18" s="3"/>
      <c r="CP18" s="3"/>
      <c r="CQ18" s="3"/>
      <c r="CV18" s="3"/>
      <c r="CW18" s="3"/>
      <c r="DC18" s="3"/>
      <c r="DD18" s="3"/>
      <c r="DJ18" s="24"/>
      <c r="DK18" s="24"/>
      <c r="DQ18" s="24"/>
      <c r="DR18" s="24"/>
      <c r="DX18" s="24"/>
      <c r="DY18" s="24"/>
      <c r="EE18" s="24"/>
      <c r="EF18" s="24"/>
      <c r="EL18" s="24"/>
      <c r="EM18" s="24"/>
      <c r="ES18" s="24"/>
      <c r="ET18" s="24"/>
      <c r="EZ18" s="24"/>
      <c r="FA18" s="24"/>
      <c r="FG18" s="24"/>
      <c r="FH18" s="24"/>
      <c r="FN18" s="24"/>
      <c r="FO18" s="24"/>
      <c r="FU18" s="24"/>
      <c r="FV18" s="24"/>
      <c r="GB18" s="24"/>
      <c r="GC18" s="24"/>
      <c r="GD18" s="24"/>
      <c r="GI18" s="24"/>
      <c r="GJ18" s="24"/>
      <c r="GP18" s="24"/>
      <c r="GQ18" s="24"/>
      <c r="GW18" s="24"/>
      <c r="GX18" s="24"/>
      <c r="HD18" s="24"/>
      <c r="HE18" s="24"/>
      <c r="HK18" s="24"/>
      <c r="HL18" s="24"/>
      <c r="HR18" s="24"/>
      <c r="HS18" s="24"/>
      <c r="HY18" s="24"/>
      <c r="HZ18" s="24"/>
      <c r="IF18" s="24"/>
      <c r="IG18" s="24"/>
      <c r="IM18" s="24"/>
      <c r="IN18" s="24"/>
      <c r="IT18" s="24"/>
      <c r="IU18" s="24"/>
      <c r="JA18" s="24"/>
      <c r="JB18" s="24"/>
      <c r="JH18" s="24"/>
      <c r="JI18" s="24"/>
      <c r="JO18" s="24"/>
      <c r="JP18" s="24"/>
      <c r="JV18" s="24"/>
      <c r="JW18" s="24"/>
      <c r="KC18" s="24"/>
      <c r="KD18" s="24"/>
      <c r="KJ18" s="24"/>
      <c r="KK18" s="24"/>
      <c r="KQ18" s="24"/>
      <c r="KR18" s="24"/>
      <c r="KU18" s="24"/>
      <c r="KV18" s="24"/>
      <c r="KX18" s="24"/>
      <c r="KY18" s="24"/>
      <c r="LB18" s="33"/>
      <c r="LC18" s="33"/>
      <c r="LD18" s="33"/>
      <c r="LE18" s="33"/>
      <c r="LF18" s="33"/>
    </row>
    <row r="19" spans="1:466">
      <c r="A19" s="49" t="s">
        <v>191</v>
      </c>
      <c r="B19" s="49" t="s">
        <v>38</v>
      </c>
      <c r="C19" s="49" t="s">
        <v>38</v>
      </c>
      <c r="D19" s="8" t="s">
        <v>143</v>
      </c>
      <c r="E19" s="8" t="s">
        <v>143</v>
      </c>
      <c r="F19" s="8" t="s">
        <v>143</v>
      </c>
      <c r="G19" s="8" t="s">
        <v>143</v>
      </c>
      <c r="H19" s="8" t="s">
        <v>143</v>
      </c>
      <c r="I19" s="7"/>
      <c r="J19" s="7"/>
      <c r="K19" s="8" t="s">
        <v>143</v>
      </c>
      <c r="L19" s="8" t="s">
        <v>143</v>
      </c>
      <c r="M19" s="8" t="s">
        <v>143</v>
      </c>
      <c r="N19" s="8" t="s">
        <v>143</v>
      </c>
      <c r="O19" s="8" t="s">
        <v>143</v>
      </c>
      <c r="P19" s="7"/>
      <c r="Q19" s="7"/>
      <c r="R19" s="8" t="s">
        <v>143</v>
      </c>
      <c r="S19" s="8" t="s">
        <v>143</v>
      </c>
      <c r="T19" s="8" t="s">
        <v>143</v>
      </c>
      <c r="U19" s="8" t="s">
        <v>143</v>
      </c>
      <c r="V19" s="8" t="s">
        <v>143</v>
      </c>
      <c r="W19" s="7"/>
      <c r="X19" s="7"/>
      <c r="Y19" s="8" t="s">
        <v>143</v>
      </c>
      <c r="Z19" s="8" t="s">
        <v>143</v>
      </c>
      <c r="AA19" s="8" t="s">
        <v>143</v>
      </c>
      <c r="AB19" s="8" t="s">
        <v>143</v>
      </c>
      <c r="AC19" s="8" t="s">
        <v>143</v>
      </c>
      <c r="AD19" s="7"/>
      <c r="AE19" s="7"/>
      <c r="AF19" s="8" t="s">
        <v>143</v>
      </c>
      <c r="AG19" s="8" t="s">
        <v>143</v>
      </c>
      <c r="AH19" s="8" t="s">
        <v>143</v>
      </c>
      <c r="AI19" s="8" t="s">
        <v>143</v>
      </c>
      <c r="AJ19" s="7" t="s">
        <v>142</v>
      </c>
      <c r="AK19" s="7"/>
      <c r="AL19" s="7"/>
      <c r="AM19" s="7" t="s">
        <v>142</v>
      </c>
      <c r="AN19" s="8" t="s">
        <v>143</v>
      </c>
      <c r="AO19" s="8" t="s">
        <v>143</v>
      </c>
      <c r="AP19" s="8" t="s">
        <v>143</v>
      </c>
      <c r="AQ19" s="8" t="s">
        <v>143</v>
      </c>
      <c r="AR19" s="7"/>
      <c r="AS19" s="7"/>
      <c r="AT19" s="8" t="s">
        <v>168</v>
      </c>
      <c r="AU19" s="8" t="s">
        <v>168</v>
      </c>
      <c r="AV19" s="8" t="s">
        <v>168</v>
      </c>
      <c r="AW19" s="8" t="s">
        <v>168</v>
      </c>
      <c r="AX19" s="8" t="s">
        <v>168</v>
      </c>
      <c r="AY19" s="7"/>
      <c r="AZ19" s="7"/>
      <c r="BA19" s="8" t="s">
        <v>168</v>
      </c>
      <c r="BB19" s="8" t="s">
        <v>168</v>
      </c>
      <c r="BC19" s="8" t="s">
        <v>168</v>
      </c>
      <c r="BD19" s="8" t="s">
        <v>168</v>
      </c>
      <c r="BE19" s="8" t="s">
        <v>168</v>
      </c>
      <c r="BF19" s="7"/>
      <c r="BG19" s="7"/>
      <c r="BH19" s="8" t="s">
        <v>168</v>
      </c>
      <c r="BI19" s="8" t="s">
        <v>168</v>
      </c>
      <c r="BJ19" s="8" t="s">
        <v>168</v>
      </c>
      <c r="BK19" s="8" t="s">
        <v>168</v>
      </c>
      <c r="BL19" s="8" t="s">
        <v>168</v>
      </c>
      <c r="BM19" s="7"/>
      <c r="BN19" s="7"/>
      <c r="BO19" s="8" t="s">
        <v>143</v>
      </c>
      <c r="BP19" s="8" t="s">
        <v>143</v>
      </c>
      <c r="BQ19" s="8" t="s">
        <v>143</v>
      </c>
      <c r="BR19" s="8" t="s">
        <v>143</v>
      </c>
      <c r="BS19" s="8" t="s">
        <v>143</v>
      </c>
      <c r="BT19" s="7"/>
      <c r="BU19" s="7"/>
      <c r="BV19" s="7" t="s">
        <v>142</v>
      </c>
      <c r="BW19" s="8" t="s">
        <v>143</v>
      </c>
      <c r="BX19" s="8" t="s">
        <v>143</v>
      </c>
      <c r="BY19" s="8" t="s">
        <v>143</v>
      </c>
      <c r="BZ19" s="8" t="s">
        <v>143</v>
      </c>
      <c r="CA19" s="7"/>
      <c r="CB19" s="7"/>
      <c r="CC19" s="8" t="s">
        <v>143</v>
      </c>
      <c r="CD19" s="8" t="s">
        <v>143</v>
      </c>
      <c r="CE19" s="8" t="s">
        <v>143</v>
      </c>
      <c r="CF19" s="8" t="s">
        <v>143</v>
      </c>
      <c r="CG19" s="8" t="s">
        <v>143</v>
      </c>
      <c r="CH19" s="3"/>
      <c r="CI19" s="3"/>
      <c r="CJ19" s="2" t="s">
        <v>143</v>
      </c>
      <c r="CK19" s="2" t="s">
        <v>143</v>
      </c>
      <c r="CL19" s="2" t="s">
        <v>143</v>
      </c>
      <c r="CM19" s="2" t="s">
        <v>143</v>
      </c>
      <c r="CN19" s="2" t="s">
        <v>143</v>
      </c>
      <c r="CO19" s="3"/>
      <c r="CP19" s="3"/>
      <c r="CQ19" s="3"/>
      <c r="CR19" s="2" t="s">
        <v>143</v>
      </c>
      <c r="CS19" s="2" t="s">
        <v>143</v>
      </c>
      <c r="CT19" s="2" t="s">
        <v>143</v>
      </c>
      <c r="CU19" s="2" t="s">
        <v>143</v>
      </c>
      <c r="CV19" s="3"/>
      <c r="CW19" s="3"/>
      <c r="CX19" s="2" t="s">
        <v>143</v>
      </c>
      <c r="CY19" s="2" t="s">
        <v>143</v>
      </c>
      <c r="CZ19" s="2" t="s">
        <v>143</v>
      </c>
      <c r="DA19" s="2" t="s">
        <v>143</v>
      </c>
      <c r="DB19" s="2" t="s">
        <v>143</v>
      </c>
      <c r="DC19" s="3"/>
      <c r="DD19" s="3"/>
      <c r="DE19" s="2" t="s">
        <v>143</v>
      </c>
      <c r="DF19" s="2" t="s">
        <v>143</v>
      </c>
      <c r="DG19" s="2" t="s">
        <v>143</v>
      </c>
      <c r="DH19" s="2" t="s">
        <v>143</v>
      </c>
      <c r="DI19" s="2" t="s">
        <v>143</v>
      </c>
      <c r="DJ19" s="24"/>
      <c r="DK19" s="24"/>
      <c r="DL19" s="2" t="s">
        <v>143</v>
      </c>
      <c r="DM19" s="2" t="s">
        <v>143</v>
      </c>
      <c r="DN19" s="2" t="s">
        <v>143</v>
      </c>
      <c r="DO19" s="2" t="s">
        <v>143</v>
      </c>
      <c r="DP19" s="2" t="s">
        <v>143</v>
      </c>
      <c r="DQ19" s="24"/>
      <c r="DR19" s="24"/>
      <c r="DS19" s="2" t="s">
        <v>143</v>
      </c>
      <c r="DT19" s="2" t="s">
        <v>143</v>
      </c>
      <c r="DU19" s="2" t="s">
        <v>143</v>
      </c>
      <c r="DV19" s="2" t="s">
        <v>143</v>
      </c>
      <c r="DW19" s="2" t="s">
        <v>143</v>
      </c>
      <c r="DX19" s="24"/>
      <c r="DY19" s="24"/>
      <c r="DZ19" s="11" t="s">
        <v>141</v>
      </c>
      <c r="EA19" s="11" t="s">
        <v>141</v>
      </c>
      <c r="EB19" s="11" t="s">
        <v>141</v>
      </c>
      <c r="EC19" s="11" t="s">
        <v>141</v>
      </c>
      <c r="ED19" s="11" t="s">
        <v>141</v>
      </c>
      <c r="EE19" s="24"/>
      <c r="EF19" s="24"/>
      <c r="EG19" s="2" t="s">
        <v>143</v>
      </c>
      <c r="EH19" s="2" t="s">
        <v>143</v>
      </c>
      <c r="EI19" s="2" t="s">
        <v>143</v>
      </c>
      <c r="EJ19" s="2" t="s">
        <v>143</v>
      </c>
      <c r="EK19" s="2" t="s">
        <v>143</v>
      </c>
      <c r="EL19" s="24"/>
      <c r="EM19" s="24"/>
      <c r="EN19" s="2" t="s">
        <v>143</v>
      </c>
      <c r="EO19" s="2" t="s">
        <v>143</v>
      </c>
      <c r="EP19" s="2" t="s">
        <v>143</v>
      </c>
      <c r="EQ19" s="2" t="s">
        <v>143</v>
      </c>
      <c r="ER19" s="2" t="s">
        <v>143</v>
      </c>
      <c r="ES19" s="24"/>
      <c r="ET19" s="24"/>
      <c r="EU19" s="2" t="s">
        <v>143</v>
      </c>
      <c r="EV19" s="2" t="s">
        <v>143</v>
      </c>
      <c r="EW19" s="2" t="s">
        <v>143</v>
      </c>
      <c r="EX19" s="2" t="s">
        <v>143</v>
      </c>
      <c r="EY19" s="2" t="s">
        <v>143</v>
      </c>
      <c r="EZ19" s="24"/>
      <c r="FA19" s="24"/>
      <c r="FB19" s="2" t="s">
        <v>143</v>
      </c>
      <c r="FC19" s="2" t="s">
        <v>143</v>
      </c>
      <c r="FD19" s="2" t="s">
        <v>143</v>
      </c>
      <c r="FE19" s="2" t="s">
        <v>143</v>
      </c>
      <c r="FF19" s="2" t="s">
        <v>143</v>
      </c>
      <c r="FG19" s="24"/>
      <c r="FH19" s="24"/>
      <c r="FI19" s="2" t="s">
        <v>143</v>
      </c>
      <c r="FJ19" s="2" t="s">
        <v>143</v>
      </c>
      <c r="FK19" s="2" t="s">
        <v>143</v>
      </c>
      <c r="FL19" s="2" t="s">
        <v>143</v>
      </c>
      <c r="FM19" s="2" t="s">
        <v>143</v>
      </c>
      <c r="FN19" s="24"/>
      <c r="FO19" s="24"/>
      <c r="FP19" s="2" t="s">
        <v>143</v>
      </c>
      <c r="FQ19" s="2" t="s">
        <v>143</v>
      </c>
      <c r="FR19" s="2" t="s">
        <v>143</v>
      </c>
      <c r="FS19" s="2" t="s">
        <v>143</v>
      </c>
      <c r="FT19" s="2" t="s">
        <v>143</v>
      </c>
      <c r="FU19" s="24"/>
      <c r="FV19" s="24"/>
      <c r="FW19" s="2" t="s">
        <v>143</v>
      </c>
      <c r="FX19" s="2" t="s">
        <v>143</v>
      </c>
      <c r="FY19" s="2" t="s">
        <v>143</v>
      </c>
      <c r="FZ19" s="2" t="s">
        <v>143</v>
      </c>
      <c r="GA19" s="2" t="s">
        <v>143</v>
      </c>
      <c r="GB19" s="24"/>
      <c r="GC19" s="24"/>
      <c r="GD19" s="24"/>
      <c r="GE19" s="2" t="s">
        <v>143</v>
      </c>
      <c r="GF19" s="2" t="s">
        <v>143</v>
      </c>
      <c r="GG19" s="2" t="s">
        <v>143</v>
      </c>
      <c r="GH19" s="2" t="s">
        <v>143</v>
      </c>
      <c r="GI19" s="24"/>
      <c r="GJ19" s="24"/>
      <c r="GK19" s="2" t="s">
        <v>143</v>
      </c>
      <c r="GL19" s="2" t="s">
        <v>143</v>
      </c>
      <c r="GM19" s="2" t="s">
        <v>143</v>
      </c>
      <c r="GN19" s="2" t="s">
        <v>143</v>
      </c>
      <c r="GO19" s="2" t="s">
        <v>143</v>
      </c>
      <c r="GP19" s="24"/>
      <c r="GQ19" s="24"/>
      <c r="GR19" s="2" t="s">
        <v>143</v>
      </c>
      <c r="GS19" s="2" t="s">
        <v>143</v>
      </c>
      <c r="GT19" s="2" t="s">
        <v>143</v>
      </c>
      <c r="GU19" s="2" t="s">
        <v>143</v>
      </c>
      <c r="GV19" s="2" t="s">
        <v>143</v>
      </c>
      <c r="GW19" s="24"/>
      <c r="GX19" s="24"/>
      <c r="GY19" s="2" t="s">
        <v>143</v>
      </c>
      <c r="GZ19" s="2" t="s">
        <v>143</v>
      </c>
      <c r="HA19" s="2" t="s">
        <v>143</v>
      </c>
      <c r="HB19" s="2" t="s">
        <v>143</v>
      </c>
      <c r="HC19" s="12" t="s">
        <v>140</v>
      </c>
      <c r="HD19" s="24"/>
      <c r="HE19" s="24"/>
      <c r="HF19" s="2" t="s">
        <v>143</v>
      </c>
      <c r="HG19" s="2" t="s">
        <v>143</v>
      </c>
      <c r="HH19" s="2" t="s">
        <v>143</v>
      </c>
      <c r="HI19" s="2" t="s">
        <v>143</v>
      </c>
      <c r="HJ19" s="2" t="s">
        <v>143</v>
      </c>
      <c r="HK19" s="24"/>
      <c r="HL19" s="24"/>
      <c r="HM19" s="11" t="s">
        <v>141</v>
      </c>
      <c r="HN19" s="2" t="s">
        <v>143</v>
      </c>
      <c r="HO19" s="2" t="s">
        <v>143</v>
      </c>
      <c r="HP19" s="2" t="s">
        <v>143</v>
      </c>
      <c r="HQ19" s="2" t="s">
        <v>143</v>
      </c>
      <c r="HR19" s="24"/>
      <c r="HS19" s="24"/>
      <c r="HT19" s="2" t="s">
        <v>143</v>
      </c>
      <c r="HU19" s="2" t="s">
        <v>143</v>
      </c>
      <c r="HV19" s="2" t="s">
        <v>143</v>
      </c>
      <c r="HW19" s="2" t="s">
        <v>143</v>
      </c>
      <c r="HX19" s="2" t="s">
        <v>143</v>
      </c>
      <c r="HY19" s="24"/>
      <c r="HZ19" s="24"/>
      <c r="IA19" s="2" t="s">
        <v>143</v>
      </c>
      <c r="IB19" s="2" t="s">
        <v>143</v>
      </c>
      <c r="IC19" s="2" t="s">
        <v>143</v>
      </c>
      <c r="ID19" s="2" t="s">
        <v>143</v>
      </c>
      <c r="IE19" s="2" t="s">
        <v>143</v>
      </c>
      <c r="IF19" s="24"/>
      <c r="IG19" s="24"/>
      <c r="IH19" s="2" t="s">
        <v>143</v>
      </c>
      <c r="II19" s="2" t="s">
        <v>143</v>
      </c>
      <c r="IJ19" s="2" t="s">
        <v>143</v>
      </c>
      <c r="IK19" s="2" t="s">
        <v>143</v>
      </c>
      <c r="IL19" s="2" t="s">
        <v>143</v>
      </c>
      <c r="IM19" s="24"/>
      <c r="IN19" s="24"/>
      <c r="IO19" s="2" t="s">
        <v>143</v>
      </c>
      <c r="IP19" s="2" t="s">
        <v>143</v>
      </c>
      <c r="IQ19" s="2" t="s">
        <v>143</v>
      </c>
      <c r="IR19" s="2" t="s">
        <v>143</v>
      </c>
      <c r="IS19" s="2" t="s">
        <v>143</v>
      </c>
      <c r="IT19" s="24"/>
      <c r="IU19" s="24"/>
      <c r="IV19" s="2" t="s">
        <v>143</v>
      </c>
      <c r="IW19" s="2" t="s">
        <v>143</v>
      </c>
      <c r="IX19" s="2" t="s">
        <v>143</v>
      </c>
      <c r="IY19" s="2" t="s">
        <v>143</v>
      </c>
      <c r="IZ19" s="2" t="s">
        <v>143</v>
      </c>
      <c r="JA19" s="24"/>
      <c r="JB19" s="24"/>
      <c r="JC19" s="2" t="s">
        <v>143</v>
      </c>
      <c r="JD19" s="2" t="s">
        <v>143</v>
      </c>
      <c r="JE19" s="2" t="s">
        <v>143</v>
      </c>
      <c r="JF19" s="2" t="s">
        <v>143</v>
      </c>
      <c r="JG19" s="2" t="s">
        <v>143</v>
      </c>
      <c r="JH19" s="24"/>
      <c r="JI19" s="24"/>
      <c r="JJ19" s="2" t="s">
        <v>143</v>
      </c>
      <c r="JK19" s="2" t="s">
        <v>143</v>
      </c>
      <c r="JL19" s="2" t="s">
        <v>143</v>
      </c>
      <c r="JM19" s="2" t="s">
        <v>143</v>
      </c>
      <c r="JN19" s="2" t="s">
        <v>143</v>
      </c>
      <c r="JO19" s="24"/>
      <c r="JP19" s="24"/>
      <c r="JQ19" s="2" t="s">
        <v>143</v>
      </c>
      <c r="JR19" s="2" t="s">
        <v>143</v>
      </c>
      <c r="JS19" s="2" t="s">
        <v>143</v>
      </c>
      <c r="JT19" s="2" t="s">
        <v>143</v>
      </c>
      <c r="JU19" s="2" t="s">
        <v>143</v>
      </c>
      <c r="JV19" s="24"/>
      <c r="JW19" s="24"/>
      <c r="JX19" s="2" t="s">
        <v>143</v>
      </c>
      <c r="JY19" s="2" t="s">
        <v>143</v>
      </c>
      <c r="JZ19" s="2" t="s">
        <v>143</v>
      </c>
      <c r="KA19" s="2" t="s">
        <v>143</v>
      </c>
      <c r="KB19" s="2" t="s">
        <v>143</v>
      </c>
      <c r="KC19" s="24"/>
      <c r="KD19" s="24"/>
      <c r="KE19" s="2" t="s">
        <v>143</v>
      </c>
      <c r="KF19" s="2" t="s">
        <v>143</v>
      </c>
      <c r="KG19" s="2" t="s">
        <v>143</v>
      </c>
      <c r="KH19" s="2" t="s">
        <v>143</v>
      </c>
      <c r="KI19" s="2" t="s">
        <v>143</v>
      </c>
      <c r="KJ19" s="24"/>
      <c r="KK19" s="24"/>
      <c r="KL19" s="2" t="s">
        <v>143</v>
      </c>
      <c r="KM19" s="2" t="s">
        <v>143</v>
      </c>
      <c r="KN19" s="2" t="s">
        <v>143</v>
      </c>
      <c r="KO19" s="2" t="s">
        <v>143</v>
      </c>
      <c r="KP19" s="2" t="s">
        <v>143</v>
      </c>
      <c r="KQ19" s="24"/>
      <c r="KR19" s="24"/>
      <c r="KS19" s="11" t="s">
        <v>141</v>
      </c>
      <c r="KT19" s="11" t="s">
        <v>141</v>
      </c>
      <c r="KU19" s="24"/>
      <c r="KV19" s="24"/>
      <c r="KW19" s="2" t="s">
        <v>143</v>
      </c>
      <c r="KX19" s="24"/>
      <c r="KY19" s="24"/>
      <c r="KZ19" s="11" t="s">
        <v>141</v>
      </c>
      <c r="LA19" s="11" t="s">
        <v>141</v>
      </c>
      <c r="LB19" s="33"/>
      <c r="LC19" s="33"/>
      <c r="LD19" s="33"/>
      <c r="LE19" s="33"/>
      <c r="LF19" s="33"/>
    </row>
    <row r="20" spans="1:466">
      <c r="A20" s="49" t="s">
        <v>192</v>
      </c>
      <c r="B20" s="49" t="s">
        <v>38</v>
      </c>
      <c r="C20" s="49" t="s">
        <v>38</v>
      </c>
      <c r="D20" s="8"/>
      <c r="E20" s="8"/>
      <c r="F20" s="8"/>
      <c r="G20" s="8"/>
      <c r="H20" s="8"/>
      <c r="I20" s="7"/>
      <c r="J20" s="7"/>
      <c r="K20" s="8"/>
      <c r="L20" s="8"/>
      <c r="M20" s="8"/>
      <c r="N20" s="8"/>
      <c r="O20" s="8"/>
      <c r="P20" s="7"/>
      <c r="Q20" s="7"/>
      <c r="R20" s="8"/>
      <c r="S20" s="8"/>
      <c r="T20" s="8"/>
      <c r="U20" s="8"/>
      <c r="V20" s="8"/>
      <c r="W20" s="7"/>
      <c r="X20" s="7"/>
      <c r="Y20" s="8"/>
      <c r="Z20" s="8"/>
      <c r="AA20" s="8"/>
      <c r="AB20" s="8"/>
      <c r="AC20" s="8"/>
      <c r="AD20" s="7"/>
      <c r="AE20" s="7"/>
      <c r="AF20" s="8"/>
      <c r="AG20" s="8"/>
      <c r="AH20" s="8"/>
      <c r="AI20" s="8"/>
      <c r="AJ20" s="7"/>
      <c r="AK20" s="7"/>
      <c r="AL20" s="7"/>
      <c r="AM20" s="7"/>
      <c r="AN20" s="11"/>
      <c r="AO20" s="11"/>
      <c r="AP20" s="11"/>
      <c r="AQ20" s="11"/>
      <c r="AR20" s="7"/>
      <c r="AS20" s="7"/>
      <c r="AT20" s="9" t="s">
        <v>18</v>
      </c>
      <c r="AU20" s="9" t="s">
        <v>18</v>
      </c>
      <c r="AV20" s="9" t="s">
        <v>18</v>
      </c>
      <c r="AW20" s="9" t="s">
        <v>18</v>
      </c>
      <c r="AX20" s="9" t="s">
        <v>18</v>
      </c>
      <c r="AY20" s="7"/>
      <c r="AZ20" s="7"/>
      <c r="BA20" s="9" t="s">
        <v>18</v>
      </c>
      <c r="BB20" s="9" t="s">
        <v>18</v>
      </c>
      <c r="BC20" s="9" t="s">
        <v>18</v>
      </c>
      <c r="BD20" s="9" t="s">
        <v>18</v>
      </c>
      <c r="BE20" s="9" t="s">
        <v>18</v>
      </c>
      <c r="BF20" s="7"/>
      <c r="BG20" s="7"/>
      <c r="BH20" s="4" t="s">
        <v>140</v>
      </c>
      <c r="BI20" s="4" t="s">
        <v>140</v>
      </c>
      <c r="BJ20" s="4" t="s">
        <v>140</v>
      </c>
      <c r="BK20" s="4" t="s">
        <v>140</v>
      </c>
      <c r="BL20" s="4" t="s">
        <v>140</v>
      </c>
      <c r="BM20" s="7"/>
      <c r="BN20" s="7"/>
      <c r="BO20" s="8" t="s">
        <v>143</v>
      </c>
      <c r="BP20" s="8" t="s">
        <v>143</v>
      </c>
      <c r="BQ20" s="8" t="s">
        <v>143</v>
      </c>
      <c r="BR20" s="8" t="s">
        <v>143</v>
      </c>
      <c r="BS20" s="8" t="s">
        <v>143</v>
      </c>
      <c r="BT20" s="7"/>
      <c r="BU20" s="7"/>
      <c r="BV20" s="7"/>
      <c r="BW20" s="8" t="s">
        <v>143</v>
      </c>
      <c r="BX20" s="8" t="s">
        <v>143</v>
      </c>
      <c r="BY20" s="8" t="s">
        <v>143</v>
      </c>
      <c r="BZ20" s="8" t="s">
        <v>143</v>
      </c>
      <c r="CA20" s="7"/>
      <c r="CB20" s="7"/>
      <c r="CC20" s="8" t="s">
        <v>143</v>
      </c>
      <c r="CD20" s="8" t="s">
        <v>143</v>
      </c>
      <c r="CE20" s="8" t="s">
        <v>143</v>
      </c>
      <c r="CF20" s="8" t="s">
        <v>143</v>
      </c>
      <c r="CG20" s="8" t="s">
        <v>143</v>
      </c>
      <c r="CH20" s="3"/>
      <c r="CI20" s="3"/>
      <c r="CJ20" s="2" t="s">
        <v>143</v>
      </c>
      <c r="CK20" s="2" t="s">
        <v>143</v>
      </c>
      <c r="CL20" s="2" t="s">
        <v>143</v>
      </c>
      <c r="CM20" s="2" t="s">
        <v>143</v>
      </c>
      <c r="CN20" s="2" t="s">
        <v>143</v>
      </c>
      <c r="CO20" s="3"/>
      <c r="CP20" s="3"/>
      <c r="CQ20" s="3"/>
      <c r="CR20" s="2" t="s">
        <v>143</v>
      </c>
      <c r="CS20" s="2" t="s">
        <v>143</v>
      </c>
      <c r="CT20" s="2" t="s">
        <v>143</v>
      </c>
      <c r="CU20" s="2" t="s">
        <v>143</v>
      </c>
      <c r="CV20" s="3"/>
      <c r="CW20" s="3"/>
      <c r="CX20" s="2" t="s">
        <v>143</v>
      </c>
      <c r="CY20" s="2" t="s">
        <v>143</v>
      </c>
      <c r="CZ20" s="2" t="s">
        <v>143</v>
      </c>
      <c r="DA20" s="2" t="s">
        <v>143</v>
      </c>
      <c r="DB20" s="2" t="s">
        <v>143</v>
      </c>
      <c r="DC20" s="3"/>
      <c r="DD20" s="3"/>
      <c r="DE20" s="2" t="s">
        <v>143</v>
      </c>
      <c r="DF20" s="2" t="s">
        <v>143</v>
      </c>
      <c r="DG20" s="2" t="s">
        <v>143</v>
      </c>
      <c r="DH20" s="2" t="s">
        <v>143</v>
      </c>
      <c r="DI20" s="2" t="s">
        <v>143</v>
      </c>
      <c r="DJ20" s="24"/>
      <c r="DK20" s="24"/>
      <c r="DL20" s="2" t="s">
        <v>143</v>
      </c>
      <c r="DM20" s="2" t="s">
        <v>143</v>
      </c>
      <c r="DN20" s="2" t="s">
        <v>143</v>
      </c>
      <c r="DO20" s="2" t="s">
        <v>143</v>
      </c>
      <c r="DP20" s="2" t="s">
        <v>143</v>
      </c>
      <c r="DQ20" s="24"/>
      <c r="DR20" s="24"/>
      <c r="DS20" s="2" t="s">
        <v>143</v>
      </c>
      <c r="DT20" s="2" t="s">
        <v>143</v>
      </c>
      <c r="DU20" s="2" t="s">
        <v>143</v>
      </c>
      <c r="DV20" s="2" t="s">
        <v>143</v>
      </c>
      <c r="DW20" s="83" t="s">
        <v>166</v>
      </c>
      <c r="DX20" s="24"/>
      <c r="DY20" s="24"/>
      <c r="DZ20" s="2" t="s">
        <v>143</v>
      </c>
      <c r="EA20" s="2" t="s">
        <v>143</v>
      </c>
      <c r="EB20" s="2" t="s">
        <v>143</v>
      </c>
      <c r="EC20" s="2" t="s">
        <v>143</v>
      </c>
      <c r="ED20" s="2" t="s">
        <v>143</v>
      </c>
      <c r="EE20" s="24"/>
      <c r="EF20" s="24"/>
      <c r="EG20" s="2" t="s">
        <v>143</v>
      </c>
      <c r="EH20" s="2" t="s">
        <v>143</v>
      </c>
      <c r="EI20" s="2" t="s">
        <v>143</v>
      </c>
      <c r="EJ20" s="2" t="s">
        <v>143</v>
      </c>
      <c r="EK20" s="2" t="s">
        <v>143</v>
      </c>
      <c r="EL20" s="24"/>
      <c r="EM20" s="24"/>
      <c r="EN20" s="2" t="s">
        <v>143</v>
      </c>
      <c r="EO20" s="2" t="s">
        <v>143</v>
      </c>
      <c r="EP20" s="2" t="s">
        <v>143</v>
      </c>
      <c r="EQ20" s="2" t="s">
        <v>143</v>
      </c>
      <c r="ER20" s="2" t="s">
        <v>143</v>
      </c>
      <c r="ES20" s="24"/>
      <c r="ET20" s="24"/>
      <c r="EU20" s="2" t="s">
        <v>143</v>
      </c>
      <c r="EV20" s="2" t="s">
        <v>143</v>
      </c>
      <c r="EW20" s="2" t="s">
        <v>143</v>
      </c>
      <c r="EX20" s="2" t="s">
        <v>143</v>
      </c>
      <c r="EY20" s="2" t="s">
        <v>143</v>
      </c>
      <c r="EZ20" s="24"/>
      <c r="FA20" s="24"/>
      <c r="FB20" s="2" t="s">
        <v>143</v>
      </c>
      <c r="FC20" s="2" t="s">
        <v>143</v>
      </c>
      <c r="FD20" s="2" t="s">
        <v>143</v>
      </c>
      <c r="FE20" s="2" t="s">
        <v>143</v>
      </c>
      <c r="FF20" s="2" t="s">
        <v>143</v>
      </c>
      <c r="FG20" s="24"/>
      <c r="FH20" s="24"/>
      <c r="FI20" s="2" t="s">
        <v>143</v>
      </c>
      <c r="FJ20" s="2" t="s">
        <v>143</v>
      </c>
      <c r="FK20" s="2" t="s">
        <v>143</v>
      </c>
      <c r="FL20" s="2" t="s">
        <v>143</v>
      </c>
      <c r="FM20" s="2" t="s">
        <v>143</v>
      </c>
      <c r="FN20" s="24"/>
      <c r="FO20" s="24"/>
      <c r="FP20" s="2" t="s">
        <v>143</v>
      </c>
      <c r="FQ20" s="2" t="s">
        <v>143</v>
      </c>
      <c r="FR20" s="2" t="s">
        <v>143</v>
      </c>
      <c r="FS20" s="2" t="s">
        <v>143</v>
      </c>
      <c r="FT20" s="2" t="s">
        <v>143</v>
      </c>
      <c r="FU20" s="24"/>
      <c r="FV20" s="24"/>
      <c r="FW20" s="2" t="s">
        <v>143</v>
      </c>
      <c r="FX20" s="2" t="s">
        <v>143</v>
      </c>
      <c r="FY20" s="2" t="s">
        <v>143</v>
      </c>
      <c r="FZ20" s="2" t="s">
        <v>143</v>
      </c>
      <c r="GA20" s="2" t="s">
        <v>143</v>
      </c>
      <c r="GB20" s="24"/>
      <c r="GC20" s="24"/>
      <c r="GD20" s="24"/>
      <c r="GE20" s="2" t="s">
        <v>143</v>
      </c>
      <c r="GF20" s="2" t="s">
        <v>143</v>
      </c>
      <c r="GG20" s="2" t="s">
        <v>143</v>
      </c>
      <c r="GH20" s="2" t="s">
        <v>143</v>
      </c>
      <c r="GI20" s="24"/>
      <c r="GJ20" s="24"/>
      <c r="GK20" s="2" t="s">
        <v>143</v>
      </c>
      <c r="GL20" s="2" t="s">
        <v>143</v>
      </c>
      <c r="GM20" s="2" t="s">
        <v>143</v>
      </c>
      <c r="GN20" s="2" t="s">
        <v>143</v>
      </c>
      <c r="GO20" s="2" t="s">
        <v>143</v>
      </c>
      <c r="GP20" s="24"/>
      <c r="GQ20" s="24"/>
      <c r="GR20" s="2" t="s">
        <v>143</v>
      </c>
      <c r="GS20" s="2" t="s">
        <v>143</v>
      </c>
      <c r="GT20" s="2" t="s">
        <v>143</v>
      </c>
      <c r="GU20" s="2" t="s">
        <v>143</v>
      </c>
      <c r="GV20" s="2" t="s">
        <v>143</v>
      </c>
      <c r="GW20" s="24"/>
      <c r="GX20" s="24"/>
      <c r="GY20" s="2" t="s">
        <v>143</v>
      </c>
      <c r="GZ20" s="2" t="s">
        <v>143</v>
      </c>
      <c r="HA20" s="2" t="s">
        <v>143</v>
      </c>
      <c r="HB20" s="2" t="s">
        <v>143</v>
      </c>
      <c r="HC20" s="12" t="s">
        <v>140</v>
      </c>
      <c r="HD20" s="24"/>
      <c r="HE20" s="24"/>
      <c r="HF20" s="2" t="s">
        <v>143</v>
      </c>
      <c r="HG20" s="2" t="s">
        <v>143</v>
      </c>
      <c r="HH20" s="2" t="s">
        <v>143</v>
      </c>
      <c r="HI20" s="2" t="s">
        <v>143</v>
      </c>
      <c r="HJ20" s="2" t="s">
        <v>143</v>
      </c>
      <c r="HK20" s="24"/>
      <c r="HL20" s="24"/>
      <c r="HM20" s="2" t="s">
        <v>143</v>
      </c>
      <c r="HN20" s="2" t="s">
        <v>143</v>
      </c>
      <c r="HO20" s="2" t="s">
        <v>143</v>
      </c>
      <c r="HP20" s="2" t="s">
        <v>143</v>
      </c>
      <c r="HQ20" s="2" t="s">
        <v>143</v>
      </c>
      <c r="HR20" s="24"/>
      <c r="HS20" s="24"/>
      <c r="HT20" s="2" t="s">
        <v>143</v>
      </c>
      <c r="HU20" s="2" t="s">
        <v>143</v>
      </c>
      <c r="HV20" s="2" t="s">
        <v>143</v>
      </c>
      <c r="HW20" s="2" t="s">
        <v>143</v>
      </c>
      <c r="HX20" s="2" t="s">
        <v>143</v>
      </c>
      <c r="HY20" s="24"/>
      <c r="HZ20" s="24"/>
      <c r="IA20" s="2" t="s">
        <v>143</v>
      </c>
      <c r="IB20" s="2" t="s">
        <v>143</v>
      </c>
      <c r="IC20" s="2" t="s">
        <v>143</v>
      </c>
      <c r="ID20" s="2" t="s">
        <v>143</v>
      </c>
      <c r="IE20" s="2" t="s">
        <v>143</v>
      </c>
      <c r="IF20" s="24"/>
      <c r="IG20" s="24"/>
      <c r="IH20" s="2" t="s">
        <v>143</v>
      </c>
      <c r="II20" s="2" t="s">
        <v>143</v>
      </c>
      <c r="IJ20" s="2" t="s">
        <v>143</v>
      </c>
      <c r="IK20" s="2" t="s">
        <v>143</v>
      </c>
      <c r="IL20" s="2" t="s">
        <v>143</v>
      </c>
      <c r="IM20" s="24"/>
      <c r="IN20" s="24"/>
      <c r="IO20" s="2" t="s">
        <v>143</v>
      </c>
      <c r="IP20" s="2" t="s">
        <v>143</v>
      </c>
      <c r="IQ20" s="2" t="s">
        <v>143</v>
      </c>
      <c r="IR20" s="2" t="s">
        <v>143</v>
      </c>
      <c r="IS20" s="2" t="s">
        <v>143</v>
      </c>
      <c r="IT20" s="24"/>
      <c r="IU20" s="24"/>
      <c r="IV20" s="2" t="s">
        <v>143</v>
      </c>
      <c r="IW20" s="2" t="s">
        <v>143</v>
      </c>
      <c r="IX20" s="2" t="s">
        <v>143</v>
      </c>
      <c r="IY20" s="2" t="s">
        <v>143</v>
      </c>
      <c r="IZ20" s="2" t="s">
        <v>143</v>
      </c>
      <c r="JA20" s="24"/>
      <c r="JB20" s="24"/>
      <c r="JC20" s="11" t="s">
        <v>141</v>
      </c>
      <c r="JD20" s="2" t="s">
        <v>143</v>
      </c>
      <c r="JE20" s="2" t="s">
        <v>143</v>
      </c>
      <c r="JF20" s="2" t="s">
        <v>143</v>
      </c>
      <c r="JG20" s="2" t="s">
        <v>143</v>
      </c>
      <c r="JH20" s="24"/>
      <c r="JI20" s="24"/>
      <c r="JJ20" s="2" t="s">
        <v>143</v>
      </c>
      <c r="JK20" s="2" t="s">
        <v>143</v>
      </c>
      <c r="JL20" s="2" t="s">
        <v>143</v>
      </c>
      <c r="JM20" s="2" t="s">
        <v>143</v>
      </c>
      <c r="JN20" s="2" t="s">
        <v>143</v>
      </c>
      <c r="JO20" s="24"/>
      <c r="JP20" s="24"/>
      <c r="JQ20" s="2" t="s">
        <v>143</v>
      </c>
      <c r="JR20" s="2" t="s">
        <v>143</v>
      </c>
      <c r="JS20" s="2" t="s">
        <v>143</v>
      </c>
      <c r="JT20" s="2" t="s">
        <v>143</v>
      </c>
      <c r="JU20" s="2" t="s">
        <v>143</v>
      </c>
      <c r="JV20" s="24"/>
      <c r="JW20" s="24"/>
      <c r="JX20" s="2" t="s">
        <v>143</v>
      </c>
      <c r="JY20" s="2" t="s">
        <v>143</v>
      </c>
      <c r="JZ20" s="2" t="s">
        <v>143</v>
      </c>
      <c r="KA20" s="2" t="s">
        <v>143</v>
      </c>
      <c r="KB20" s="2" t="s">
        <v>143</v>
      </c>
      <c r="KC20" s="24"/>
      <c r="KD20" s="24"/>
      <c r="KE20" s="2" t="s">
        <v>143</v>
      </c>
      <c r="KF20" s="2" t="s">
        <v>143</v>
      </c>
      <c r="KG20" s="2" t="s">
        <v>143</v>
      </c>
      <c r="KH20" s="2" t="s">
        <v>143</v>
      </c>
      <c r="KI20" s="2" t="s">
        <v>143</v>
      </c>
      <c r="KJ20" s="24"/>
      <c r="KK20" s="24"/>
      <c r="KL20" s="2" t="s">
        <v>143</v>
      </c>
      <c r="KM20" s="2" t="s">
        <v>143</v>
      </c>
      <c r="KN20" s="2" t="s">
        <v>143</v>
      </c>
      <c r="KO20" s="2" t="s">
        <v>143</v>
      </c>
      <c r="KP20" s="2" t="s">
        <v>143</v>
      </c>
      <c r="KQ20" s="24"/>
      <c r="KR20" s="24"/>
      <c r="KS20" s="11" t="s">
        <v>141</v>
      </c>
      <c r="KT20" s="11" t="s">
        <v>141</v>
      </c>
      <c r="KU20" s="24"/>
      <c r="KV20" s="24"/>
      <c r="KW20" s="2" t="s">
        <v>143</v>
      </c>
      <c r="KX20" s="24"/>
      <c r="KY20" s="24"/>
      <c r="KZ20" s="2" t="s">
        <v>143</v>
      </c>
      <c r="LA20" s="2" t="s">
        <v>143</v>
      </c>
      <c r="LB20" s="33"/>
      <c r="LC20" s="33"/>
      <c r="LD20" s="33"/>
      <c r="LE20" s="33"/>
      <c r="LF20" s="33"/>
    </row>
    <row r="21" spans="1:466">
      <c r="A21" s="49" t="s">
        <v>193</v>
      </c>
      <c r="B21" s="49" t="s">
        <v>38</v>
      </c>
      <c r="C21" s="49"/>
      <c r="D21" s="8"/>
      <c r="E21" s="8"/>
      <c r="F21" s="8"/>
      <c r="G21" s="8"/>
      <c r="H21" s="8"/>
      <c r="I21" s="7"/>
      <c r="J21" s="7"/>
      <c r="K21" s="8"/>
      <c r="L21" s="8"/>
      <c r="M21" s="8"/>
      <c r="N21" s="8"/>
      <c r="O21" s="8"/>
      <c r="P21" s="7"/>
      <c r="Q21" s="7"/>
      <c r="R21" s="8"/>
      <c r="S21" s="8"/>
      <c r="T21" s="8"/>
      <c r="U21" s="8"/>
      <c r="V21" s="8"/>
      <c r="W21" s="7"/>
      <c r="X21" s="7"/>
      <c r="Y21" s="8"/>
      <c r="Z21" s="8"/>
      <c r="AA21" s="8"/>
      <c r="AB21" s="8"/>
      <c r="AC21" s="8"/>
      <c r="AD21" s="7"/>
      <c r="AE21" s="7"/>
      <c r="AF21" s="8"/>
      <c r="AG21" s="8"/>
      <c r="AH21" s="8"/>
      <c r="AI21" s="8"/>
      <c r="AJ21" s="7"/>
      <c r="AK21" s="7"/>
      <c r="AL21" s="7"/>
      <c r="AM21" s="7"/>
      <c r="AN21" s="11"/>
      <c r="AO21" s="11"/>
      <c r="AP21" s="11"/>
      <c r="AQ21" s="11"/>
      <c r="AR21" s="7"/>
      <c r="AS21" s="7"/>
      <c r="AT21" s="9"/>
      <c r="AU21" s="9"/>
      <c r="AV21" s="9"/>
      <c r="AW21" s="9"/>
      <c r="AX21" s="9"/>
      <c r="AY21" s="7"/>
      <c r="AZ21" s="7"/>
      <c r="BA21" s="9"/>
      <c r="BB21" s="9"/>
      <c r="BC21" s="9"/>
      <c r="BD21" s="9"/>
      <c r="BE21" s="9"/>
      <c r="BF21" s="7"/>
      <c r="BG21" s="7"/>
      <c r="BH21" s="4"/>
      <c r="BI21" s="4"/>
      <c r="BJ21" s="4"/>
      <c r="BK21" s="4"/>
      <c r="BL21" s="4"/>
      <c r="BM21" s="7"/>
      <c r="BN21" s="7"/>
      <c r="BO21" s="8"/>
      <c r="BP21" s="8"/>
      <c r="BQ21" s="8"/>
      <c r="BR21" s="8"/>
      <c r="BS21" s="8"/>
      <c r="BT21" s="7"/>
      <c r="BU21" s="7"/>
      <c r="BV21" s="7"/>
      <c r="BW21" s="8"/>
      <c r="BX21" s="8"/>
      <c r="BY21" s="8"/>
      <c r="BZ21" s="8"/>
      <c r="CA21" s="7"/>
      <c r="CB21" s="7"/>
      <c r="CC21" s="8"/>
      <c r="CD21" s="8"/>
      <c r="CE21" s="8"/>
      <c r="CF21" s="8"/>
      <c r="CG21" s="8"/>
      <c r="CH21" s="3"/>
      <c r="CI21" s="3"/>
      <c r="CJ21" s="2"/>
      <c r="CK21" s="2"/>
      <c r="CL21" s="2"/>
      <c r="CM21" s="2"/>
      <c r="CN21" s="2"/>
      <c r="CO21" s="3"/>
      <c r="CP21" s="3"/>
      <c r="CQ21" s="3"/>
      <c r="CR21" s="2"/>
      <c r="CS21" s="2"/>
      <c r="CT21" s="2"/>
      <c r="CU21" s="2"/>
      <c r="CV21" s="3"/>
      <c r="CW21" s="3"/>
      <c r="CX21" s="2"/>
      <c r="CY21" s="2"/>
      <c r="CZ21" s="2"/>
      <c r="DA21" s="2"/>
      <c r="DB21" s="2"/>
      <c r="DC21" s="3"/>
      <c r="DD21" s="3"/>
      <c r="DE21" s="2"/>
      <c r="DF21" s="2"/>
      <c r="DG21" s="2"/>
      <c r="DH21" s="2"/>
      <c r="DI21" s="2"/>
      <c r="DJ21" s="24"/>
      <c r="DK21" s="24"/>
      <c r="DL21" s="2"/>
      <c r="DM21" s="2"/>
      <c r="DN21" s="2"/>
      <c r="DO21" s="2"/>
      <c r="DP21" s="2"/>
      <c r="DQ21" s="24"/>
      <c r="DR21" s="24"/>
      <c r="DS21" s="2"/>
      <c r="DT21" s="2"/>
      <c r="DU21" s="2"/>
      <c r="DV21" s="2"/>
      <c r="DW21" s="83"/>
      <c r="DX21" s="24"/>
      <c r="DY21" s="24"/>
      <c r="DZ21" s="2"/>
      <c r="EA21" s="2"/>
      <c r="EB21" s="2"/>
      <c r="EC21" s="2"/>
      <c r="ED21" s="2"/>
      <c r="EE21" s="24"/>
      <c r="EF21" s="24"/>
      <c r="EG21" s="2"/>
      <c r="EH21" s="2"/>
      <c r="EI21" s="2"/>
      <c r="EJ21" s="2"/>
      <c r="EK21" s="2"/>
      <c r="EL21" s="24"/>
      <c r="EM21" s="24"/>
      <c r="EN21" s="2"/>
      <c r="EO21" s="2"/>
      <c r="EP21" s="2"/>
      <c r="EQ21" s="2"/>
      <c r="ER21" s="2"/>
      <c r="ES21" s="24"/>
      <c r="ET21" s="24"/>
      <c r="EU21" s="2"/>
      <c r="EV21" s="2"/>
      <c r="EW21" s="2"/>
      <c r="EX21" s="2"/>
      <c r="EY21" s="2"/>
      <c r="EZ21" s="24"/>
      <c r="FA21" s="24"/>
      <c r="FB21" s="2"/>
      <c r="FC21" s="2"/>
      <c r="FD21" s="2"/>
      <c r="FE21" s="2"/>
      <c r="FF21" s="2"/>
      <c r="FG21" s="24"/>
      <c r="FH21" s="24"/>
      <c r="FI21" s="2"/>
      <c r="FJ21" s="2"/>
      <c r="FK21" s="2"/>
      <c r="FL21" s="2"/>
      <c r="FM21" s="2"/>
      <c r="FN21" s="24"/>
      <c r="FO21" s="24"/>
      <c r="FP21" s="2"/>
      <c r="FQ21" s="2"/>
      <c r="FR21" s="2"/>
      <c r="FS21" s="2"/>
      <c r="FT21" s="2"/>
      <c r="FU21" s="24"/>
      <c r="FV21" s="24"/>
      <c r="FW21" s="2"/>
      <c r="FX21" s="2"/>
      <c r="FY21" s="2"/>
      <c r="FZ21" s="2"/>
      <c r="GA21" s="2"/>
      <c r="GB21" s="24"/>
      <c r="GC21" s="24"/>
      <c r="GD21" s="24"/>
      <c r="GE21" s="2"/>
      <c r="GF21" s="2"/>
      <c r="GG21" s="2"/>
      <c r="GH21" s="2"/>
      <c r="GI21" s="24"/>
      <c r="GJ21" s="24"/>
      <c r="GK21" s="2"/>
      <c r="GL21" s="2"/>
      <c r="GM21" s="2"/>
      <c r="GN21" s="2"/>
      <c r="GO21" s="2"/>
      <c r="GP21" s="24"/>
      <c r="GQ21" s="24"/>
      <c r="GR21" s="2"/>
      <c r="GS21" s="2"/>
      <c r="GT21" s="2"/>
      <c r="GU21" s="2"/>
      <c r="GV21" s="2"/>
      <c r="GW21" s="24"/>
      <c r="GX21" s="24"/>
      <c r="GY21" s="2"/>
      <c r="GZ21" s="2"/>
      <c r="HA21" s="2"/>
      <c r="HB21" s="2"/>
      <c r="HC21" s="12"/>
      <c r="HD21" s="24"/>
      <c r="HE21" s="24"/>
      <c r="HF21" s="2"/>
      <c r="HG21" s="2"/>
      <c r="HH21" s="2"/>
      <c r="HI21" s="2"/>
      <c r="HJ21" s="2"/>
      <c r="HK21" s="24"/>
      <c r="HL21" s="24"/>
      <c r="HM21" s="2"/>
      <c r="HN21" s="2"/>
      <c r="HO21" s="2"/>
      <c r="HP21" s="2"/>
      <c r="HQ21" s="2"/>
      <c r="HR21" s="24"/>
      <c r="HS21" s="24"/>
      <c r="HT21" s="2"/>
      <c r="HU21" s="2"/>
      <c r="HV21" s="2"/>
      <c r="HW21" s="2"/>
      <c r="HX21" s="2"/>
      <c r="HY21" s="24"/>
      <c r="HZ21" s="24"/>
      <c r="IA21" s="2"/>
      <c r="IB21" s="2"/>
      <c r="IC21" s="2"/>
      <c r="ID21" s="2"/>
      <c r="IE21" s="2"/>
      <c r="IF21" s="24"/>
      <c r="IG21" s="24"/>
      <c r="IH21" s="2"/>
      <c r="II21" s="2"/>
      <c r="IJ21" s="2"/>
      <c r="IK21" s="2"/>
      <c r="IL21" s="2"/>
      <c r="IM21" s="24"/>
      <c r="IN21" s="24"/>
      <c r="IO21" s="2"/>
      <c r="IP21" s="2"/>
      <c r="IQ21" s="2"/>
      <c r="IR21" s="2"/>
      <c r="IS21" s="2"/>
      <c r="IT21" s="24"/>
      <c r="IU21" s="24"/>
      <c r="IV21" s="2"/>
      <c r="IW21" s="2"/>
      <c r="IX21" s="2"/>
      <c r="IY21" s="2"/>
      <c r="IZ21" s="2"/>
      <c r="JA21" s="24"/>
      <c r="JB21" s="24"/>
      <c r="JC21" s="6"/>
      <c r="JH21" s="24"/>
      <c r="JI21" s="24"/>
      <c r="JJ21" s="2" t="s">
        <v>143</v>
      </c>
      <c r="JK21" s="11" t="s">
        <v>141</v>
      </c>
      <c r="JL21" s="2" t="s">
        <v>143</v>
      </c>
      <c r="JM21" s="2" t="s">
        <v>143</v>
      </c>
      <c r="JN21" s="2" t="s">
        <v>143</v>
      </c>
      <c r="JO21" s="24"/>
      <c r="JP21" s="24"/>
      <c r="JQ21" s="2" t="s">
        <v>143</v>
      </c>
      <c r="JR21" s="2" t="s">
        <v>143</v>
      </c>
      <c r="JS21" s="2" t="s">
        <v>143</v>
      </c>
      <c r="JT21" s="80" t="s">
        <v>183</v>
      </c>
      <c r="JU21" s="80" t="s">
        <v>183</v>
      </c>
      <c r="JV21" s="24"/>
      <c r="JW21" s="24"/>
      <c r="JX21" s="80" t="s">
        <v>183</v>
      </c>
      <c r="JY21" s="80" t="s">
        <v>183</v>
      </c>
      <c r="JZ21" s="80" t="s">
        <v>183</v>
      </c>
      <c r="KA21" s="80" t="s">
        <v>183</v>
      </c>
      <c r="KB21" s="80" t="s">
        <v>183</v>
      </c>
      <c r="KC21" s="24"/>
      <c r="KD21" s="24"/>
      <c r="KE21" s="80" t="s">
        <v>183</v>
      </c>
      <c r="KF21" s="80" t="s">
        <v>183</v>
      </c>
      <c r="KG21" s="80" t="s">
        <v>183</v>
      </c>
      <c r="KH21" s="80" t="s">
        <v>183</v>
      </c>
      <c r="KI21" s="2" t="s">
        <v>143</v>
      </c>
      <c r="KJ21" s="24"/>
      <c r="KK21" s="24"/>
      <c r="KL21" s="2" t="s">
        <v>143</v>
      </c>
      <c r="KM21" s="2" t="s">
        <v>143</v>
      </c>
      <c r="KN21" s="2" t="s">
        <v>143</v>
      </c>
      <c r="KO21" s="2" t="s">
        <v>143</v>
      </c>
      <c r="KP21" s="2" t="s">
        <v>143</v>
      </c>
      <c r="KQ21" s="24"/>
      <c r="KR21" s="24"/>
      <c r="KS21" s="2" t="s">
        <v>143</v>
      </c>
      <c r="KT21" s="2" t="s">
        <v>143</v>
      </c>
      <c r="KU21" s="24"/>
      <c r="KV21" s="24"/>
      <c r="KW21" s="11" t="s">
        <v>141</v>
      </c>
      <c r="KX21" s="24"/>
      <c r="KY21" s="24"/>
      <c r="KZ21" s="2" t="s">
        <v>143</v>
      </c>
      <c r="LA21" s="2" t="s">
        <v>143</v>
      </c>
      <c r="LB21" s="33"/>
      <c r="LC21" s="33"/>
      <c r="LD21" s="33"/>
      <c r="LE21" s="33"/>
      <c r="LF21" s="33"/>
    </row>
    <row r="22" spans="1:466" s="43" customFormat="1">
      <c r="A22" s="44" t="s">
        <v>194</v>
      </c>
      <c r="B22" s="42"/>
      <c r="C22" s="42"/>
      <c r="D22" s="42"/>
      <c r="E22" s="42"/>
      <c r="F22" s="42"/>
      <c r="G22" s="42"/>
      <c r="H22" s="42"/>
      <c r="I22" s="7"/>
      <c r="J22" s="7"/>
      <c r="K22" s="42"/>
      <c r="L22" s="42"/>
      <c r="M22" s="42"/>
      <c r="N22" s="42"/>
      <c r="O22" s="42"/>
      <c r="P22" s="7"/>
      <c r="Q22" s="7"/>
      <c r="R22" s="42"/>
      <c r="S22" s="42"/>
      <c r="T22" s="42"/>
      <c r="U22" s="42"/>
      <c r="V22" s="42"/>
      <c r="W22" s="7"/>
      <c r="X22" s="7"/>
      <c r="Y22" s="42"/>
      <c r="Z22" s="42"/>
      <c r="AA22" s="42"/>
      <c r="AB22" s="42"/>
      <c r="AC22" s="42"/>
      <c r="AD22" s="7"/>
      <c r="AE22" s="7"/>
      <c r="AF22" s="42"/>
      <c r="AG22" s="42"/>
      <c r="AH22" s="42"/>
      <c r="AI22" s="42"/>
      <c r="AJ22" s="7"/>
      <c r="AK22" s="7"/>
      <c r="AL22" s="7"/>
      <c r="AM22" s="7"/>
      <c r="AN22" s="42"/>
      <c r="AO22" s="42"/>
      <c r="AP22" s="42"/>
      <c r="AQ22" s="42"/>
      <c r="AR22" s="7"/>
      <c r="AS22" s="7"/>
      <c r="AT22" s="42"/>
      <c r="AU22" s="42"/>
      <c r="AV22" s="42"/>
      <c r="AW22" s="42"/>
      <c r="AX22" s="42"/>
      <c r="AY22" s="7"/>
      <c r="AZ22" s="7"/>
      <c r="BA22" s="42"/>
      <c r="BB22" s="42"/>
      <c r="BC22" s="42"/>
      <c r="BD22" s="42"/>
      <c r="BE22" s="42"/>
      <c r="BF22" s="7"/>
      <c r="BG22" s="7"/>
      <c r="BM22" s="7"/>
      <c r="BN22" s="7"/>
      <c r="BO22" s="42"/>
      <c r="BP22" s="42"/>
      <c r="BQ22" s="42"/>
      <c r="BR22" s="42"/>
      <c r="BS22" s="42"/>
      <c r="BT22" s="7"/>
      <c r="BU22" s="7"/>
      <c r="BV22" s="7"/>
      <c r="BW22" s="42"/>
      <c r="BX22" s="42"/>
      <c r="BY22" s="42"/>
      <c r="BZ22" s="42"/>
      <c r="CA22" s="7"/>
      <c r="CB22" s="7"/>
      <c r="CC22" s="42"/>
      <c r="CD22" s="42"/>
      <c r="CE22" s="42"/>
      <c r="CF22" s="42"/>
      <c r="CG22" s="42"/>
      <c r="CH22" s="3"/>
      <c r="CI22" s="3"/>
      <c r="CO22" s="3"/>
      <c r="CP22" s="3"/>
      <c r="CQ22" s="3"/>
      <c r="CV22" s="3"/>
      <c r="CW22" s="3"/>
      <c r="DC22" s="3"/>
      <c r="DD22" s="3"/>
      <c r="DJ22" s="24"/>
      <c r="DK22" s="24"/>
      <c r="DQ22" s="24"/>
      <c r="DR22" s="24"/>
      <c r="DX22" s="24"/>
      <c r="DY22" s="24"/>
      <c r="EE22" s="24"/>
      <c r="EF22" s="24"/>
      <c r="EL22" s="24"/>
      <c r="EM22" s="24"/>
      <c r="ES22" s="24"/>
      <c r="ET22" s="24"/>
      <c r="EZ22" s="24"/>
      <c r="FA22" s="24"/>
      <c r="FG22" s="24"/>
      <c r="FH22" s="24"/>
      <c r="FN22" s="24"/>
      <c r="FO22" s="24"/>
      <c r="FU22" s="24"/>
      <c r="FV22" s="24"/>
      <c r="GB22" s="24"/>
      <c r="GC22" s="24"/>
      <c r="GD22" s="24"/>
      <c r="GI22" s="24"/>
      <c r="GJ22" s="24"/>
      <c r="GP22" s="24"/>
      <c r="GQ22" s="24"/>
      <c r="GW22" s="24"/>
      <c r="GX22" s="24"/>
      <c r="HD22" s="24"/>
      <c r="HE22" s="24"/>
      <c r="HK22" s="24"/>
      <c r="HL22" s="24"/>
      <c r="HR22" s="24"/>
      <c r="HS22" s="24"/>
      <c r="HY22" s="24"/>
      <c r="HZ22" s="24"/>
      <c r="IF22" s="24"/>
      <c r="IG22" s="24"/>
      <c r="IM22" s="24"/>
      <c r="IN22" s="24"/>
      <c r="IT22" s="24"/>
      <c r="IU22" s="24"/>
      <c r="JA22" s="24"/>
      <c r="JB22" s="24"/>
      <c r="JH22" s="24"/>
      <c r="JI22" s="24"/>
      <c r="JO22" s="24"/>
      <c r="JP22" s="24"/>
      <c r="JV22" s="24"/>
      <c r="JW22" s="24"/>
      <c r="KC22" s="24"/>
      <c r="KD22" s="24"/>
      <c r="KJ22" s="24"/>
      <c r="KK22" s="24"/>
      <c r="KQ22" s="24"/>
      <c r="KR22" s="24"/>
      <c r="KU22" s="24"/>
      <c r="KV22" s="24"/>
      <c r="KX22" s="24"/>
      <c r="KY22" s="24"/>
      <c r="LB22" s="33"/>
      <c r="LC22" s="33"/>
      <c r="LD22" s="33"/>
      <c r="LE22" s="33"/>
      <c r="LF22" s="33"/>
    </row>
    <row r="23" spans="1:466">
      <c r="A23" s="50" t="s">
        <v>195</v>
      </c>
      <c r="B23" s="50" t="s">
        <v>15</v>
      </c>
      <c r="C23" s="50" t="s">
        <v>170</v>
      </c>
      <c r="D23" s="8" t="s">
        <v>143</v>
      </c>
      <c r="E23" s="9" t="s">
        <v>18</v>
      </c>
      <c r="F23" s="8" t="s">
        <v>143</v>
      </c>
      <c r="G23" s="8" t="s">
        <v>143</v>
      </c>
      <c r="H23" s="8" t="s">
        <v>143</v>
      </c>
      <c r="I23" s="7"/>
      <c r="J23" s="7"/>
      <c r="K23" s="8" t="s">
        <v>143</v>
      </c>
      <c r="L23" s="8" t="s">
        <v>143</v>
      </c>
      <c r="M23" s="8" t="s">
        <v>143</v>
      </c>
      <c r="N23" s="8" t="s">
        <v>143</v>
      </c>
      <c r="O23" s="9" t="s">
        <v>18</v>
      </c>
      <c r="P23" s="7"/>
      <c r="Q23" s="7"/>
      <c r="R23" s="8" t="s">
        <v>143</v>
      </c>
      <c r="S23" s="9" t="s">
        <v>18</v>
      </c>
      <c r="T23" s="8" t="s">
        <v>143</v>
      </c>
      <c r="U23" s="8" t="s">
        <v>143</v>
      </c>
      <c r="V23" s="8" t="s">
        <v>143</v>
      </c>
      <c r="W23" s="7"/>
      <c r="X23" s="7"/>
      <c r="Y23" s="9" t="s">
        <v>18</v>
      </c>
      <c r="Z23" s="9" t="s">
        <v>18</v>
      </c>
      <c r="AA23" s="9" t="s">
        <v>18</v>
      </c>
      <c r="AB23" s="5" t="s">
        <v>186</v>
      </c>
      <c r="AC23" s="8" t="s">
        <v>143</v>
      </c>
      <c r="AD23" s="7"/>
      <c r="AE23" s="7"/>
      <c r="AF23" s="8" t="s">
        <v>143</v>
      </c>
      <c r="AG23" s="8" t="s">
        <v>143</v>
      </c>
      <c r="AH23" s="9" t="s">
        <v>18</v>
      </c>
      <c r="AI23" s="11" t="s">
        <v>141</v>
      </c>
      <c r="AJ23" s="7" t="s">
        <v>142</v>
      </c>
      <c r="AK23" s="7"/>
      <c r="AL23" s="7"/>
      <c r="AM23" s="7" t="s">
        <v>142</v>
      </c>
      <c r="AN23" s="11" t="s">
        <v>141</v>
      </c>
      <c r="AO23" s="11" t="s">
        <v>141</v>
      </c>
      <c r="AP23" s="11" t="s">
        <v>141</v>
      </c>
      <c r="AQ23" s="11" t="s">
        <v>141</v>
      </c>
      <c r="AR23" s="7"/>
      <c r="AS23" s="7"/>
      <c r="AT23" s="9" t="s">
        <v>18</v>
      </c>
      <c r="AU23" s="8" t="s">
        <v>143</v>
      </c>
      <c r="AV23" s="8" t="s">
        <v>143</v>
      </c>
      <c r="AW23" s="8" t="s">
        <v>143</v>
      </c>
      <c r="AX23" s="8" t="s">
        <v>143</v>
      </c>
      <c r="AY23" s="7"/>
      <c r="AZ23" s="7"/>
      <c r="BA23" s="8" t="s">
        <v>143</v>
      </c>
      <c r="BB23" s="8" t="s">
        <v>143</v>
      </c>
      <c r="BC23" s="9" t="s">
        <v>18</v>
      </c>
      <c r="BD23" s="8" t="s">
        <v>143</v>
      </c>
      <c r="BE23" s="8" t="s">
        <v>143</v>
      </c>
      <c r="BF23" s="7"/>
      <c r="BG23" s="7"/>
      <c r="BH23" s="8" t="s">
        <v>143</v>
      </c>
      <c r="BI23" s="8" t="s">
        <v>143</v>
      </c>
      <c r="BJ23" s="8" t="s">
        <v>143</v>
      </c>
      <c r="BK23" s="8" t="s">
        <v>143</v>
      </c>
      <c r="BL23" s="9" t="s">
        <v>18</v>
      </c>
      <c r="BM23" s="7"/>
      <c r="BN23" s="7"/>
      <c r="BO23" s="9" t="s">
        <v>18</v>
      </c>
      <c r="BP23" s="8" t="s">
        <v>143</v>
      </c>
      <c r="BQ23" s="8" t="s">
        <v>143</v>
      </c>
      <c r="BR23" s="8" t="s">
        <v>143</v>
      </c>
      <c r="BS23" s="8" t="s">
        <v>143</v>
      </c>
      <c r="BT23" s="7"/>
      <c r="BU23" s="7"/>
      <c r="BV23" s="7" t="s">
        <v>142</v>
      </c>
      <c r="BW23" s="8" t="s">
        <v>143</v>
      </c>
      <c r="BX23" s="8" t="s">
        <v>143</v>
      </c>
      <c r="BY23" s="9" t="s">
        <v>18</v>
      </c>
      <c r="BZ23" s="8" t="s">
        <v>143</v>
      </c>
      <c r="CA23" s="7"/>
      <c r="CB23" s="7"/>
      <c r="CC23" s="8" t="s">
        <v>143</v>
      </c>
      <c r="CD23" s="9" t="s">
        <v>18</v>
      </c>
      <c r="CE23" s="8" t="s">
        <v>143</v>
      </c>
      <c r="CF23" s="8" t="s">
        <v>143</v>
      </c>
      <c r="CG23" s="8" t="s">
        <v>143</v>
      </c>
      <c r="CH23" s="3"/>
      <c r="CI23" s="3"/>
      <c r="CJ23" s="2" t="s">
        <v>143</v>
      </c>
      <c r="CK23" s="2" t="s">
        <v>143</v>
      </c>
      <c r="CL23" s="2" t="s">
        <v>143</v>
      </c>
      <c r="CM23" s="2" t="s">
        <v>143</v>
      </c>
      <c r="CN23" s="2" t="s">
        <v>143</v>
      </c>
      <c r="CO23" s="3"/>
      <c r="CP23" s="3"/>
      <c r="CQ23" s="3"/>
      <c r="CR23" s="2" t="s">
        <v>143</v>
      </c>
      <c r="CS23" s="2" t="s">
        <v>143</v>
      </c>
      <c r="CT23" s="2" t="s">
        <v>143</v>
      </c>
      <c r="CU23" s="2" t="s">
        <v>143</v>
      </c>
      <c r="CV23" s="3"/>
      <c r="CW23" s="3"/>
      <c r="CX23" s="2" t="s">
        <v>143</v>
      </c>
      <c r="CY23" s="2" t="s">
        <v>143</v>
      </c>
      <c r="CZ23" s="2" t="s">
        <v>143</v>
      </c>
      <c r="DA23" s="2" t="s">
        <v>143</v>
      </c>
      <c r="DB23" s="2" t="s">
        <v>143</v>
      </c>
      <c r="DC23" s="3"/>
      <c r="DD23" s="3"/>
      <c r="DE23" s="2" t="s">
        <v>143</v>
      </c>
      <c r="DF23" s="2" t="s">
        <v>143</v>
      </c>
      <c r="DG23" s="2" t="s">
        <v>143</v>
      </c>
      <c r="DH23" s="2" t="s">
        <v>143</v>
      </c>
      <c r="DI23" s="2" t="s">
        <v>143</v>
      </c>
      <c r="DJ23" s="24"/>
      <c r="DK23" s="24"/>
      <c r="DL23" s="2" t="s">
        <v>143</v>
      </c>
      <c r="DM23" s="2" t="s">
        <v>143</v>
      </c>
      <c r="DN23" s="2" t="s">
        <v>143</v>
      </c>
      <c r="DO23" s="2" t="s">
        <v>143</v>
      </c>
      <c r="DP23" s="2" t="s">
        <v>143</v>
      </c>
      <c r="DQ23" s="24"/>
      <c r="DR23" s="24"/>
      <c r="DS23" s="2" t="s">
        <v>143</v>
      </c>
      <c r="DT23" s="2" t="s">
        <v>143</v>
      </c>
      <c r="DU23" s="2" t="s">
        <v>143</v>
      </c>
      <c r="DV23" s="2" t="s">
        <v>143</v>
      </c>
      <c r="DW23" s="2" t="s">
        <v>143</v>
      </c>
      <c r="DX23" s="24"/>
      <c r="DY23" s="24"/>
      <c r="DZ23" s="2" t="s">
        <v>143</v>
      </c>
      <c r="EA23" s="2" t="s">
        <v>143</v>
      </c>
      <c r="EB23" s="2" t="s">
        <v>143</v>
      </c>
      <c r="EC23" s="2" t="s">
        <v>143</v>
      </c>
      <c r="ED23" s="2" t="s">
        <v>143</v>
      </c>
      <c r="EE23" s="24"/>
      <c r="EF23" s="24"/>
      <c r="EG23" s="2" t="s">
        <v>143</v>
      </c>
      <c r="EH23" s="2" t="s">
        <v>143</v>
      </c>
      <c r="EI23" s="2" t="s">
        <v>143</v>
      </c>
      <c r="EJ23" s="2" t="s">
        <v>143</v>
      </c>
      <c r="EK23" s="2" t="s">
        <v>143</v>
      </c>
      <c r="EL23" s="24"/>
      <c r="EM23" s="24"/>
      <c r="EN23" s="2" t="s">
        <v>143</v>
      </c>
      <c r="EO23" s="2" t="s">
        <v>143</v>
      </c>
      <c r="EP23" s="2" t="s">
        <v>143</v>
      </c>
      <c r="EQ23" s="2" t="s">
        <v>143</v>
      </c>
      <c r="ER23" s="2" t="s">
        <v>143</v>
      </c>
      <c r="ES23" s="24"/>
      <c r="ET23" s="24"/>
      <c r="EU23" s="2" t="s">
        <v>143</v>
      </c>
      <c r="EV23" s="2" t="s">
        <v>143</v>
      </c>
      <c r="EW23" s="2" t="s">
        <v>143</v>
      </c>
      <c r="EX23" s="2" t="s">
        <v>143</v>
      </c>
      <c r="EY23" s="80" t="s">
        <v>18</v>
      </c>
      <c r="EZ23" s="24"/>
      <c r="FA23" s="24"/>
      <c r="FB23" s="2" t="s">
        <v>143</v>
      </c>
      <c r="FC23" s="2" t="s">
        <v>143</v>
      </c>
      <c r="FD23" s="2" t="s">
        <v>143</v>
      </c>
      <c r="FE23" s="2" t="s">
        <v>143</v>
      </c>
      <c r="FF23" s="2" t="s">
        <v>143</v>
      </c>
      <c r="FG23" s="24"/>
      <c r="FH23" s="24"/>
      <c r="FI23" s="80" t="s">
        <v>18</v>
      </c>
      <c r="FJ23" s="2" t="s">
        <v>143</v>
      </c>
      <c r="FK23" s="2" t="s">
        <v>143</v>
      </c>
      <c r="FL23" s="2" t="s">
        <v>143</v>
      </c>
      <c r="FM23" s="2" t="s">
        <v>143</v>
      </c>
      <c r="FN23" s="24"/>
      <c r="FO23" s="24"/>
      <c r="FP23" s="2" t="s">
        <v>143</v>
      </c>
      <c r="FQ23" s="2" t="s">
        <v>143</v>
      </c>
      <c r="FR23" s="80" t="s">
        <v>37</v>
      </c>
      <c r="FS23" s="2" t="s">
        <v>143</v>
      </c>
      <c r="FT23" s="2" t="s">
        <v>143</v>
      </c>
      <c r="FU23" s="24"/>
      <c r="FV23" s="24"/>
      <c r="FW23" s="2" t="s">
        <v>143</v>
      </c>
      <c r="FX23" s="2" t="s">
        <v>143</v>
      </c>
      <c r="FY23" s="2" t="s">
        <v>143</v>
      </c>
      <c r="FZ23" s="2" t="s">
        <v>143</v>
      </c>
      <c r="GA23" s="2" t="s">
        <v>143</v>
      </c>
      <c r="GB23" s="24"/>
      <c r="GC23" s="24"/>
      <c r="GD23" s="24"/>
      <c r="GE23" s="2" t="s">
        <v>143</v>
      </c>
      <c r="GF23" s="2" t="s">
        <v>143</v>
      </c>
      <c r="GG23" s="2" t="s">
        <v>143</v>
      </c>
      <c r="GH23" s="2" t="s">
        <v>143</v>
      </c>
      <c r="GI23" s="24"/>
      <c r="GJ23" s="24"/>
      <c r="GK23" s="11" t="s">
        <v>141</v>
      </c>
      <c r="GL23" s="11" t="s">
        <v>141</v>
      </c>
      <c r="GM23" s="11" t="s">
        <v>141</v>
      </c>
      <c r="GN23" s="11" t="s">
        <v>141</v>
      </c>
      <c r="GO23" s="11" t="s">
        <v>141</v>
      </c>
      <c r="GP23" s="24"/>
      <c r="GQ23" s="24"/>
      <c r="GR23" s="2" t="s">
        <v>143</v>
      </c>
      <c r="GS23" s="2" t="s">
        <v>143</v>
      </c>
      <c r="GT23" s="2" t="s">
        <v>143</v>
      </c>
      <c r="GU23" s="2" t="s">
        <v>143</v>
      </c>
      <c r="GV23" s="2" t="s">
        <v>143</v>
      </c>
      <c r="GW23" s="24"/>
      <c r="GX23" s="24"/>
      <c r="GY23" s="2" t="s">
        <v>143</v>
      </c>
      <c r="GZ23" s="2" t="s">
        <v>143</v>
      </c>
      <c r="HA23" s="2" t="s">
        <v>143</v>
      </c>
      <c r="HB23" s="2" t="s">
        <v>143</v>
      </c>
      <c r="HC23" s="2" t="s">
        <v>143</v>
      </c>
      <c r="HD23" s="24"/>
      <c r="HE23" s="24"/>
      <c r="HF23" s="2" t="s">
        <v>143</v>
      </c>
      <c r="HG23" s="2" t="s">
        <v>143</v>
      </c>
      <c r="HH23" s="2" t="s">
        <v>143</v>
      </c>
      <c r="HI23" s="2" t="s">
        <v>143</v>
      </c>
      <c r="HJ23" s="2" t="s">
        <v>143</v>
      </c>
      <c r="HK23" s="24"/>
      <c r="HL23" s="24"/>
      <c r="HM23" s="2" t="s">
        <v>143</v>
      </c>
      <c r="HN23" s="2" t="s">
        <v>143</v>
      </c>
      <c r="HO23" s="2" t="s">
        <v>143</v>
      </c>
      <c r="HP23" s="2" t="s">
        <v>143</v>
      </c>
      <c r="HQ23" s="2" t="s">
        <v>143</v>
      </c>
      <c r="HR23" s="24"/>
      <c r="HS23" s="24"/>
      <c r="HT23" s="2" t="s">
        <v>143</v>
      </c>
      <c r="HU23" s="2" t="s">
        <v>143</v>
      </c>
      <c r="HV23" s="2" t="s">
        <v>143</v>
      </c>
      <c r="HW23" s="2" t="s">
        <v>143</v>
      </c>
      <c r="HX23" s="2" t="s">
        <v>143</v>
      </c>
      <c r="HY23" s="24"/>
      <c r="HZ23" s="24"/>
      <c r="IA23" s="2" t="s">
        <v>143</v>
      </c>
      <c r="IB23" s="2" t="s">
        <v>143</v>
      </c>
      <c r="IC23" s="2" t="s">
        <v>143</v>
      </c>
      <c r="ID23" s="2" t="s">
        <v>143</v>
      </c>
      <c r="IE23" s="2" t="s">
        <v>143</v>
      </c>
      <c r="IF23" s="24"/>
      <c r="IG23" s="24"/>
      <c r="IH23" s="2" t="s">
        <v>143</v>
      </c>
      <c r="II23" s="2" t="s">
        <v>143</v>
      </c>
      <c r="IJ23" s="2" t="s">
        <v>143</v>
      </c>
      <c r="IK23" s="2" t="s">
        <v>143</v>
      </c>
      <c r="IL23" s="2" t="s">
        <v>143</v>
      </c>
      <c r="IM23" s="24"/>
      <c r="IN23" s="24"/>
      <c r="IO23" s="2" t="s">
        <v>143</v>
      </c>
      <c r="IP23" s="2" t="s">
        <v>143</v>
      </c>
      <c r="IQ23" s="2" t="s">
        <v>143</v>
      </c>
      <c r="IR23" s="2" t="s">
        <v>143</v>
      </c>
      <c r="IS23" s="11" t="s">
        <v>141</v>
      </c>
      <c r="IT23" s="24"/>
      <c r="IU23" s="24"/>
      <c r="IV23" s="11" t="s">
        <v>141</v>
      </c>
      <c r="IW23" s="11" t="s">
        <v>141</v>
      </c>
      <c r="IX23" s="11" t="s">
        <v>141</v>
      </c>
      <c r="IY23" s="11" t="s">
        <v>141</v>
      </c>
      <c r="IZ23" s="11" t="s">
        <v>141</v>
      </c>
      <c r="JA23" s="24"/>
      <c r="JB23" s="24"/>
      <c r="JC23" s="2" t="s">
        <v>143</v>
      </c>
      <c r="JD23" s="2" t="s">
        <v>143</v>
      </c>
      <c r="JE23" s="2" t="s">
        <v>143</v>
      </c>
      <c r="JF23" s="2" t="s">
        <v>143</v>
      </c>
      <c r="JG23" s="2" t="s">
        <v>143</v>
      </c>
      <c r="JH23" s="24"/>
      <c r="JI23" s="24"/>
      <c r="JJ23" s="2" t="s">
        <v>143</v>
      </c>
      <c r="JK23" s="2" t="s">
        <v>143</v>
      </c>
      <c r="JL23" s="2" t="s">
        <v>143</v>
      </c>
      <c r="JM23" s="2" t="s">
        <v>143</v>
      </c>
      <c r="JN23" s="2" t="s">
        <v>143</v>
      </c>
      <c r="JO23" s="24"/>
      <c r="JP23" s="24"/>
      <c r="JQ23" s="2" t="s">
        <v>143</v>
      </c>
      <c r="JR23" s="2" t="s">
        <v>143</v>
      </c>
      <c r="JS23" s="2" t="s">
        <v>143</v>
      </c>
      <c r="JT23" s="2" t="s">
        <v>143</v>
      </c>
      <c r="JU23" s="2" t="s">
        <v>143</v>
      </c>
      <c r="JV23" s="24"/>
      <c r="JW23" s="24"/>
      <c r="JX23" s="2" t="s">
        <v>143</v>
      </c>
      <c r="JY23" s="2" t="s">
        <v>143</v>
      </c>
      <c r="JZ23" s="2" t="s">
        <v>143</v>
      </c>
      <c r="KA23" s="2" t="s">
        <v>143</v>
      </c>
      <c r="KB23" s="2" t="s">
        <v>143</v>
      </c>
      <c r="KC23" s="24"/>
      <c r="KD23" s="24"/>
      <c r="KE23" s="2" t="s">
        <v>143</v>
      </c>
      <c r="KF23" s="2" t="s">
        <v>143</v>
      </c>
      <c r="KG23" s="2" t="s">
        <v>143</v>
      </c>
      <c r="KH23" s="2" t="s">
        <v>143</v>
      </c>
      <c r="KI23" s="2" t="s">
        <v>143</v>
      </c>
      <c r="KJ23" s="24"/>
      <c r="KK23" s="24"/>
      <c r="KL23" s="11" t="s">
        <v>141</v>
      </c>
      <c r="KM23" s="11" t="s">
        <v>141</v>
      </c>
      <c r="KN23" s="11" t="s">
        <v>141</v>
      </c>
      <c r="KO23" s="11" t="s">
        <v>141</v>
      </c>
      <c r="KP23" s="11" t="s">
        <v>141</v>
      </c>
      <c r="KQ23" s="24"/>
      <c r="KR23" s="24"/>
      <c r="KS23" s="2" t="s">
        <v>143</v>
      </c>
      <c r="KT23" s="2" t="s">
        <v>143</v>
      </c>
      <c r="KU23" s="24"/>
      <c r="KV23" s="24"/>
      <c r="KW23" s="2" t="s">
        <v>143</v>
      </c>
      <c r="KX23" s="24"/>
      <c r="KY23" s="24"/>
      <c r="KZ23" s="2" t="s">
        <v>143</v>
      </c>
      <c r="LA23" s="2" t="s">
        <v>143</v>
      </c>
      <c r="LB23" s="33"/>
      <c r="LC23" s="33"/>
      <c r="LD23" s="33"/>
      <c r="LE23" s="33"/>
      <c r="LF23" s="33"/>
    </row>
    <row r="24" spans="1:466">
      <c r="A24" s="50" t="s">
        <v>196</v>
      </c>
      <c r="B24" s="50" t="s">
        <v>15</v>
      </c>
      <c r="C24" s="50" t="s">
        <v>170</v>
      </c>
      <c r="D24" s="11" t="s">
        <v>141</v>
      </c>
      <c r="E24" s="11" t="s">
        <v>141</v>
      </c>
      <c r="F24" s="11" t="s">
        <v>141</v>
      </c>
      <c r="G24" s="11" t="s">
        <v>141</v>
      </c>
      <c r="H24" s="11" t="s">
        <v>141</v>
      </c>
      <c r="I24" s="7"/>
      <c r="J24" s="7"/>
      <c r="K24" s="8" t="s">
        <v>143</v>
      </c>
      <c r="L24" s="8" t="s">
        <v>143</v>
      </c>
      <c r="M24" s="8" t="s">
        <v>143</v>
      </c>
      <c r="N24" s="8" t="s">
        <v>143</v>
      </c>
      <c r="O24" s="8" t="s">
        <v>143</v>
      </c>
      <c r="P24" s="7"/>
      <c r="Q24" s="7"/>
      <c r="R24" s="8" t="s">
        <v>197</v>
      </c>
      <c r="S24" s="8" t="s">
        <v>198</v>
      </c>
      <c r="T24" s="8" t="s">
        <v>198</v>
      </c>
      <c r="U24" s="9" t="s">
        <v>18</v>
      </c>
      <c r="V24" s="8" t="s">
        <v>143</v>
      </c>
      <c r="W24" s="7"/>
      <c r="X24" s="7"/>
      <c r="Y24" s="9" t="s">
        <v>18</v>
      </c>
      <c r="Z24" s="9" t="s">
        <v>18</v>
      </c>
      <c r="AA24" s="9" t="s">
        <v>18</v>
      </c>
      <c r="AB24" s="9" t="s">
        <v>18</v>
      </c>
      <c r="AC24" s="9" t="s">
        <v>18</v>
      </c>
      <c r="AD24" s="7"/>
      <c r="AE24" s="7"/>
      <c r="AF24" s="8" t="s">
        <v>143</v>
      </c>
      <c r="AG24" s="8" t="s">
        <v>143</v>
      </c>
      <c r="AH24" s="8" t="s">
        <v>143</v>
      </c>
      <c r="AI24" s="8" t="s">
        <v>143</v>
      </c>
      <c r="AJ24" s="7" t="s">
        <v>142</v>
      </c>
      <c r="AK24" s="7"/>
      <c r="AL24" s="7"/>
      <c r="AM24" s="7" t="s">
        <v>142</v>
      </c>
      <c r="AN24" s="8" t="s">
        <v>143</v>
      </c>
      <c r="AO24" s="9" t="s">
        <v>18</v>
      </c>
      <c r="AP24" s="8" t="s">
        <v>143</v>
      </c>
      <c r="AQ24" s="8" t="s">
        <v>143</v>
      </c>
      <c r="AR24" s="7"/>
      <c r="AS24" s="7"/>
      <c r="AT24" s="8" t="s">
        <v>143</v>
      </c>
      <c r="AU24" s="8" t="s">
        <v>143</v>
      </c>
      <c r="AV24" s="8" t="s">
        <v>143</v>
      </c>
      <c r="AW24" s="8" t="s">
        <v>143</v>
      </c>
      <c r="AX24" s="9" t="s">
        <v>18</v>
      </c>
      <c r="AY24" s="7"/>
      <c r="AZ24" s="7"/>
      <c r="BA24" s="9" t="s">
        <v>18</v>
      </c>
      <c r="BB24" s="8" t="s">
        <v>143</v>
      </c>
      <c r="BC24" s="8" t="s">
        <v>143</v>
      </c>
      <c r="BD24" s="8" t="s">
        <v>143</v>
      </c>
      <c r="BE24" s="8" t="s">
        <v>143</v>
      </c>
      <c r="BF24" s="7"/>
      <c r="BG24" s="7"/>
      <c r="BH24" s="8" t="s">
        <v>143</v>
      </c>
      <c r="BI24" s="9" t="s">
        <v>18</v>
      </c>
      <c r="BJ24" s="8" t="s">
        <v>143</v>
      </c>
      <c r="BK24" s="8" t="s">
        <v>143</v>
      </c>
      <c r="BL24" s="8" t="s">
        <v>143</v>
      </c>
      <c r="BM24" s="7"/>
      <c r="BN24" s="7"/>
      <c r="BO24" s="8" t="s">
        <v>143</v>
      </c>
      <c r="BP24" s="8" t="s">
        <v>143</v>
      </c>
      <c r="BQ24" s="9" t="s">
        <v>18</v>
      </c>
      <c r="BR24" s="8" t="s">
        <v>143</v>
      </c>
      <c r="BS24" s="8" t="s">
        <v>143</v>
      </c>
      <c r="BT24" s="7"/>
      <c r="BU24" s="7"/>
      <c r="BV24" s="7" t="s">
        <v>142</v>
      </c>
      <c r="BW24" s="8" t="s">
        <v>143</v>
      </c>
      <c r="BX24" s="8" t="s">
        <v>143</v>
      </c>
      <c r="BY24" s="8" t="s">
        <v>143</v>
      </c>
      <c r="BZ24" s="8" t="s">
        <v>143</v>
      </c>
      <c r="CA24" s="7"/>
      <c r="CB24" s="7"/>
      <c r="CC24" s="8" t="s">
        <v>143</v>
      </c>
      <c r="CD24" s="8" t="s">
        <v>143</v>
      </c>
      <c r="CE24" s="8" t="s">
        <v>143</v>
      </c>
      <c r="CF24" s="9" t="s">
        <v>18</v>
      </c>
      <c r="CG24" s="8" t="s">
        <v>143</v>
      </c>
      <c r="CH24" s="3"/>
      <c r="CI24" s="3"/>
      <c r="CJ24" s="2" t="s">
        <v>143</v>
      </c>
      <c r="CK24" s="2" t="s">
        <v>143</v>
      </c>
      <c r="CL24" s="2" t="s">
        <v>143</v>
      </c>
      <c r="CM24" s="2" t="s">
        <v>143</v>
      </c>
      <c r="CN24" s="2" t="s">
        <v>143</v>
      </c>
      <c r="CO24" s="3"/>
      <c r="CP24" s="3"/>
      <c r="CQ24" s="3"/>
      <c r="CR24" s="2" t="s">
        <v>143</v>
      </c>
      <c r="CS24" s="2" t="s">
        <v>143</v>
      </c>
      <c r="CT24" s="2" t="s">
        <v>143</v>
      </c>
      <c r="CU24" s="2" t="s">
        <v>143</v>
      </c>
      <c r="CV24" s="3"/>
      <c r="CW24" s="3"/>
      <c r="CX24" s="2" t="s">
        <v>143</v>
      </c>
      <c r="CY24" s="2" t="s">
        <v>143</v>
      </c>
      <c r="CZ24" s="2" t="s">
        <v>143</v>
      </c>
      <c r="DA24" s="2" t="s">
        <v>143</v>
      </c>
      <c r="DB24" s="2" t="s">
        <v>143</v>
      </c>
      <c r="DC24" s="3"/>
      <c r="DD24" s="3"/>
      <c r="DE24" s="2" t="s">
        <v>143</v>
      </c>
      <c r="DF24" s="2" t="s">
        <v>143</v>
      </c>
      <c r="DG24" s="2" t="s">
        <v>143</v>
      </c>
      <c r="DH24" s="2" t="s">
        <v>143</v>
      </c>
      <c r="DI24" s="2" t="s">
        <v>143</v>
      </c>
      <c r="DJ24" s="24"/>
      <c r="DK24" s="24"/>
      <c r="DL24" s="2" t="s">
        <v>143</v>
      </c>
      <c r="DM24" s="2" t="s">
        <v>143</v>
      </c>
      <c r="DN24" s="2" t="s">
        <v>143</v>
      </c>
      <c r="DO24" s="2" t="s">
        <v>143</v>
      </c>
      <c r="DP24" s="2" t="s">
        <v>143</v>
      </c>
      <c r="DQ24" s="24"/>
      <c r="DR24" s="24"/>
      <c r="DS24" s="2" t="s">
        <v>143</v>
      </c>
      <c r="DT24" s="2" t="s">
        <v>143</v>
      </c>
      <c r="DU24" s="2" t="s">
        <v>143</v>
      </c>
      <c r="DV24" s="11" t="s">
        <v>141</v>
      </c>
      <c r="DW24" s="11" t="s">
        <v>141</v>
      </c>
      <c r="DX24" s="24"/>
      <c r="DY24" s="24"/>
      <c r="DZ24" s="11" t="s">
        <v>141</v>
      </c>
      <c r="EA24" s="2" t="s">
        <v>143</v>
      </c>
      <c r="EB24" s="2" t="s">
        <v>143</v>
      </c>
      <c r="EC24" s="2" t="s">
        <v>143</v>
      </c>
      <c r="ED24" s="2" t="s">
        <v>143</v>
      </c>
      <c r="EE24" s="24"/>
      <c r="EF24" s="24"/>
      <c r="EG24" s="2" t="s">
        <v>143</v>
      </c>
      <c r="EH24" s="2" t="s">
        <v>143</v>
      </c>
      <c r="EI24" s="2" t="s">
        <v>143</v>
      </c>
      <c r="EJ24" s="2" t="s">
        <v>143</v>
      </c>
      <c r="EK24" s="2" t="s">
        <v>143</v>
      </c>
      <c r="EL24" s="24"/>
      <c r="EM24" s="24"/>
      <c r="EN24" s="2" t="s">
        <v>143</v>
      </c>
      <c r="EO24" s="2" t="s">
        <v>143</v>
      </c>
      <c r="EP24" s="2" t="s">
        <v>143</v>
      </c>
      <c r="EQ24" s="2" t="s">
        <v>143</v>
      </c>
      <c r="ER24" s="2" t="s">
        <v>143</v>
      </c>
      <c r="ES24" s="24"/>
      <c r="ET24" s="24"/>
      <c r="EU24" s="2" t="s">
        <v>143</v>
      </c>
      <c r="EV24" s="2" t="s">
        <v>143</v>
      </c>
      <c r="EW24" s="2" t="s">
        <v>143</v>
      </c>
      <c r="EX24" s="2" t="s">
        <v>143</v>
      </c>
      <c r="EY24" s="80" t="s">
        <v>18</v>
      </c>
      <c r="EZ24" s="24"/>
      <c r="FA24" s="24"/>
      <c r="FB24" s="2" t="s">
        <v>143</v>
      </c>
      <c r="FC24" s="2" t="s">
        <v>143</v>
      </c>
      <c r="FD24" s="2" t="s">
        <v>143</v>
      </c>
      <c r="FE24" s="2" t="s">
        <v>143</v>
      </c>
      <c r="FF24" s="2" t="s">
        <v>143</v>
      </c>
      <c r="FG24" s="24"/>
      <c r="FH24" s="24"/>
      <c r="FI24" s="2" t="s">
        <v>143</v>
      </c>
      <c r="FJ24" s="2" t="s">
        <v>143</v>
      </c>
      <c r="FK24" s="2" t="s">
        <v>143</v>
      </c>
      <c r="FL24" s="2" t="s">
        <v>143</v>
      </c>
      <c r="FM24" s="2" t="s">
        <v>143</v>
      </c>
      <c r="FN24" s="24"/>
      <c r="FO24" s="24"/>
      <c r="FP24" s="2" t="s">
        <v>143</v>
      </c>
      <c r="FQ24" s="2" t="s">
        <v>143</v>
      </c>
      <c r="FR24" s="2" t="s">
        <v>143</v>
      </c>
      <c r="FS24" s="2" t="s">
        <v>143</v>
      </c>
      <c r="FT24" s="2" t="s">
        <v>143</v>
      </c>
      <c r="FU24" s="24"/>
      <c r="FV24" s="24"/>
      <c r="FW24" s="2" t="s">
        <v>143</v>
      </c>
      <c r="FX24" s="2" t="s">
        <v>143</v>
      </c>
      <c r="FY24" s="2" t="s">
        <v>143</v>
      </c>
      <c r="FZ24" s="2" t="s">
        <v>143</v>
      </c>
      <c r="GA24" s="2" t="s">
        <v>143</v>
      </c>
      <c r="GB24" s="24"/>
      <c r="GC24" s="24"/>
      <c r="GD24" s="24"/>
      <c r="GE24" s="11" t="s">
        <v>141</v>
      </c>
      <c r="GF24" s="11" t="s">
        <v>141</v>
      </c>
      <c r="GG24" s="11" t="s">
        <v>141</v>
      </c>
      <c r="GH24" s="11" t="s">
        <v>141</v>
      </c>
      <c r="GI24" s="24"/>
      <c r="GJ24" s="24"/>
      <c r="GK24" s="11" t="s">
        <v>141</v>
      </c>
      <c r="GL24" s="11" t="s">
        <v>141</v>
      </c>
      <c r="GM24" s="2" t="s">
        <v>143</v>
      </c>
      <c r="GN24" s="2" t="s">
        <v>143</v>
      </c>
      <c r="GO24" s="2" t="s">
        <v>143</v>
      </c>
      <c r="GP24" s="24"/>
      <c r="GQ24" s="24"/>
      <c r="GR24" s="2" t="s">
        <v>143</v>
      </c>
      <c r="GS24" s="2" t="s">
        <v>143</v>
      </c>
      <c r="GT24" s="2" t="s">
        <v>143</v>
      </c>
      <c r="GU24" s="2" t="s">
        <v>143</v>
      </c>
      <c r="GV24" s="2" t="s">
        <v>143</v>
      </c>
      <c r="GW24" s="24"/>
      <c r="GX24" s="24"/>
      <c r="GY24" s="2" t="s">
        <v>143</v>
      </c>
      <c r="GZ24" s="2" t="s">
        <v>143</v>
      </c>
      <c r="HA24" s="2" t="s">
        <v>143</v>
      </c>
      <c r="HB24" s="2" t="s">
        <v>143</v>
      </c>
      <c r="HC24" s="12" t="s">
        <v>140</v>
      </c>
      <c r="HD24" s="24"/>
      <c r="HE24" s="24"/>
      <c r="HF24" s="11" t="s">
        <v>141</v>
      </c>
      <c r="HG24" s="2" t="s">
        <v>143</v>
      </c>
      <c r="HH24" s="2" t="s">
        <v>143</v>
      </c>
      <c r="HI24" s="2" t="s">
        <v>143</v>
      </c>
      <c r="HJ24" s="2" t="s">
        <v>143</v>
      </c>
      <c r="HK24" s="24"/>
      <c r="HL24" s="24"/>
      <c r="HM24" s="2" t="s">
        <v>143</v>
      </c>
      <c r="HN24" s="2" t="s">
        <v>143</v>
      </c>
      <c r="HO24" s="2" t="s">
        <v>143</v>
      </c>
      <c r="HP24" s="2" t="s">
        <v>143</v>
      </c>
      <c r="HQ24" s="2" t="s">
        <v>143</v>
      </c>
      <c r="HR24" s="24"/>
      <c r="HS24" s="24"/>
      <c r="HT24" s="2" t="s">
        <v>143</v>
      </c>
      <c r="HU24" s="2" t="s">
        <v>143</v>
      </c>
      <c r="HV24" s="2" t="s">
        <v>143</v>
      </c>
      <c r="HW24" s="2" t="s">
        <v>143</v>
      </c>
      <c r="HX24" s="11" t="s">
        <v>141</v>
      </c>
      <c r="HY24" s="24"/>
      <c r="HZ24" s="24"/>
      <c r="IA24" s="2" t="s">
        <v>143</v>
      </c>
      <c r="IB24" s="2" t="s">
        <v>143</v>
      </c>
      <c r="IC24" s="11" t="s">
        <v>141</v>
      </c>
      <c r="ID24" s="2" t="s">
        <v>143</v>
      </c>
      <c r="IE24" s="2" t="s">
        <v>143</v>
      </c>
      <c r="IF24" s="24"/>
      <c r="IG24" s="24"/>
      <c r="IH24" s="2" t="s">
        <v>143</v>
      </c>
      <c r="II24" s="2" t="s">
        <v>143</v>
      </c>
      <c r="IJ24" s="2" t="s">
        <v>143</v>
      </c>
      <c r="IK24" s="2" t="s">
        <v>143</v>
      </c>
      <c r="IL24" s="2" t="s">
        <v>143</v>
      </c>
      <c r="IM24" s="24"/>
      <c r="IN24" s="24"/>
      <c r="IO24" s="2" t="s">
        <v>143</v>
      </c>
      <c r="IP24" s="2" t="s">
        <v>143</v>
      </c>
      <c r="IQ24" s="2" t="s">
        <v>143</v>
      </c>
      <c r="IR24" s="2" t="s">
        <v>143</v>
      </c>
      <c r="IS24" s="2" t="s">
        <v>143</v>
      </c>
      <c r="IT24" s="24"/>
      <c r="IU24" s="24"/>
      <c r="IV24" s="2" t="s">
        <v>143</v>
      </c>
      <c r="IW24" s="2" t="s">
        <v>143</v>
      </c>
      <c r="IX24" s="2" t="s">
        <v>143</v>
      </c>
      <c r="IY24" s="2" t="s">
        <v>143</v>
      </c>
      <c r="IZ24" s="2" t="s">
        <v>143</v>
      </c>
      <c r="JA24" s="24"/>
      <c r="JB24" s="24"/>
      <c r="JC24" s="2" t="s">
        <v>143</v>
      </c>
      <c r="JD24" s="2" t="s">
        <v>143</v>
      </c>
      <c r="JE24" s="2" t="s">
        <v>143</v>
      </c>
      <c r="JF24" s="2" t="s">
        <v>143</v>
      </c>
      <c r="JG24" s="2" t="s">
        <v>143</v>
      </c>
      <c r="JH24" s="24"/>
      <c r="JI24" s="24"/>
      <c r="JJ24" s="2" t="s">
        <v>143</v>
      </c>
      <c r="JK24" s="2" t="s">
        <v>143</v>
      </c>
      <c r="JL24" s="2" t="s">
        <v>143</v>
      </c>
      <c r="JM24" s="2" t="s">
        <v>143</v>
      </c>
      <c r="JN24" s="2" t="s">
        <v>143</v>
      </c>
      <c r="JO24" s="24"/>
      <c r="JP24" s="24"/>
      <c r="JQ24" s="2" t="s">
        <v>143</v>
      </c>
      <c r="JR24" s="2" t="s">
        <v>143</v>
      </c>
      <c r="JS24" s="2" t="s">
        <v>143</v>
      </c>
      <c r="JT24" s="2" t="s">
        <v>143</v>
      </c>
      <c r="JU24" s="11" t="s">
        <v>141</v>
      </c>
      <c r="JV24" s="24"/>
      <c r="JW24" s="24"/>
      <c r="JX24" s="2" t="s">
        <v>143</v>
      </c>
      <c r="JY24" s="2" t="s">
        <v>143</v>
      </c>
      <c r="JZ24" s="2" t="s">
        <v>143</v>
      </c>
      <c r="KA24" s="2" t="s">
        <v>143</v>
      </c>
      <c r="KB24" s="2" t="s">
        <v>143</v>
      </c>
      <c r="KC24" s="24"/>
      <c r="KD24" s="24"/>
      <c r="KE24" s="2" t="s">
        <v>143</v>
      </c>
      <c r="KF24" s="2" t="s">
        <v>143</v>
      </c>
      <c r="KG24" s="2" t="s">
        <v>143</v>
      </c>
      <c r="KH24" s="2" t="s">
        <v>143</v>
      </c>
      <c r="KI24" s="2" t="s">
        <v>143</v>
      </c>
      <c r="KJ24" s="24"/>
      <c r="KK24" s="24"/>
      <c r="KL24" s="2" t="s">
        <v>143</v>
      </c>
      <c r="KM24" s="2" t="s">
        <v>143</v>
      </c>
      <c r="KN24" s="2" t="s">
        <v>143</v>
      </c>
      <c r="KO24" s="2" t="s">
        <v>143</v>
      </c>
      <c r="KP24" s="2" t="s">
        <v>143</v>
      </c>
      <c r="KQ24" s="24"/>
      <c r="KR24" s="24"/>
      <c r="KS24" s="11" t="s">
        <v>141</v>
      </c>
      <c r="KT24" s="11" t="s">
        <v>141</v>
      </c>
      <c r="KU24" s="24"/>
      <c r="KV24" s="24"/>
      <c r="KW24" s="11" t="s">
        <v>141</v>
      </c>
      <c r="KX24" s="24"/>
      <c r="KY24" s="24"/>
      <c r="KZ24" s="11" t="s">
        <v>141</v>
      </c>
      <c r="LA24" s="11" t="s">
        <v>141</v>
      </c>
      <c r="LB24" s="33"/>
      <c r="LC24" s="33"/>
      <c r="LD24" s="33"/>
      <c r="LE24" s="33"/>
      <c r="LF24" s="33"/>
    </row>
    <row r="25" spans="1:466">
      <c r="A25" s="50" t="s">
        <v>199</v>
      </c>
      <c r="B25" s="50" t="s">
        <v>15</v>
      </c>
      <c r="C25" s="50" t="s">
        <v>170</v>
      </c>
      <c r="D25" s="8" t="s">
        <v>143</v>
      </c>
      <c r="E25" s="8" t="s">
        <v>143</v>
      </c>
      <c r="F25" s="8" t="s">
        <v>143</v>
      </c>
      <c r="G25" s="8" t="s">
        <v>143</v>
      </c>
      <c r="H25" s="8" t="s">
        <v>143</v>
      </c>
      <c r="I25" s="7"/>
      <c r="J25" s="7"/>
      <c r="K25" s="8" t="s">
        <v>143</v>
      </c>
      <c r="L25" s="8" t="s">
        <v>143</v>
      </c>
      <c r="M25" s="8" t="s">
        <v>143</v>
      </c>
      <c r="N25" s="8" t="s">
        <v>143</v>
      </c>
      <c r="O25" s="8" t="s">
        <v>143</v>
      </c>
      <c r="P25" s="7"/>
      <c r="Q25" s="7"/>
      <c r="R25" s="8" t="s">
        <v>143</v>
      </c>
      <c r="S25" s="8" t="s">
        <v>143</v>
      </c>
      <c r="T25" s="8" t="s">
        <v>143</v>
      </c>
      <c r="U25" s="8" t="s">
        <v>143</v>
      </c>
      <c r="V25" s="8" t="s">
        <v>143</v>
      </c>
      <c r="W25" s="7"/>
      <c r="X25" s="7"/>
      <c r="Y25" s="8" t="s">
        <v>143</v>
      </c>
      <c r="Z25" s="8" t="s">
        <v>143</v>
      </c>
      <c r="AA25" s="8" t="s">
        <v>143</v>
      </c>
      <c r="AB25" s="8" t="s">
        <v>143</v>
      </c>
      <c r="AC25" s="8" t="s">
        <v>143</v>
      </c>
      <c r="AD25" s="7"/>
      <c r="AE25" s="7"/>
      <c r="AF25" s="8" t="s">
        <v>143</v>
      </c>
      <c r="AG25" s="8" t="s">
        <v>143</v>
      </c>
      <c r="AH25" s="12" t="s">
        <v>140</v>
      </c>
      <c r="AI25" s="12" t="s">
        <v>140</v>
      </c>
      <c r="AJ25" s="7" t="s">
        <v>142</v>
      </c>
      <c r="AK25" s="7"/>
      <c r="AL25" s="7"/>
      <c r="AM25" s="7" t="s">
        <v>142</v>
      </c>
      <c r="AN25" s="6"/>
      <c r="AO25" s="6"/>
      <c r="AP25" s="6"/>
      <c r="AQ25" s="6"/>
      <c r="AR25" s="7"/>
      <c r="AS25" s="7"/>
      <c r="AT25" s="8" t="s">
        <v>143</v>
      </c>
      <c r="AU25" s="8" t="s">
        <v>143</v>
      </c>
      <c r="AV25" s="8" t="s">
        <v>143</v>
      </c>
      <c r="AW25" s="8" t="s">
        <v>143</v>
      </c>
      <c r="AX25" s="8" t="s">
        <v>143</v>
      </c>
      <c r="AY25" s="7"/>
      <c r="AZ25" s="7"/>
      <c r="BA25" s="8" t="s">
        <v>143</v>
      </c>
      <c r="BB25" s="8" t="s">
        <v>143</v>
      </c>
      <c r="BC25" s="8" t="s">
        <v>143</v>
      </c>
      <c r="BD25" s="8" t="s">
        <v>143</v>
      </c>
      <c r="BE25" s="8" t="s">
        <v>143</v>
      </c>
      <c r="BF25" s="7"/>
      <c r="BG25" s="7"/>
      <c r="BH25" s="11" t="s">
        <v>141</v>
      </c>
      <c r="BI25" s="11" t="s">
        <v>141</v>
      </c>
      <c r="BJ25" s="11" t="s">
        <v>141</v>
      </c>
      <c r="BK25" s="11" t="s">
        <v>141</v>
      </c>
      <c r="BL25" s="11" t="s">
        <v>141</v>
      </c>
      <c r="BM25" s="7"/>
      <c r="BN25" s="7"/>
      <c r="BO25" s="8" t="s">
        <v>143</v>
      </c>
      <c r="BP25" s="8" t="s">
        <v>143</v>
      </c>
      <c r="BQ25" s="8" t="s">
        <v>143</v>
      </c>
      <c r="BR25" s="8" t="s">
        <v>143</v>
      </c>
      <c r="BS25" s="8" t="s">
        <v>143</v>
      </c>
      <c r="BT25" s="7"/>
      <c r="BU25" s="7"/>
      <c r="BV25" s="7" t="s">
        <v>142</v>
      </c>
      <c r="BW25" s="8" t="s">
        <v>143</v>
      </c>
      <c r="BX25" s="8" t="s">
        <v>143</v>
      </c>
      <c r="BY25" s="8" t="s">
        <v>143</v>
      </c>
      <c r="BZ25" s="8" t="s">
        <v>143</v>
      </c>
      <c r="CA25" s="7"/>
      <c r="CB25" s="7"/>
      <c r="CC25" s="8" t="s">
        <v>143</v>
      </c>
      <c r="CD25" s="8" t="s">
        <v>143</v>
      </c>
      <c r="CE25" s="8" t="s">
        <v>143</v>
      </c>
      <c r="CF25" s="8" t="s">
        <v>143</v>
      </c>
      <c r="CG25" s="8" t="s">
        <v>143</v>
      </c>
      <c r="CH25" s="3"/>
      <c r="CI25" s="3"/>
      <c r="CJ25" s="2" t="s">
        <v>143</v>
      </c>
      <c r="CK25" s="2" t="s">
        <v>143</v>
      </c>
      <c r="CL25" s="2" t="s">
        <v>143</v>
      </c>
      <c r="CM25" s="2" t="s">
        <v>143</v>
      </c>
      <c r="CN25" s="2" t="s">
        <v>143</v>
      </c>
      <c r="CO25" s="3"/>
      <c r="CP25" s="3"/>
      <c r="CQ25" s="3"/>
      <c r="CR25" s="2" t="s">
        <v>143</v>
      </c>
      <c r="CS25" s="2" t="s">
        <v>143</v>
      </c>
      <c r="CT25" s="2" t="s">
        <v>143</v>
      </c>
      <c r="CU25" s="2" t="s">
        <v>143</v>
      </c>
      <c r="CV25" s="3"/>
      <c r="CW25" s="3"/>
      <c r="CX25" s="2" t="s">
        <v>143</v>
      </c>
      <c r="CY25" s="2" t="s">
        <v>143</v>
      </c>
      <c r="CZ25" s="2" t="s">
        <v>143</v>
      </c>
      <c r="DA25" s="2" t="s">
        <v>143</v>
      </c>
      <c r="DB25" s="2" t="s">
        <v>143</v>
      </c>
      <c r="DC25" s="3"/>
      <c r="DD25" s="3"/>
      <c r="DE25" s="2" t="s">
        <v>143</v>
      </c>
      <c r="DF25" s="2" t="s">
        <v>143</v>
      </c>
      <c r="DG25" s="2" t="s">
        <v>143</v>
      </c>
      <c r="DH25" s="2" t="s">
        <v>143</v>
      </c>
      <c r="DI25" s="2" t="s">
        <v>143</v>
      </c>
      <c r="DJ25" s="24"/>
      <c r="DK25" s="24"/>
      <c r="DL25" s="2" t="s">
        <v>143</v>
      </c>
      <c r="DM25" s="2" t="s">
        <v>143</v>
      </c>
      <c r="DN25" s="2" t="s">
        <v>143</v>
      </c>
      <c r="DO25" s="2" t="s">
        <v>143</v>
      </c>
      <c r="DP25" s="2" t="s">
        <v>143</v>
      </c>
      <c r="DQ25" s="24"/>
      <c r="DR25" s="24"/>
      <c r="DS25" s="2" t="s">
        <v>143</v>
      </c>
      <c r="DT25" s="2" t="s">
        <v>143</v>
      </c>
      <c r="DU25" s="2" t="s">
        <v>143</v>
      </c>
      <c r="DV25" s="2" t="s">
        <v>143</v>
      </c>
      <c r="DW25" s="2" t="s">
        <v>143</v>
      </c>
      <c r="DX25" s="24"/>
      <c r="DY25" s="24"/>
      <c r="DZ25" s="2" t="s">
        <v>143</v>
      </c>
      <c r="EA25" s="2" t="s">
        <v>143</v>
      </c>
      <c r="EB25" s="2" t="s">
        <v>143</v>
      </c>
      <c r="EC25" s="2" t="s">
        <v>143</v>
      </c>
      <c r="ED25" s="2" t="s">
        <v>143</v>
      </c>
      <c r="EE25" s="24"/>
      <c r="EF25" s="24"/>
      <c r="EG25" s="2" t="s">
        <v>143</v>
      </c>
      <c r="EH25" s="2" t="s">
        <v>143</v>
      </c>
      <c r="EI25" s="2" t="s">
        <v>143</v>
      </c>
      <c r="EJ25" s="2" t="s">
        <v>143</v>
      </c>
      <c r="EK25" s="2" t="s">
        <v>143</v>
      </c>
      <c r="EL25" s="24"/>
      <c r="EM25" s="24"/>
      <c r="EN25" s="2" t="s">
        <v>143</v>
      </c>
      <c r="EO25" s="2" t="s">
        <v>143</v>
      </c>
      <c r="EP25" s="2" t="s">
        <v>143</v>
      </c>
      <c r="EQ25" s="2" t="s">
        <v>143</v>
      </c>
      <c r="ER25" s="2" t="s">
        <v>143</v>
      </c>
      <c r="ES25" s="24"/>
      <c r="ET25" s="24"/>
      <c r="EU25" s="2" t="s">
        <v>143</v>
      </c>
      <c r="EV25" s="2" t="s">
        <v>143</v>
      </c>
      <c r="EW25" s="2" t="s">
        <v>143</v>
      </c>
      <c r="EX25" s="2" t="s">
        <v>143</v>
      </c>
      <c r="EY25" s="2" t="s">
        <v>143</v>
      </c>
      <c r="EZ25" s="24"/>
      <c r="FA25" s="24"/>
      <c r="FB25" s="2" t="s">
        <v>143</v>
      </c>
      <c r="FC25" s="2" t="s">
        <v>143</v>
      </c>
      <c r="FD25" s="2" t="s">
        <v>143</v>
      </c>
      <c r="FE25" s="2" t="s">
        <v>143</v>
      </c>
      <c r="FF25" s="2" t="s">
        <v>143</v>
      </c>
      <c r="FG25" s="24"/>
      <c r="FH25" s="24"/>
      <c r="FI25" s="2" t="s">
        <v>143</v>
      </c>
      <c r="FJ25" s="2" t="s">
        <v>143</v>
      </c>
      <c r="FK25" s="11" t="s">
        <v>141</v>
      </c>
      <c r="FL25" s="11" t="s">
        <v>141</v>
      </c>
      <c r="FM25" s="11" t="s">
        <v>141</v>
      </c>
      <c r="FN25" s="24"/>
      <c r="FO25" s="24"/>
      <c r="FP25" s="2" t="s">
        <v>143</v>
      </c>
      <c r="FQ25" s="2" t="s">
        <v>143</v>
      </c>
      <c r="FR25" s="2" t="s">
        <v>143</v>
      </c>
      <c r="FS25" s="2" t="s">
        <v>143</v>
      </c>
      <c r="FT25" s="2" t="s">
        <v>143</v>
      </c>
      <c r="FU25" s="24"/>
      <c r="FV25" s="24"/>
      <c r="FW25" s="2" t="s">
        <v>143</v>
      </c>
      <c r="FX25" s="2" t="s">
        <v>143</v>
      </c>
      <c r="FY25" s="11" t="s">
        <v>141</v>
      </c>
      <c r="FZ25" s="11" t="s">
        <v>141</v>
      </c>
      <c r="GA25" s="11" t="s">
        <v>141</v>
      </c>
      <c r="GB25" s="24"/>
      <c r="GC25" s="24"/>
      <c r="GD25" s="24"/>
      <c r="GE25" s="2" t="s">
        <v>143</v>
      </c>
      <c r="GF25" s="2" t="s">
        <v>143</v>
      </c>
      <c r="GG25" s="2" t="s">
        <v>143</v>
      </c>
      <c r="GH25" s="2" t="s">
        <v>143</v>
      </c>
      <c r="GI25" s="24"/>
      <c r="GJ25" s="24"/>
      <c r="GK25" s="2" t="s">
        <v>143</v>
      </c>
      <c r="GL25" s="2" t="s">
        <v>143</v>
      </c>
      <c r="GM25" s="2" t="s">
        <v>143</v>
      </c>
      <c r="GN25" s="2" t="s">
        <v>143</v>
      </c>
      <c r="GO25" s="2" t="s">
        <v>143</v>
      </c>
      <c r="GP25" s="24"/>
      <c r="GQ25" s="24"/>
      <c r="GR25" s="2" t="s">
        <v>143</v>
      </c>
      <c r="GS25" s="2" t="s">
        <v>143</v>
      </c>
      <c r="GT25" s="2" t="s">
        <v>143</v>
      </c>
      <c r="GU25" s="2" t="s">
        <v>143</v>
      </c>
      <c r="GV25" s="2" t="s">
        <v>143</v>
      </c>
      <c r="GW25" s="24"/>
      <c r="GX25" s="24"/>
      <c r="GY25" s="2" t="s">
        <v>143</v>
      </c>
      <c r="GZ25" s="2" t="s">
        <v>143</v>
      </c>
      <c r="HA25" s="2" t="s">
        <v>143</v>
      </c>
      <c r="HB25" s="2" t="s">
        <v>143</v>
      </c>
      <c r="HC25" s="2" t="s">
        <v>143</v>
      </c>
      <c r="HD25" s="24"/>
      <c r="HE25" s="24"/>
      <c r="HF25" s="2" t="s">
        <v>143</v>
      </c>
      <c r="HG25" s="2" t="s">
        <v>143</v>
      </c>
      <c r="HH25" s="2" t="s">
        <v>143</v>
      </c>
      <c r="HI25" s="2" t="s">
        <v>143</v>
      </c>
      <c r="HJ25" s="2" t="s">
        <v>143</v>
      </c>
      <c r="HK25" s="24"/>
      <c r="HL25" s="24"/>
      <c r="HM25" s="11" t="s">
        <v>141</v>
      </c>
      <c r="HN25" s="11" t="s">
        <v>141</v>
      </c>
      <c r="HO25" s="11" t="s">
        <v>141</v>
      </c>
      <c r="HP25" s="11" t="s">
        <v>141</v>
      </c>
      <c r="HQ25" s="11" t="s">
        <v>141</v>
      </c>
      <c r="HR25" s="24"/>
      <c r="HS25" s="24"/>
      <c r="HT25" s="11" t="s">
        <v>141</v>
      </c>
      <c r="HU25" s="11" t="s">
        <v>141</v>
      </c>
      <c r="HV25" s="11" t="s">
        <v>141</v>
      </c>
      <c r="HW25" s="11" t="s">
        <v>141</v>
      </c>
      <c r="HX25" s="11" t="s">
        <v>141</v>
      </c>
      <c r="HY25" s="24"/>
      <c r="HZ25" s="24"/>
      <c r="IA25" s="11" t="s">
        <v>141</v>
      </c>
      <c r="IB25" s="11" t="s">
        <v>141</v>
      </c>
      <c r="IC25" s="11" t="s">
        <v>141</v>
      </c>
      <c r="ID25" s="11" t="s">
        <v>141</v>
      </c>
      <c r="IE25" s="11" t="s">
        <v>141</v>
      </c>
      <c r="IF25" s="24"/>
      <c r="IG25" s="24"/>
      <c r="IH25" s="11" t="s">
        <v>141</v>
      </c>
      <c r="II25" s="11" t="s">
        <v>141</v>
      </c>
      <c r="IJ25" s="11" t="s">
        <v>141</v>
      </c>
      <c r="IK25" s="11" t="s">
        <v>141</v>
      </c>
      <c r="IL25" s="11" t="s">
        <v>141</v>
      </c>
      <c r="IM25" s="24"/>
      <c r="IN25" s="24"/>
      <c r="IO25" s="11" t="s">
        <v>141</v>
      </c>
      <c r="IP25" s="11" t="s">
        <v>141</v>
      </c>
      <c r="IQ25" s="11" t="s">
        <v>141</v>
      </c>
      <c r="IR25" s="11" t="s">
        <v>141</v>
      </c>
      <c r="IS25" s="11" t="s">
        <v>141</v>
      </c>
      <c r="IT25" s="24"/>
      <c r="IU25" s="24"/>
      <c r="IV25" s="11" t="s">
        <v>141</v>
      </c>
      <c r="IW25" s="11" t="s">
        <v>141</v>
      </c>
      <c r="IX25" s="11" t="s">
        <v>141</v>
      </c>
      <c r="IY25" s="11" t="s">
        <v>141</v>
      </c>
      <c r="IZ25" s="11" t="s">
        <v>141</v>
      </c>
      <c r="JA25" s="24"/>
      <c r="JB25" s="24"/>
      <c r="JC25" s="11" t="s">
        <v>141</v>
      </c>
      <c r="JD25" s="11" t="s">
        <v>141</v>
      </c>
      <c r="JE25" s="11" t="s">
        <v>141</v>
      </c>
      <c r="JF25" s="11" t="s">
        <v>141</v>
      </c>
      <c r="JG25" s="11" t="s">
        <v>141</v>
      </c>
      <c r="JH25" s="24"/>
      <c r="JI25" s="24"/>
      <c r="JJ25" s="11" t="s">
        <v>141</v>
      </c>
      <c r="JK25" s="11" t="s">
        <v>141</v>
      </c>
      <c r="JL25" s="11" t="s">
        <v>141</v>
      </c>
      <c r="JM25" s="11" t="s">
        <v>141</v>
      </c>
      <c r="JN25" s="11" t="s">
        <v>141</v>
      </c>
      <c r="JO25" s="24"/>
      <c r="JP25" s="24"/>
      <c r="JQ25" s="11" t="s">
        <v>141</v>
      </c>
      <c r="JR25" s="11" t="s">
        <v>141</v>
      </c>
      <c r="JS25" s="11" t="s">
        <v>141</v>
      </c>
      <c r="JT25" s="11" t="s">
        <v>141</v>
      </c>
      <c r="JU25" s="11" t="s">
        <v>141</v>
      </c>
      <c r="JV25" s="24"/>
      <c r="JW25" s="24"/>
      <c r="JX25" s="11" t="s">
        <v>141</v>
      </c>
      <c r="JY25" s="11" t="s">
        <v>141</v>
      </c>
      <c r="JZ25" s="11" t="s">
        <v>141</v>
      </c>
      <c r="KA25" s="11" t="s">
        <v>141</v>
      </c>
      <c r="KB25" s="11" t="s">
        <v>141</v>
      </c>
      <c r="KC25" s="24"/>
      <c r="KD25" s="24"/>
      <c r="KE25" s="11" t="s">
        <v>141</v>
      </c>
      <c r="KF25" s="11" t="s">
        <v>141</v>
      </c>
      <c r="KG25" s="11" t="s">
        <v>141</v>
      </c>
      <c r="KH25" s="11" t="s">
        <v>141</v>
      </c>
      <c r="KI25" s="11" t="s">
        <v>141</v>
      </c>
      <c r="KJ25" s="24"/>
      <c r="KK25" s="24"/>
      <c r="KL25" s="11" t="s">
        <v>141</v>
      </c>
      <c r="KM25" s="11" t="s">
        <v>141</v>
      </c>
      <c r="KN25" s="11" t="s">
        <v>141</v>
      </c>
      <c r="KO25" s="11" t="s">
        <v>141</v>
      </c>
      <c r="KP25" s="11" t="s">
        <v>141</v>
      </c>
      <c r="KQ25" s="24"/>
      <c r="KR25" s="24"/>
      <c r="KS25" s="11" t="s">
        <v>141</v>
      </c>
      <c r="KT25" s="11" t="s">
        <v>141</v>
      </c>
      <c r="KU25" s="24"/>
      <c r="KV25" s="24"/>
      <c r="KW25" s="11" t="s">
        <v>141</v>
      </c>
      <c r="KX25" s="24"/>
      <c r="KY25" s="24"/>
      <c r="KZ25" s="11" t="s">
        <v>141</v>
      </c>
      <c r="LA25" s="11" t="s">
        <v>141</v>
      </c>
      <c r="LB25" s="33"/>
      <c r="LC25" s="33"/>
      <c r="LD25" s="33"/>
      <c r="LE25" s="33"/>
      <c r="LF25" s="33"/>
    </row>
    <row r="26" spans="1:466">
      <c r="A26" s="50" t="s">
        <v>200</v>
      </c>
      <c r="B26" s="50" t="s">
        <v>15</v>
      </c>
      <c r="C26" s="50" t="s">
        <v>15</v>
      </c>
      <c r="D26" s="8" t="s">
        <v>143</v>
      </c>
      <c r="E26" s="8" t="s">
        <v>143</v>
      </c>
      <c r="F26" s="8" t="s">
        <v>143</v>
      </c>
      <c r="G26" s="8" t="s">
        <v>143</v>
      </c>
      <c r="H26" s="8" t="s">
        <v>143</v>
      </c>
      <c r="I26" s="7"/>
      <c r="J26" s="7"/>
      <c r="K26" s="8" t="s">
        <v>143</v>
      </c>
      <c r="L26" s="8" t="s">
        <v>143</v>
      </c>
      <c r="M26" s="8" t="s">
        <v>143</v>
      </c>
      <c r="N26" s="8" t="s">
        <v>143</v>
      </c>
      <c r="O26" s="8" t="s">
        <v>143</v>
      </c>
      <c r="P26" s="7"/>
      <c r="Q26" s="7"/>
      <c r="R26" s="8" t="s">
        <v>143</v>
      </c>
      <c r="S26" s="8" t="s">
        <v>143</v>
      </c>
      <c r="T26" s="8" t="s">
        <v>143</v>
      </c>
      <c r="U26" s="8" t="s">
        <v>143</v>
      </c>
      <c r="V26" s="8" t="s">
        <v>143</v>
      </c>
      <c r="W26" s="7"/>
      <c r="X26" s="7"/>
      <c r="Y26" s="8" t="s">
        <v>143</v>
      </c>
      <c r="Z26" s="8" t="s">
        <v>143</v>
      </c>
      <c r="AA26" s="8" t="s">
        <v>143</v>
      </c>
      <c r="AB26" s="8" t="s">
        <v>143</v>
      </c>
      <c r="AD26" s="7"/>
      <c r="AE26" s="7"/>
      <c r="AJ26" s="7" t="s">
        <v>142</v>
      </c>
      <c r="AK26" s="7"/>
      <c r="AL26" s="7"/>
      <c r="AM26" s="7" t="s">
        <v>142</v>
      </c>
      <c r="AN26" s="6"/>
      <c r="AO26" s="6"/>
      <c r="AP26" s="6"/>
      <c r="AR26" s="7"/>
      <c r="AS26" s="7"/>
      <c r="AT26" s="8" t="s">
        <v>143</v>
      </c>
      <c r="AU26" s="8" t="s">
        <v>143</v>
      </c>
      <c r="AV26" s="8" t="s">
        <v>143</v>
      </c>
      <c r="AW26" s="8" t="s">
        <v>143</v>
      </c>
      <c r="AX26" s="8" t="s">
        <v>143</v>
      </c>
      <c r="AY26" s="7"/>
      <c r="AZ26" s="7"/>
      <c r="BA26" s="8" t="s">
        <v>143</v>
      </c>
      <c r="BB26" s="8" t="s">
        <v>143</v>
      </c>
      <c r="BC26" s="8" t="s">
        <v>143</v>
      </c>
      <c r="BD26" s="8" t="s">
        <v>143</v>
      </c>
      <c r="BE26" s="8" t="s">
        <v>143</v>
      </c>
      <c r="BF26" s="7"/>
      <c r="BG26" s="7"/>
      <c r="BH26" s="8" t="s">
        <v>143</v>
      </c>
      <c r="BI26" s="8" t="s">
        <v>143</v>
      </c>
      <c r="BJ26" s="8" t="s">
        <v>143</v>
      </c>
      <c r="BK26" s="8" t="s">
        <v>143</v>
      </c>
      <c r="BL26" s="8" t="s">
        <v>143</v>
      </c>
      <c r="BM26" s="7"/>
      <c r="BN26" s="7"/>
      <c r="BO26" s="8" t="s">
        <v>143</v>
      </c>
      <c r="BP26" s="8" t="s">
        <v>143</v>
      </c>
      <c r="BQ26" s="8" t="s">
        <v>143</v>
      </c>
      <c r="BR26" s="8" t="s">
        <v>143</v>
      </c>
      <c r="BS26" s="8" t="s">
        <v>143</v>
      </c>
      <c r="BT26" s="7"/>
      <c r="BU26" s="7"/>
      <c r="BV26" s="7" t="s">
        <v>142</v>
      </c>
      <c r="BW26" s="8" t="s">
        <v>143</v>
      </c>
      <c r="BX26" s="8" t="s">
        <v>143</v>
      </c>
      <c r="BY26" s="8" t="s">
        <v>143</v>
      </c>
      <c r="BZ26" s="8" t="s">
        <v>143</v>
      </c>
      <c r="CA26" s="7"/>
      <c r="CB26" s="7"/>
      <c r="CC26" s="8" t="s">
        <v>143</v>
      </c>
      <c r="CD26" s="8" t="s">
        <v>143</v>
      </c>
      <c r="CE26" s="8" t="s">
        <v>143</v>
      </c>
      <c r="CF26" s="8" t="s">
        <v>143</v>
      </c>
      <c r="CG26" s="8" t="s">
        <v>143</v>
      </c>
      <c r="CH26" s="3"/>
      <c r="CI26" s="3"/>
      <c r="CJ26" s="33"/>
      <c r="CK26" s="2" t="s">
        <v>143</v>
      </c>
      <c r="CL26" s="2" t="s">
        <v>143</v>
      </c>
      <c r="CM26" s="2" t="s">
        <v>143</v>
      </c>
      <c r="CN26" s="2" t="s">
        <v>143</v>
      </c>
      <c r="CO26" s="3"/>
      <c r="CP26" s="3"/>
      <c r="CQ26" s="3"/>
      <c r="CR26" s="11" t="s">
        <v>141</v>
      </c>
      <c r="CS26" s="11" t="s">
        <v>141</v>
      </c>
      <c r="CT26" s="11" t="s">
        <v>141</v>
      </c>
      <c r="CU26" s="11" t="s">
        <v>141</v>
      </c>
      <c r="CV26" s="3"/>
      <c r="CW26" s="3"/>
      <c r="CX26" s="2" t="s">
        <v>143</v>
      </c>
      <c r="CY26" s="2" t="s">
        <v>143</v>
      </c>
      <c r="CZ26" s="2" t="s">
        <v>143</v>
      </c>
      <c r="DA26" s="2" t="s">
        <v>143</v>
      </c>
      <c r="DB26" s="11" t="s">
        <v>141</v>
      </c>
      <c r="DC26" s="3"/>
      <c r="DD26" s="3"/>
      <c r="DE26" s="2" t="s">
        <v>143</v>
      </c>
      <c r="DF26" s="2" t="s">
        <v>143</v>
      </c>
      <c r="DG26" s="2" t="s">
        <v>143</v>
      </c>
      <c r="DH26" s="2" t="s">
        <v>143</v>
      </c>
      <c r="DI26" s="2" t="s">
        <v>143</v>
      </c>
      <c r="DJ26" s="24"/>
      <c r="DK26" s="24"/>
      <c r="DL26" s="2" t="s">
        <v>143</v>
      </c>
      <c r="DM26" s="2" t="s">
        <v>143</v>
      </c>
      <c r="DN26" s="2" t="s">
        <v>143</v>
      </c>
      <c r="DO26" s="2" t="s">
        <v>143</v>
      </c>
      <c r="DP26" s="2" t="s">
        <v>143</v>
      </c>
      <c r="DQ26" s="24"/>
      <c r="DR26" s="24"/>
      <c r="DS26" s="2" t="s">
        <v>143</v>
      </c>
      <c r="DT26" s="2" t="s">
        <v>143</v>
      </c>
      <c r="DU26" s="2" t="s">
        <v>143</v>
      </c>
      <c r="DV26" s="2" t="s">
        <v>143</v>
      </c>
      <c r="DW26" s="2" t="s">
        <v>143</v>
      </c>
      <c r="DX26" s="24"/>
      <c r="DY26" s="24"/>
      <c r="DZ26" s="2" t="s">
        <v>143</v>
      </c>
      <c r="EA26" s="2" t="s">
        <v>143</v>
      </c>
      <c r="EB26" s="2" t="s">
        <v>143</v>
      </c>
      <c r="EC26" s="2" t="s">
        <v>143</v>
      </c>
      <c r="ED26" s="2" t="s">
        <v>143</v>
      </c>
      <c r="EE26" s="24"/>
      <c r="EF26" s="24"/>
      <c r="EG26" s="2" t="s">
        <v>143</v>
      </c>
      <c r="EH26" s="2" t="s">
        <v>143</v>
      </c>
      <c r="EI26" s="2" t="s">
        <v>143</v>
      </c>
      <c r="EJ26" s="2" t="s">
        <v>143</v>
      </c>
      <c r="EK26" s="2" t="s">
        <v>143</v>
      </c>
      <c r="EL26" s="24"/>
      <c r="EM26" s="24"/>
      <c r="EN26" s="2" t="s">
        <v>143</v>
      </c>
      <c r="EO26" s="2" t="s">
        <v>143</v>
      </c>
      <c r="EP26" s="2" t="s">
        <v>143</v>
      </c>
      <c r="EQ26" s="2" t="s">
        <v>143</v>
      </c>
      <c r="ER26" s="2" t="s">
        <v>143</v>
      </c>
      <c r="ES26" s="24"/>
      <c r="ET26" s="24"/>
      <c r="EU26" s="2" t="s">
        <v>143</v>
      </c>
      <c r="EV26" s="2" t="s">
        <v>143</v>
      </c>
      <c r="EW26" s="2" t="s">
        <v>143</v>
      </c>
      <c r="EX26" s="2" t="s">
        <v>143</v>
      </c>
      <c r="EY26" s="2" t="s">
        <v>143</v>
      </c>
      <c r="EZ26" s="24"/>
      <c r="FA26" s="24"/>
      <c r="FB26" s="2" t="s">
        <v>143</v>
      </c>
      <c r="FC26" s="11" t="s">
        <v>141</v>
      </c>
      <c r="FD26" s="2" t="s">
        <v>143</v>
      </c>
      <c r="FE26" s="2" t="s">
        <v>143</v>
      </c>
      <c r="FF26" s="2" t="s">
        <v>143</v>
      </c>
      <c r="FG26" s="24"/>
      <c r="FH26" s="24"/>
      <c r="FI26" s="2" t="s">
        <v>143</v>
      </c>
      <c r="FJ26" s="2" t="s">
        <v>143</v>
      </c>
      <c r="FK26" s="2" t="s">
        <v>143</v>
      </c>
      <c r="FL26" s="2" t="s">
        <v>143</v>
      </c>
      <c r="FM26" s="2" t="s">
        <v>143</v>
      </c>
      <c r="FN26" s="24"/>
      <c r="FO26" s="24"/>
      <c r="FP26" s="2" t="s">
        <v>143</v>
      </c>
      <c r="FQ26" s="2" t="s">
        <v>143</v>
      </c>
      <c r="FR26" s="2" t="s">
        <v>143</v>
      </c>
      <c r="FS26" s="2" t="s">
        <v>143</v>
      </c>
      <c r="FT26" s="2" t="s">
        <v>143</v>
      </c>
      <c r="FU26" s="24"/>
      <c r="FV26" s="24"/>
      <c r="FW26" s="2" t="s">
        <v>143</v>
      </c>
      <c r="FX26" s="2" t="s">
        <v>143</v>
      </c>
      <c r="FY26" s="2" t="s">
        <v>143</v>
      </c>
      <c r="FZ26" s="2" t="s">
        <v>143</v>
      </c>
      <c r="GA26" s="2" t="s">
        <v>143</v>
      </c>
      <c r="GB26" s="24"/>
      <c r="GC26" s="24"/>
      <c r="GD26" s="24"/>
      <c r="GE26" s="11" t="s">
        <v>141</v>
      </c>
      <c r="GF26" s="11" t="s">
        <v>141</v>
      </c>
      <c r="GG26" s="11" t="s">
        <v>141</v>
      </c>
      <c r="GH26" s="11" t="s">
        <v>141</v>
      </c>
      <c r="GI26" s="24"/>
      <c r="GJ26" s="24"/>
      <c r="GK26" s="2" t="s">
        <v>143</v>
      </c>
      <c r="GL26" s="2" t="s">
        <v>143</v>
      </c>
      <c r="GM26" s="2" t="s">
        <v>143</v>
      </c>
      <c r="GN26" s="2" t="s">
        <v>143</v>
      </c>
      <c r="GO26" s="2" t="s">
        <v>143</v>
      </c>
      <c r="GP26" s="24"/>
      <c r="GQ26" s="24"/>
      <c r="GR26" s="2" t="s">
        <v>143</v>
      </c>
      <c r="GS26" s="2" t="s">
        <v>143</v>
      </c>
      <c r="GT26" s="2" t="s">
        <v>143</v>
      </c>
      <c r="GU26" s="2" t="s">
        <v>143</v>
      </c>
      <c r="GV26" s="2" t="s">
        <v>143</v>
      </c>
      <c r="GW26" s="24"/>
      <c r="GX26" s="24"/>
      <c r="GY26" s="2" t="s">
        <v>143</v>
      </c>
      <c r="GZ26" s="2" t="s">
        <v>143</v>
      </c>
      <c r="HA26" s="2" t="s">
        <v>143</v>
      </c>
      <c r="HB26" s="2" t="s">
        <v>143</v>
      </c>
      <c r="HC26" s="2" t="s">
        <v>143</v>
      </c>
      <c r="HD26" s="24"/>
      <c r="HE26" s="24"/>
      <c r="HF26" s="2" t="s">
        <v>143</v>
      </c>
      <c r="HG26" s="2" t="s">
        <v>143</v>
      </c>
      <c r="HH26" s="2" t="s">
        <v>143</v>
      </c>
      <c r="HI26" s="2" t="s">
        <v>143</v>
      </c>
      <c r="HJ26" s="2" t="s">
        <v>143</v>
      </c>
      <c r="HK26" s="24"/>
      <c r="HL26" s="24"/>
      <c r="HM26" s="2" t="s">
        <v>143</v>
      </c>
      <c r="HN26" s="2" t="s">
        <v>143</v>
      </c>
      <c r="HO26" s="2" t="s">
        <v>143</v>
      </c>
      <c r="HP26" s="2" t="s">
        <v>143</v>
      </c>
      <c r="HQ26" s="2" t="s">
        <v>143</v>
      </c>
      <c r="HR26" s="24"/>
      <c r="HS26" s="24"/>
      <c r="HT26" s="2" t="s">
        <v>143</v>
      </c>
      <c r="HU26" s="2" t="s">
        <v>143</v>
      </c>
      <c r="HV26" s="2" t="s">
        <v>143</v>
      </c>
      <c r="HW26" s="2" t="s">
        <v>143</v>
      </c>
      <c r="HX26" s="2" t="s">
        <v>143</v>
      </c>
      <c r="HY26" s="24"/>
      <c r="HZ26" s="24"/>
      <c r="IA26" s="2" t="s">
        <v>143</v>
      </c>
      <c r="IB26" s="2" t="s">
        <v>143</v>
      </c>
      <c r="IC26" s="2" t="s">
        <v>143</v>
      </c>
      <c r="ID26" s="2" t="s">
        <v>143</v>
      </c>
      <c r="IE26" s="2" t="s">
        <v>143</v>
      </c>
      <c r="IF26" s="24"/>
      <c r="IG26" s="24"/>
      <c r="IH26" s="2" t="s">
        <v>143</v>
      </c>
      <c r="II26" s="2" t="s">
        <v>143</v>
      </c>
      <c r="IJ26" s="2" t="s">
        <v>143</v>
      </c>
      <c r="IK26" s="2" t="s">
        <v>143</v>
      </c>
      <c r="IL26" s="2" t="s">
        <v>143</v>
      </c>
      <c r="IM26" s="24"/>
      <c r="IN26" s="24"/>
      <c r="IO26" s="11" t="s">
        <v>141</v>
      </c>
      <c r="IP26" s="11" t="s">
        <v>141</v>
      </c>
      <c r="IQ26" s="11" t="s">
        <v>141</v>
      </c>
      <c r="IR26" s="11" t="s">
        <v>141</v>
      </c>
      <c r="IS26" s="11" t="s">
        <v>141</v>
      </c>
      <c r="IT26" s="24"/>
      <c r="IU26" s="24"/>
      <c r="IV26" s="2" t="s">
        <v>143</v>
      </c>
      <c r="IW26" s="2" t="s">
        <v>143</v>
      </c>
      <c r="IX26" s="2" t="s">
        <v>143</v>
      </c>
      <c r="IY26" s="2" t="s">
        <v>143</v>
      </c>
      <c r="IZ26" s="2" t="s">
        <v>143</v>
      </c>
      <c r="JA26" s="24"/>
      <c r="JB26" s="24"/>
      <c r="JC26" s="2" t="s">
        <v>143</v>
      </c>
      <c r="JD26" s="2" t="s">
        <v>143</v>
      </c>
      <c r="JE26" s="2" t="s">
        <v>143</v>
      </c>
      <c r="JF26" s="2" t="s">
        <v>143</v>
      </c>
      <c r="JG26" s="2" t="s">
        <v>143</v>
      </c>
      <c r="JH26" s="24"/>
      <c r="JI26" s="24"/>
      <c r="JJ26" s="2" t="s">
        <v>143</v>
      </c>
      <c r="JK26" s="2" t="s">
        <v>143</v>
      </c>
      <c r="JL26" s="2" t="s">
        <v>143</v>
      </c>
      <c r="JM26" s="2" t="s">
        <v>143</v>
      </c>
      <c r="JN26" s="2" t="s">
        <v>143</v>
      </c>
      <c r="JO26" s="24"/>
      <c r="JP26" s="24"/>
      <c r="JQ26" s="2" t="s">
        <v>143</v>
      </c>
      <c r="JR26" s="2" t="s">
        <v>143</v>
      </c>
      <c r="JS26" s="2" t="s">
        <v>143</v>
      </c>
      <c r="JT26" s="2" t="s">
        <v>143</v>
      </c>
      <c r="JU26" s="2" t="s">
        <v>143</v>
      </c>
      <c r="JV26" s="24"/>
      <c r="JW26" s="24"/>
      <c r="JX26" s="2" t="s">
        <v>143</v>
      </c>
      <c r="JY26" s="2" t="s">
        <v>143</v>
      </c>
      <c r="JZ26" s="2" t="s">
        <v>143</v>
      </c>
      <c r="KA26" s="2" t="s">
        <v>143</v>
      </c>
      <c r="KB26" s="2" t="s">
        <v>143</v>
      </c>
      <c r="KC26" s="24"/>
      <c r="KD26" s="24"/>
      <c r="KE26" s="2" t="s">
        <v>143</v>
      </c>
      <c r="KF26" s="2" t="s">
        <v>143</v>
      </c>
      <c r="KG26" s="2" t="s">
        <v>143</v>
      </c>
      <c r="KH26" s="2" t="s">
        <v>143</v>
      </c>
      <c r="KI26" s="2" t="s">
        <v>143</v>
      </c>
      <c r="KJ26" s="24"/>
      <c r="KK26" s="24"/>
      <c r="KL26" s="2" t="s">
        <v>143</v>
      </c>
      <c r="KM26" s="2" t="s">
        <v>143</v>
      </c>
      <c r="KN26" s="2" t="s">
        <v>143</v>
      </c>
      <c r="KO26" s="2" t="s">
        <v>143</v>
      </c>
      <c r="KP26" s="2" t="s">
        <v>143</v>
      </c>
      <c r="KQ26" s="24"/>
      <c r="KR26" s="24"/>
      <c r="KS26" s="2" t="s">
        <v>143</v>
      </c>
      <c r="KT26" s="2" t="s">
        <v>143</v>
      </c>
      <c r="KU26" s="24"/>
      <c r="KV26" s="24"/>
      <c r="KW26" s="11" t="s">
        <v>141</v>
      </c>
      <c r="KX26" s="24"/>
      <c r="KY26" s="24"/>
      <c r="KZ26" s="11" t="s">
        <v>141</v>
      </c>
      <c r="LA26" s="11" t="s">
        <v>141</v>
      </c>
      <c r="LB26" s="33"/>
      <c r="LC26" s="33"/>
      <c r="LD26" s="33"/>
      <c r="LE26" s="33"/>
      <c r="LF26" s="33"/>
    </row>
    <row r="27" spans="1:466">
      <c r="A27" s="50" t="s">
        <v>201</v>
      </c>
      <c r="B27" s="50" t="s">
        <v>15</v>
      </c>
      <c r="C27" s="50"/>
      <c r="D27" s="8"/>
      <c r="E27" s="8"/>
      <c r="F27" s="8"/>
      <c r="G27" s="8"/>
      <c r="H27" s="8"/>
      <c r="I27" s="7"/>
      <c r="J27" s="7"/>
      <c r="K27" s="8"/>
      <c r="L27" s="8"/>
      <c r="M27" s="8"/>
      <c r="N27" s="8"/>
      <c r="O27" s="8"/>
      <c r="P27" s="7"/>
      <c r="Q27" s="7"/>
      <c r="R27" s="8"/>
      <c r="S27" s="8"/>
      <c r="T27" s="8"/>
      <c r="U27" s="8"/>
      <c r="V27" s="8"/>
      <c r="W27" s="7"/>
      <c r="X27" s="7"/>
      <c r="Y27" s="8"/>
      <c r="Z27" s="8"/>
      <c r="AA27" s="8"/>
      <c r="AB27" s="8"/>
      <c r="AD27" s="7"/>
      <c r="AE27" s="7"/>
      <c r="AJ27" s="7"/>
      <c r="AK27" s="7"/>
      <c r="AL27" s="7"/>
      <c r="AM27" s="7"/>
      <c r="AN27" s="6"/>
      <c r="AO27" s="6"/>
      <c r="AP27" s="6"/>
      <c r="AR27" s="7"/>
      <c r="AS27" s="7"/>
      <c r="AT27" s="8"/>
      <c r="AU27" s="8"/>
      <c r="AV27" s="8"/>
      <c r="AW27" s="8"/>
      <c r="AX27" s="8"/>
      <c r="AY27" s="7"/>
      <c r="AZ27" s="7"/>
      <c r="BA27" s="8"/>
      <c r="BB27" s="8"/>
      <c r="BC27" s="8"/>
      <c r="BD27" s="8"/>
      <c r="BE27" s="8"/>
      <c r="BF27" s="7"/>
      <c r="BG27" s="7"/>
      <c r="BH27" s="8"/>
      <c r="BI27" s="8"/>
      <c r="BJ27" s="8"/>
      <c r="BK27" s="8"/>
      <c r="BL27" s="8"/>
      <c r="BM27" s="7"/>
      <c r="BN27" s="7"/>
      <c r="BO27" s="8"/>
      <c r="BP27" s="8"/>
      <c r="BQ27" s="8"/>
      <c r="BR27" s="8"/>
      <c r="BS27" s="8"/>
      <c r="BT27" s="7"/>
      <c r="BU27" s="7"/>
      <c r="BV27" s="7"/>
      <c r="BW27" s="8"/>
      <c r="BX27" s="8"/>
      <c r="BY27" s="8"/>
      <c r="BZ27" s="8"/>
      <c r="CA27" s="7"/>
      <c r="CB27" s="7"/>
      <c r="CC27" s="8"/>
      <c r="CD27" s="8"/>
      <c r="CE27" s="8"/>
      <c r="CF27" s="8"/>
      <c r="CG27" s="8"/>
      <c r="CH27" s="3"/>
      <c r="CI27" s="3"/>
      <c r="CJ27" s="33"/>
      <c r="CK27" s="2"/>
      <c r="CL27" s="2"/>
      <c r="CM27" s="2"/>
      <c r="CN27" s="2"/>
      <c r="CO27" s="3"/>
      <c r="CP27" s="3"/>
      <c r="CQ27" s="3"/>
      <c r="CR27" s="11"/>
      <c r="CS27" s="11"/>
      <c r="CT27" s="11"/>
      <c r="CU27" s="11"/>
      <c r="CV27" s="3"/>
      <c r="CW27" s="3"/>
      <c r="CX27" s="2"/>
      <c r="CY27" s="2"/>
      <c r="CZ27" s="2"/>
      <c r="DA27" s="2"/>
      <c r="DB27" s="11"/>
      <c r="DC27" s="3"/>
      <c r="DD27" s="3"/>
      <c r="DE27" s="2"/>
      <c r="DF27" s="2"/>
      <c r="DG27" s="2"/>
      <c r="DH27" s="2"/>
      <c r="DI27" s="2"/>
      <c r="DJ27" s="24"/>
      <c r="DK27" s="24"/>
      <c r="DL27" s="2"/>
      <c r="DM27" s="2"/>
      <c r="DN27" s="2"/>
      <c r="DO27" s="2"/>
      <c r="DP27" s="2"/>
      <c r="DQ27" s="24"/>
      <c r="DR27" s="24"/>
      <c r="DS27" s="2"/>
      <c r="DT27" s="2"/>
      <c r="DU27" s="2"/>
      <c r="DV27" s="2"/>
      <c r="DW27" s="2"/>
      <c r="DX27" s="24"/>
      <c r="DY27" s="24"/>
      <c r="DZ27" s="2"/>
      <c r="EA27" s="2"/>
      <c r="EB27" s="2"/>
      <c r="EC27" s="2"/>
      <c r="ED27" s="2"/>
      <c r="EE27" s="24"/>
      <c r="EF27" s="24"/>
      <c r="EG27" s="2"/>
      <c r="EH27" s="2"/>
      <c r="EI27" s="2"/>
      <c r="EJ27" s="2"/>
      <c r="EK27" s="2"/>
      <c r="EL27" s="24"/>
      <c r="EM27" s="24"/>
      <c r="EN27" s="2"/>
      <c r="EO27" s="2"/>
      <c r="EP27" s="2"/>
      <c r="EQ27" s="2"/>
      <c r="ER27" s="2"/>
      <c r="ES27" s="24"/>
      <c r="ET27" s="24"/>
      <c r="EU27" s="2"/>
      <c r="EV27" s="2"/>
      <c r="EW27" s="2"/>
      <c r="EX27" s="2"/>
      <c r="EY27" s="2"/>
      <c r="EZ27" s="24"/>
      <c r="FA27" s="24"/>
      <c r="FB27" s="2"/>
      <c r="FC27" s="11"/>
      <c r="FD27" s="2"/>
      <c r="FE27" s="2"/>
      <c r="FF27" s="2"/>
      <c r="FG27" s="24"/>
      <c r="FH27" s="24"/>
      <c r="FI27" s="2"/>
      <c r="FJ27" s="2"/>
      <c r="FK27" s="2"/>
      <c r="FL27" s="2"/>
      <c r="FM27" s="2"/>
      <c r="FN27" s="24"/>
      <c r="FO27" s="24"/>
      <c r="FP27" s="2"/>
      <c r="FQ27" s="2"/>
      <c r="FR27" s="2"/>
      <c r="FS27" s="2"/>
      <c r="FT27" s="2"/>
      <c r="FU27" s="24"/>
      <c r="FV27" s="24"/>
      <c r="FW27" s="2"/>
      <c r="FX27" s="2"/>
      <c r="FY27" s="2"/>
      <c r="FZ27" s="2"/>
      <c r="GA27" s="2"/>
      <c r="GB27" s="24"/>
      <c r="GC27" s="24"/>
      <c r="GD27" s="24"/>
      <c r="GE27" s="11"/>
      <c r="GF27" s="11"/>
      <c r="GG27" s="11"/>
      <c r="GH27" s="11"/>
      <c r="GI27" s="24"/>
      <c r="GJ27" s="24"/>
      <c r="GK27" s="2"/>
      <c r="GL27" s="2"/>
      <c r="GM27" s="2"/>
      <c r="GN27" s="2"/>
      <c r="GO27" s="2"/>
      <c r="GP27" s="24"/>
      <c r="GQ27" s="24"/>
      <c r="GR27" s="2"/>
      <c r="GS27" s="2"/>
      <c r="GT27" s="2"/>
      <c r="GU27" s="2"/>
      <c r="GV27" s="2"/>
      <c r="GW27" s="24"/>
      <c r="GX27" s="24"/>
      <c r="GY27" s="2"/>
      <c r="GZ27" s="2"/>
      <c r="HA27" s="2"/>
      <c r="HB27" s="2"/>
      <c r="HC27" s="2"/>
      <c r="HD27" s="24"/>
      <c r="HE27" s="24"/>
      <c r="HF27" s="2"/>
      <c r="HG27" s="2"/>
      <c r="HH27" s="2"/>
      <c r="HI27" s="2"/>
      <c r="HJ27" s="2"/>
      <c r="HK27" s="24"/>
      <c r="HL27" s="24"/>
      <c r="HM27" s="2"/>
      <c r="HN27" s="2"/>
      <c r="HO27" s="2"/>
      <c r="HP27" s="2"/>
      <c r="HQ27" s="2"/>
      <c r="HR27" s="24"/>
      <c r="HS27" s="24"/>
      <c r="HT27" s="2"/>
      <c r="HU27" s="2"/>
      <c r="HV27" s="2"/>
      <c r="HW27" s="2"/>
      <c r="HX27" s="2"/>
      <c r="HY27" s="24"/>
      <c r="HZ27" s="24"/>
      <c r="IA27" s="2"/>
      <c r="IB27" s="2"/>
      <c r="IC27" s="2"/>
      <c r="ID27" s="2"/>
      <c r="IE27" s="2"/>
      <c r="IF27" s="24"/>
      <c r="IG27" s="24"/>
      <c r="IH27" s="2"/>
      <c r="II27" s="2"/>
      <c r="IJ27" s="2"/>
      <c r="IK27" s="2"/>
      <c r="IL27" s="2"/>
      <c r="IM27" s="24"/>
      <c r="IN27" s="24"/>
      <c r="IO27" s="11"/>
      <c r="IP27" s="11"/>
      <c r="IQ27" s="11"/>
      <c r="IR27" s="11"/>
      <c r="IS27" s="11"/>
      <c r="IT27" s="24"/>
      <c r="IU27" s="24"/>
      <c r="IV27" s="2" t="s">
        <v>143</v>
      </c>
      <c r="IW27" s="2" t="s">
        <v>143</v>
      </c>
      <c r="IX27" s="2" t="s">
        <v>143</v>
      </c>
      <c r="IY27" s="2" t="s">
        <v>143</v>
      </c>
      <c r="IZ27" s="2" t="s">
        <v>143</v>
      </c>
      <c r="JA27" s="24"/>
      <c r="JB27" s="24"/>
      <c r="JC27" s="2" t="s">
        <v>143</v>
      </c>
      <c r="JD27" s="2" t="s">
        <v>143</v>
      </c>
      <c r="JE27" s="2" t="s">
        <v>143</v>
      </c>
      <c r="JF27" s="2" t="s">
        <v>143</v>
      </c>
      <c r="JG27" s="2" t="s">
        <v>143</v>
      </c>
      <c r="JH27" s="24"/>
      <c r="JI27" s="24"/>
      <c r="JJ27" s="2" t="s">
        <v>143</v>
      </c>
      <c r="JK27" s="2" t="s">
        <v>143</v>
      </c>
      <c r="JL27" s="11" t="s">
        <v>141</v>
      </c>
      <c r="JM27" s="2" t="s">
        <v>143</v>
      </c>
      <c r="JN27" s="2" t="s">
        <v>143</v>
      </c>
      <c r="JO27" s="24"/>
      <c r="JP27" s="24"/>
      <c r="JQ27" s="2" t="s">
        <v>143</v>
      </c>
      <c r="JR27" s="2" t="s">
        <v>143</v>
      </c>
      <c r="JS27" s="2" t="s">
        <v>143</v>
      </c>
      <c r="JT27" s="2" t="s">
        <v>143</v>
      </c>
      <c r="JU27" s="2" t="s">
        <v>143</v>
      </c>
      <c r="JV27" s="24"/>
      <c r="JW27" s="24"/>
      <c r="JX27" s="2" t="s">
        <v>143</v>
      </c>
      <c r="JY27" s="2" t="s">
        <v>143</v>
      </c>
      <c r="JZ27" s="2" t="s">
        <v>143</v>
      </c>
      <c r="KA27" s="2" t="s">
        <v>143</v>
      </c>
      <c r="KB27" s="2" t="s">
        <v>143</v>
      </c>
      <c r="KC27" s="24"/>
      <c r="KD27" s="24"/>
      <c r="KE27" s="2" t="s">
        <v>143</v>
      </c>
      <c r="KF27" s="11" t="s">
        <v>141</v>
      </c>
      <c r="KG27" s="11" t="s">
        <v>141</v>
      </c>
      <c r="KH27" s="11" t="s">
        <v>141</v>
      </c>
      <c r="KI27" s="11" t="s">
        <v>141</v>
      </c>
      <c r="KJ27" s="24"/>
      <c r="KK27" s="24"/>
      <c r="KL27" s="2" t="s">
        <v>143</v>
      </c>
      <c r="KM27" s="2" t="s">
        <v>143</v>
      </c>
      <c r="KN27" s="2" t="s">
        <v>143</v>
      </c>
      <c r="KO27" s="2" t="s">
        <v>143</v>
      </c>
      <c r="KP27" s="2" t="s">
        <v>143</v>
      </c>
      <c r="KQ27" s="24"/>
      <c r="KR27" s="24"/>
      <c r="KS27" s="2" t="s">
        <v>143</v>
      </c>
      <c r="KT27" s="2" t="s">
        <v>143</v>
      </c>
      <c r="KU27" s="24"/>
      <c r="KV27" s="24"/>
      <c r="KW27" s="11" t="s">
        <v>141</v>
      </c>
      <c r="KX27" s="24"/>
      <c r="KY27" s="24"/>
      <c r="KZ27" s="11" t="s">
        <v>141</v>
      </c>
      <c r="LA27" s="11" t="s">
        <v>141</v>
      </c>
      <c r="LB27" s="33"/>
      <c r="LC27" s="33"/>
      <c r="LD27" s="33"/>
      <c r="LE27" s="33"/>
      <c r="LF27" s="33"/>
    </row>
    <row r="28" spans="1:466" hidden="1">
      <c r="A28" s="6" t="s">
        <v>202</v>
      </c>
      <c r="B28" s="6" t="s">
        <v>15</v>
      </c>
      <c r="C28" s="6" t="s">
        <v>15</v>
      </c>
      <c r="D28" s="8" t="s">
        <v>143</v>
      </c>
      <c r="E28" s="8" t="s">
        <v>143</v>
      </c>
      <c r="F28" s="8" t="s">
        <v>143</v>
      </c>
      <c r="G28" s="8" t="s">
        <v>143</v>
      </c>
      <c r="H28" s="8" t="s">
        <v>143</v>
      </c>
      <c r="I28" s="7"/>
      <c r="J28" s="7"/>
      <c r="K28" s="8" t="s">
        <v>143</v>
      </c>
      <c r="L28" s="8" t="s">
        <v>143</v>
      </c>
      <c r="M28" s="8" t="s">
        <v>143</v>
      </c>
      <c r="N28" s="8" t="s">
        <v>143</v>
      </c>
      <c r="O28" s="8" t="s">
        <v>143</v>
      </c>
      <c r="P28" s="7"/>
      <c r="Q28" s="7"/>
      <c r="R28" s="8" t="s">
        <v>143</v>
      </c>
      <c r="S28" s="8" t="s">
        <v>143</v>
      </c>
      <c r="T28" s="8" t="s">
        <v>143</v>
      </c>
      <c r="U28" s="8" t="s">
        <v>143</v>
      </c>
      <c r="V28" s="8" t="s">
        <v>143</v>
      </c>
      <c r="W28" s="7"/>
      <c r="X28" s="7"/>
      <c r="Y28" s="8" t="s">
        <v>143</v>
      </c>
      <c r="Z28" s="8" t="s">
        <v>143</v>
      </c>
      <c r="AA28" s="8" t="s">
        <v>143</v>
      </c>
      <c r="AB28" s="8" t="s">
        <v>143</v>
      </c>
      <c r="AC28" s="5" t="s">
        <v>147</v>
      </c>
      <c r="AD28" s="7"/>
      <c r="AE28" s="7"/>
      <c r="AF28" s="5" t="s">
        <v>147</v>
      </c>
      <c r="AG28" s="8" t="s">
        <v>143</v>
      </c>
      <c r="AH28" s="8" t="s">
        <v>143</v>
      </c>
      <c r="AI28" s="8" t="s">
        <v>143</v>
      </c>
      <c r="AJ28" s="7" t="s">
        <v>142</v>
      </c>
      <c r="AK28" s="7"/>
      <c r="AL28" s="7"/>
      <c r="AM28" s="7" t="s">
        <v>142</v>
      </c>
      <c r="AN28" s="11" t="s">
        <v>141</v>
      </c>
      <c r="AO28" s="11" t="s">
        <v>141</v>
      </c>
      <c r="AP28" s="11" t="s">
        <v>141</v>
      </c>
      <c r="AQ28" s="11" t="s">
        <v>141</v>
      </c>
      <c r="AR28" s="7"/>
      <c r="AS28" s="7"/>
      <c r="AT28" s="5" t="s">
        <v>38</v>
      </c>
      <c r="AU28" s="8" t="s">
        <v>143</v>
      </c>
      <c r="AV28" s="8" t="s">
        <v>143</v>
      </c>
      <c r="AW28" s="8" t="s">
        <v>143</v>
      </c>
      <c r="AX28" s="8" t="s">
        <v>143</v>
      </c>
      <c r="AY28" s="7"/>
      <c r="AZ28" s="7"/>
      <c r="BA28" s="8" t="s">
        <v>143</v>
      </c>
      <c r="BB28" s="8" t="s">
        <v>143</v>
      </c>
      <c r="BC28" s="8" t="s">
        <v>143</v>
      </c>
      <c r="BD28" s="8" t="s">
        <v>143</v>
      </c>
      <c r="BE28" s="11" t="s">
        <v>144</v>
      </c>
      <c r="BF28" s="7"/>
      <c r="BG28" s="7"/>
      <c r="BH28" s="8" t="s">
        <v>143</v>
      </c>
      <c r="BI28" s="8" t="s">
        <v>143</v>
      </c>
      <c r="BJ28" s="8" t="s">
        <v>143</v>
      </c>
      <c r="BK28" s="8" t="s">
        <v>143</v>
      </c>
      <c r="BL28" s="8" t="s">
        <v>143</v>
      </c>
      <c r="BM28" s="7"/>
      <c r="BN28" s="7"/>
      <c r="BO28" s="6"/>
      <c r="BP28" s="6"/>
      <c r="BQ28" s="6"/>
      <c r="BR28" s="6"/>
      <c r="BS28" s="6"/>
      <c r="BT28" s="7"/>
      <c r="BU28" s="7"/>
      <c r="BV28" s="7" t="s">
        <v>142</v>
      </c>
      <c r="BW28" s="6"/>
      <c r="BX28" s="6"/>
      <c r="BY28" s="6"/>
      <c r="BZ28" s="6"/>
      <c r="CA28" s="7"/>
      <c r="CB28" s="7"/>
      <c r="CC28" s="6"/>
      <c r="CD28" s="6"/>
      <c r="CE28" s="6"/>
      <c r="CF28" s="6"/>
      <c r="CG28" s="6"/>
      <c r="CH28" s="3"/>
      <c r="CI28" s="3"/>
      <c r="CO28" s="3"/>
      <c r="CP28" s="3"/>
      <c r="CQ28" s="3"/>
      <c r="CV28" s="3"/>
      <c r="CW28" s="3"/>
      <c r="DC28" s="3"/>
      <c r="DD28" s="3"/>
      <c r="DJ28" s="24"/>
      <c r="DK28" s="24"/>
      <c r="DQ28" s="24"/>
      <c r="DR28" s="24"/>
      <c r="DX28" s="24"/>
      <c r="DY28" s="24"/>
      <c r="EE28" s="24"/>
      <c r="EF28" s="24"/>
      <c r="EL28" s="24"/>
      <c r="EM28" s="24"/>
      <c r="ES28" s="24"/>
      <c r="ET28" s="24"/>
      <c r="EZ28" s="24"/>
      <c r="FA28" s="24"/>
      <c r="FG28" s="24"/>
      <c r="FH28" s="24"/>
      <c r="FN28" s="24"/>
      <c r="FO28" s="24"/>
      <c r="FU28" s="24"/>
      <c r="FV28" s="24"/>
      <c r="GB28" s="24"/>
      <c r="GC28" s="24"/>
      <c r="GD28" s="24"/>
      <c r="GI28" s="24"/>
      <c r="GJ28" s="24"/>
      <c r="GP28" s="24"/>
      <c r="GQ28" s="24"/>
      <c r="GW28" s="24"/>
      <c r="GX28" s="24"/>
      <c r="HD28" s="24"/>
      <c r="HE28" s="24"/>
      <c r="HK28" s="24"/>
      <c r="HL28" s="24"/>
      <c r="HR28" s="24"/>
      <c r="HS28" s="24"/>
      <c r="HY28" s="24"/>
      <c r="HZ28" s="24"/>
      <c r="IF28" s="24"/>
      <c r="IG28" s="24"/>
      <c r="IM28" s="24"/>
      <c r="IN28" s="24"/>
      <c r="IT28" s="24"/>
      <c r="IU28" s="24"/>
      <c r="JA28" s="24"/>
      <c r="JB28" s="24"/>
      <c r="JH28" s="24"/>
      <c r="JI28" s="24"/>
      <c r="JO28" s="24"/>
      <c r="JP28" s="24"/>
      <c r="JV28" s="24"/>
      <c r="JW28" s="24"/>
      <c r="KC28" s="24"/>
      <c r="KD28" s="24"/>
      <c r="KJ28" s="24"/>
      <c r="KK28" s="24"/>
      <c r="KQ28" s="24"/>
      <c r="KR28" s="24"/>
      <c r="KU28" s="24"/>
      <c r="KV28" s="24"/>
      <c r="KX28" s="24"/>
      <c r="KY28" s="24"/>
      <c r="LB28" s="33"/>
      <c r="LC28" s="33"/>
      <c r="LD28" s="33"/>
      <c r="LE28" s="33"/>
      <c r="LF28" s="33"/>
    </row>
    <row r="29" spans="1:466" s="43" customFormat="1">
      <c r="A29" s="44" t="s">
        <v>203</v>
      </c>
      <c r="B29" s="42"/>
      <c r="C29" s="42"/>
      <c r="D29" s="42"/>
      <c r="E29" s="42"/>
      <c r="F29" s="42"/>
      <c r="G29" s="42"/>
      <c r="H29" s="42"/>
      <c r="I29" s="7"/>
      <c r="J29" s="7"/>
      <c r="K29" s="42"/>
      <c r="L29" s="42"/>
      <c r="M29" s="42"/>
      <c r="N29" s="42"/>
      <c r="O29" s="42"/>
      <c r="P29" s="7"/>
      <c r="Q29" s="7"/>
      <c r="R29" s="42"/>
      <c r="S29" s="42"/>
      <c r="T29" s="42"/>
      <c r="U29" s="42"/>
      <c r="V29" s="42"/>
      <c r="W29" s="7"/>
      <c r="X29" s="7"/>
      <c r="Y29" s="42"/>
      <c r="Z29" s="42"/>
      <c r="AA29" s="42"/>
      <c r="AB29" s="42"/>
      <c r="AD29" s="7"/>
      <c r="AE29" s="7"/>
      <c r="AG29" s="42"/>
      <c r="AH29" s="42"/>
      <c r="AI29" s="42"/>
      <c r="AJ29" s="7"/>
      <c r="AK29" s="7"/>
      <c r="AL29" s="7"/>
      <c r="AM29" s="7"/>
      <c r="AN29" s="42"/>
      <c r="AO29" s="42"/>
      <c r="AP29" s="42"/>
      <c r="AQ29" s="42"/>
      <c r="AR29" s="7"/>
      <c r="AS29" s="7"/>
      <c r="AU29" s="42"/>
      <c r="AV29" s="42"/>
      <c r="AW29" s="42"/>
      <c r="AX29" s="42"/>
      <c r="AY29" s="7"/>
      <c r="AZ29" s="7"/>
      <c r="BA29" s="42"/>
      <c r="BB29" s="42"/>
      <c r="BC29" s="42"/>
      <c r="BD29" s="42"/>
      <c r="BE29" s="42"/>
      <c r="BF29" s="7"/>
      <c r="BG29" s="7"/>
      <c r="BH29" s="42"/>
      <c r="BI29" s="42"/>
      <c r="BJ29" s="42"/>
      <c r="BK29" s="42"/>
      <c r="BL29" s="42"/>
      <c r="BM29" s="7"/>
      <c r="BN29" s="7"/>
      <c r="BO29" s="42"/>
      <c r="BP29" s="42"/>
      <c r="BQ29" s="42"/>
      <c r="BR29" s="42"/>
      <c r="BS29" s="42"/>
      <c r="BT29" s="7"/>
      <c r="BU29" s="7"/>
      <c r="BV29" s="7"/>
      <c r="BW29" s="42"/>
      <c r="BX29" s="42"/>
      <c r="BY29" s="42"/>
      <c r="BZ29" s="42"/>
      <c r="CA29" s="7"/>
      <c r="CB29" s="7"/>
      <c r="CC29" s="42"/>
      <c r="CD29" s="42"/>
      <c r="CE29" s="42"/>
      <c r="CF29" s="42"/>
      <c r="CG29" s="42"/>
      <c r="CH29" s="3"/>
      <c r="CI29" s="3"/>
      <c r="CO29" s="3"/>
      <c r="CP29" s="3"/>
      <c r="CQ29" s="3"/>
      <c r="CV29" s="3"/>
      <c r="CW29" s="3"/>
      <c r="DC29" s="3"/>
      <c r="DD29" s="3"/>
      <c r="DJ29" s="24"/>
      <c r="DK29" s="24"/>
      <c r="DQ29" s="24"/>
      <c r="DR29" s="24"/>
      <c r="DX29" s="24"/>
      <c r="DY29" s="24"/>
      <c r="EE29" s="24"/>
      <c r="EF29" s="24"/>
      <c r="EL29" s="24"/>
      <c r="EM29" s="24"/>
      <c r="ES29" s="24"/>
      <c r="ET29" s="24"/>
      <c r="EZ29" s="24"/>
      <c r="FA29" s="24"/>
      <c r="FG29" s="24"/>
      <c r="FH29" s="24"/>
      <c r="FN29" s="24"/>
      <c r="FO29" s="24"/>
      <c r="FU29" s="24"/>
      <c r="FV29" s="24"/>
      <c r="GB29" s="24"/>
      <c r="GC29" s="24"/>
      <c r="GD29" s="24"/>
      <c r="GI29" s="24"/>
      <c r="GJ29" s="24"/>
      <c r="GP29" s="24"/>
      <c r="GQ29" s="24"/>
      <c r="GW29" s="24"/>
      <c r="GX29" s="24"/>
      <c r="HD29" s="24"/>
      <c r="HE29" s="24"/>
      <c r="HK29" s="24"/>
      <c r="HL29" s="24"/>
      <c r="HR29" s="24"/>
      <c r="HS29" s="24"/>
      <c r="HY29" s="24"/>
      <c r="HZ29" s="24"/>
      <c r="IF29" s="24"/>
      <c r="IG29" s="24"/>
      <c r="IM29" s="24"/>
      <c r="IN29" s="24"/>
      <c r="IT29" s="24"/>
      <c r="IU29" s="24"/>
      <c r="JA29" s="24"/>
      <c r="JB29" s="24"/>
      <c r="JH29" s="24"/>
      <c r="JI29" s="24"/>
      <c r="JO29" s="24"/>
      <c r="JP29" s="24"/>
      <c r="JV29" s="24"/>
      <c r="JW29" s="24"/>
      <c r="KC29" s="24"/>
      <c r="KD29" s="24"/>
      <c r="KJ29" s="24"/>
      <c r="KK29" s="24"/>
      <c r="KQ29" s="24"/>
      <c r="KR29" s="24"/>
      <c r="KU29" s="24"/>
      <c r="KV29" s="24"/>
      <c r="KX29" s="24"/>
      <c r="KY29" s="24"/>
      <c r="LB29" s="33"/>
      <c r="LC29" s="33"/>
      <c r="LD29" s="33"/>
      <c r="LE29" s="33"/>
      <c r="LF29" s="33"/>
    </row>
    <row r="30" spans="1:466">
      <c r="A30" s="51" t="s">
        <v>204</v>
      </c>
      <c r="B30" s="51" t="s">
        <v>18</v>
      </c>
      <c r="C30" s="51"/>
      <c r="I30" s="3"/>
      <c r="J30" s="3"/>
      <c r="P30" s="3"/>
      <c r="Q30" s="3"/>
      <c r="W30" s="3"/>
      <c r="X30" s="3"/>
      <c r="AD30" s="3"/>
      <c r="AE30" s="3"/>
      <c r="AJ30" s="7" t="s">
        <v>142</v>
      </c>
      <c r="AK30" s="7"/>
      <c r="AL30" s="7"/>
      <c r="AM30" s="7" t="s">
        <v>142</v>
      </c>
      <c r="AR30" s="3"/>
      <c r="AS30" s="3"/>
      <c r="AY30" s="3"/>
      <c r="AZ30" s="3"/>
      <c r="BF30" s="3"/>
      <c r="BG30" s="3"/>
      <c r="BM30" s="3"/>
      <c r="BN30" s="3"/>
      <c r="BT30" s="3"/>
      <c r="BU30" s="3"/>
      <c r="BV30" s="7" t="s">
        <v>142</v>
      </c>
      <c r="CA30" s="3"/>
      <c r="CB30" s="3"/>
      <c r="CC30" s="33"/>
      <c r="CD30" s="33"/>
      <c r="CE30" s="33"/>
      <c r="CF30" s="33"/>
      <c r="CG30" s="33"/>
      <c r="CH30" s="24"/>
      <c r="CI30" s="24"/>
      <c r="CO30" s="24"/>
      <c r="CP30" s="24"/>
      <c r="CQ30" s="24"/>
      <c r="CV30" s="24"/>
      <c r="CW30" s="24"/>
      <c r="DC30" s="24"/>
      <c r="DD30" s="24"/>
      <c r="DJ30" s="24"/>
      <c r="DK30" s="24"/>
      <c r="DQ30" s="24"/>
      <c r="DR30" s="24"/>
      <c r="DX30" s="24"/>
      <c r="DY30" s="24"/>
      <c r="EE30" s="24"/>
      <c r="EF30" s="24"/>
      <c r="EL30" s="24"/>
      <c r="EM30" s="24"/>
      <c r="ES30" s="24"/>
      <c r="ET30" s="24"/>
      <c r="EZ30" s="24"/>
      <c r="FA30" s="24"/>
      <c r="FG30" s="24"/>
      <c r="FH30" s="24"/>
      <c r="FN30" s="24"/>
      <c r="FO30" s="24"/>
      <c r="FU30" s="24"/>
      <c r="FV30" s="24"/>
      <c r="GB30" s="24"/>
      <c r="GC30" s="24"/>
      <c r="GD30" s="24"/>
      <c r="GI30" s="24"/>
      <c r="GJ30" s="24"/>
      <c r="GP30" s="24"/>
      <c r="GQ30" s="24"/>
      <c r="GW30" s="24"/>
      <c r="GX30" s="24"/>
      <c r="GY30" s="2" t="s">
        <v>143</v>
      </c>
      <c r="GZ30" s="2" t="s">
        <v>143</v>
      </c>
      <c r="HA30" s="2" t="s">
        <v>143</v>
      </c>
      <c r="HB30" s="2" t="s">
        <v>143</v>
      </c>
      <c r="HC30" s="2" t="s">
        <v>143</v>
      </c>
      <c r="HD30" s="24"/>
      <c r="HE30" s="24"/>
      <c r="HF30" s="2" t="s">
        <v>143</v>
      </c>
      <c r="HG30" s="2" t="s">
        <v>143</v>
      </c>
      <c r="HH30" s="2" t="s">
        <v>143</v>
      </c>
      <c r="HI30" s="2" t="s">
        <v>143</v>
      </c>
      <c r="HJ30" s="2" t="s">
        <v>143</v>
      </c>
      <c r="HK30" s="24"/>
      <c r="HL30" s="24"/>
      <c r="HM30" s="2" t="s">
        <v>143</v>
      </c>
      <c r="HN30" s="2" t="s">
        <v>143</v>
      </c>
      <c r="HO30" s="2" t="s">
        <v>143</v>
      </c>
      <c r="HP30" s="2" t="s">
        <v>143</v>
      </c>
      <c r="HQ30" s="2" t="s">
        <v>143</v>
      </c>
      <c r="HR30" s="24"/>
      <c r="HS30" s="24"/>
      <c r="HT30" s="2" t="s">
        <v>143</v>
      </c>
      <c r="HU30" s="2" t="s">
        <v>143</v>
      </c>
      <c r="HV30" s="2" t="s">
        <v>143</v>
      </c>
      <c r="HW30" s="2" t="s">
        <v>143</v>
      </c>
      <c r="HX30" s="2" t="s">
        <v>143</v>
      </c>
      <c r="HY30" s="24"/>
      <c r="HZ30" s="24"/>
      <c r="IF30" s="24"/>
      <c r="IG30" s="24"/>
      <c r="IM30" s="24"/>
      <c r="IN30" s="24"/>
      <c r="IT30" s="24"/>
      <c r="IU30" s="24"/>
      <c r="JA30" s="24"/>
      <c r="JB30" s="24"/>
      <c r="JH30" s="24"/>
      <c r="JI30" s="24"/>
      <c r="JO30" s="24"/>
      <c r="JP30" s="24"/>
      <c r="JV30" s="24"/>
      <c r="JW30" s="24"/>
      <c r="KC30" s="24"/>
      <c r="KD30" s="24"/>
      <c r="KJ30" s="24"/>
      <c r="KK30" s="24"/>
      <c r="KQ30" s="24"/>
      <c r="KR30" s="24"/>
      <c r="KU30" s="24"/>
      <c r="KV30" s="24"/>
      <c r="KX30" s="24"/>
      <c r="KY30" s="24"/>
      <c r="LB30" s="33"/>
      <c r="LC30" s="33"/>
      <c r="LD30" s="33"/>
      <c r="LE30" s="33"/>
      <c r="LF30" s="33"/>
    </row>
    <row r="31" spans="1:466">
      <c r="A31" s="24"/>
      <c r="B31" s="24"/>
      <c r="C31" s="24"/>
      <c r="D31" s="26" t="s">
        <v>55</v>
      </c>
      <c r="E31" s="26" t="s">
        <v>56</v>
      </c>
      <c r="F31" s="26" t="s">
        <v>57</v>
      </c>
      <c r="G31" s="26" t="s">
        <v>58</v>
      </c>
      <c r="H31" s="26" t="s">
        <v>59</v>
      </c>
      <c r="I31" s="26" t="s">
        <v>60</v>
      </c>
      <c r="J31" s="26" t="s">
        <v>61</v>
      </c>
      <c r="K31" s="26" t="s">
        <v>62</v>
      </c>
      <c r="L31" s="26" t="s">
        <v>63</v>
      </c>
      <c r="M31" s="26" t="s">
        <v>64</v>
      </c>
      <c r="N31" s="26" t="s">
        <v>65</v>
      </c>
      <c r="O31" s="26" t="s">
        <v>66</v>
      </c>
      <c r="P31" s="26" t="s">
        <v>67</v>
      </c>
      <c r="Q31" s="26" t="s">
        <v>68</v>
      </c>
      <c r="R31" s="26" t="s">
        <v>69</v>
      </c>
      <c r="S31" s="26" t="s">
        <v>70</v>
      </c>
      <c r="T31" s="26" t="s">
        <v>71</v>
      </c>
      <c r="U31" s="26" t="s">
        <v>72</v>
      </c>
      <c r="V31" s="26" t="s">
        <v>73</v>
      </c>
      <c r="W31" s="26" t="s">
        <v>74</v>
      </c>
      <c r="X31" s="26" t="s">
        <v>75</v>
      </c>
      <c r="Y31" s="27" t="s">
        <v>76</v>
      </c>
      <c r="Z31" s="27" t="s">
        <v>77</v>
      </c>
      <c r="AA31" s="27" t="s">
        <v>78</v>
      </c>
      <c r="AB31" s="27" t="s">
        <v>79</v>
      </c>
      <c r="AC31" s="27" t="s">
        <v>80</v>
      </c>
      <c r="AD31" s="26" t="s">
        <v>81</v>
      </c>
      <c r="AE31" s="26" t="s">
        <v>82</v>
      </c>
      <c r="AF31" s="27" t="s">
        <v>83</v>
      </c>
      <c r="AG31" s="27" t="s">
        <v>84</v>
      </c>
      <c r="AH31" s="27" t="s">
        <v>85</v>
      </c>
      <c r="AI31" s="27" t="s">
        <v>86</v>
      </c>
      <c r="AJ31" s="27" t="s">
        <v>87</v>
      </c>
      <c r="AK31" s="26" t="s">
        <v>88</v>
      </c>
      <c r="AL31" s="26" t="s">
        <v>89</v>
      </c>
      <c r="AM31" s="27" t="s">
        <v>90</v>
      </c>
      <c r="AN31" s="27" t="s">
        <v>91</v>
      </c>
      <c r="AO31" s="27" t="s">
        <v>92</v>
      </c>
      <c r="AP31" s="27" t="s">
        <v>93</v>
      </c>
      <c r="AQ31" s="27" t="s">
        <v>94</v>
      </c>
      <c r="AR31" s="27" t="s">
        <v>95</v>
      </c>
      <c r="AS31" s="27" t="s">
        <v>96</v>
      </c>
      <c r="AT31" s="27" t="s">
        <v>97</v>
      </c>
      <c r="AU31" s="27" t="s">
        <v>98</v>
      </c>
      <c r="AV31" s="27" t="s">
        <v>99</v>
      </c>
      <c r="AW31" s="27" t="s">
        <v>100</v>
      </c>
      <c r="AX31" s="27" t="s">
        <v>101</v>
      </c>
      <c r="AY31" s="27" t="s">
        <v>102</v>
      </c>
      <c r="AZ31" s="27" t="s">
        <v>103</v>
      </c>
      <c r="BA31" s="27" t="s">
        <v>104</v>
      </c>
      <c r="BB31" s="27" t="s">
        <v>105</v>
      </c>
      <c r="BC31" s="27" t="s">
        <v>106</v>
      </c>
      <c r="BD31" s="27" t="s">
        <v>107</v>
      </c>
      <c r="BE31" s="27" t="s">
        <v>108</v>
      </c>
      <c r="BF31" s="27" t="s">
        <v>109</v>
      </c>
      <c r="BG31" s="27" t="s">
        <v>110</v>
      </c>
      <c r="BH31" s="27" t="s">
        <v>111</v>
      </c>
      <c r="BI31" s="27" t="s">
        <v>112</v>
      </c>
      <c r="BJ31" s="27" t="s">
        <v>113</v>
      </c>
      <c r="BK31" s="27" t="s">
        <v>114</v>
      </c>
      <c r="BL31" s="27" t="s">
        <v>115</v>
      </c>
      <c r="BM31" s="27" t="s">
        <v>116</v>
      </c>
      <c r="BN31" s="27" t="s">
        <v>117</v>
      </c>
      <c r="BO31" s="27" t="s">
        <v>118</v>
      </c>
      <c r="BP31" s="27" t="s">
        <v>119</v>
      </c>
      <c r="BQ31" s="27" t="s">
        <v>120</v>
      </c>
      <c r="BR31" s="27" t="s">
        <v>121</v>
      </c>
      <c r="BS31" s="27" t="s">
        <v>122</v>
      </c>
      <c r="BT31" s="27" t="s">
        <v>123</v>
      </c>
      <c r="BU31" s="27" t="s">
        <v>124</v>
      </c>
      <c r="BV31" s="27" t="s">
        <v>125</v>
      </c>
      <c r="BW31" s="27" t="s">
        <v>126</v>
      </c>
      <c r="BX31" s="27" t="s">
        <v>127</v>
      </c>
      <c r="BY31" s="27" t="s">
        <v>128</v>
      </c>
      <c r="BZ31" s="27" t="s">
        <v>129</v>
      </c>
      <c r="CA31" s="27" t="s">
        <v>130</v>
      </c>
      <c r="CB31" s="27" t="s">
        <v>131</v>
      </c>
      <c r="CC31" s="27" t="s">
        <v>132</v>
      </c>
      <c r="CD31" s="27" t="s">
        <v>133</v>
      </c>
      <c r="CE31" s="27" t="s">
        <v>134</v>
      </c>
      <c r="CF31" s="27" t="s">
        <v>135</v>
      </c>
      <c r="CG31" s="27" t="s">
        <v>136</v>
      </c>
      <c r="CH31" s="32">
        <v>45430</v>
      </c>
      <c r="CI31" s="32">
        <v>45431</v>
      </c>
      <c r="CJ31" s="32">
        <v>45432</v>
      </c>
      <c r="CK31" s="32">
        <v>45433</v>
      </c>
      <c r="CL31" s="32">
        <v>45434</v>
      </c>
      <c r="CM31" s="32">
        <v>45435</v>
      </c>
      <c r="CN31" s="32">
        <v>45436</v>
      </c>
      <c r="CO31" s="32">
        <v>45437</v>
      </c>
      <c r="CP31" s="32">
        <v>45438</v>
      </c>
      <c r="CQ31" s="32">
        <v>45439</v>
      </c>
      <c r="CR31" s="32">
        <v>45440</v>
      </c>
      <c r="CS31" s="32">
        <v>45441</v>
      </c>
      <c r="CT31" s="32">
        <v>45442</v>
      </c>
      <c r="CU31" s="32">
        <v>45443</v>
      </c>
      <c r="CV31" s="32">
        <v>45444</v>
      </c>
      <c r="CW31" s="32">
        <v>45445</v>
      </c>
      <c r="CX31" s="32">
        <v>45446</v>
      </c>
      <c r="CY31" s="32">
        <v>45447</v>
      </c>
      <c r="CZ31" s="32">
        <v>45448</v>
      </c>
      <c r="DA31" s="32">
        <v>45449</v>
      </c>
      <c r="DB31" s="32">
        <v>45450</v>
      </c>
      <c r="DC31" s="32">
        <v>45451</v>
      </c>
      <c r="DD31" s="32">
        <v>45452</v>
      </c>
      <c r="DE31" s="32">
        <v>45453</v>
      </c>
      <c r="DF31" s="32">
        <v>45454</v>
      </c>
      <c r="DG31" s="32">
        <v>45455</v>
      </c>
      <c r="DH31" s="32">
        <v>45456</v>
      </c>
      <c r="DI31" s="32">
        <v>45457</v>
      </c>
      <c r="DJ31" s="32">
        <v>45458</v>
      </c>
      <c r="DK31" s="32">
        <v>45459</v>
      </c>
      <c r="DL31" s="32">
        <v>45460</v>
      </c>
      <c r="DM31" s="32">
        <v>45461</v>
      </c>
      <c r="DN31" s="32">
        <v>45462</v>
      </c>
      <c r="DO31" s="32">
        <v>45463</v>
      </c>
      <c r="DP31" s="32">
        <v>45464</v>
      </c>
      <c r="DQ31" s="32">
        <v>45465</v>
      </c>
      <c r="DR31" s="32">
        <v>45466</v>
      </c>
      <c r="DS31" s="32">
        <v>45467</v>
      </c>
      <c r="DT31" s="32">
        <v>45468</v>
      </c>
      <c r="DU31" s="32">
        <v>45469</v>
      </c>
      <c r="DV31" s="32">
        <v>45470</v>
      </c>
      <c r="DW31" s="32">
        <v>45471</v>
      </c>
      <c r="DX31" s="32">
        <v>45472</v>
      </c>
      <c r="DY31" s="32">
        <v>45473</v>
      </c>
      <c r="DZ31" s="32">
        <v>45474</v>
      </c>
      <c r="EA31" s="32">
        <v>45475</v>
      </c>
      <c r="EB31" s="32">
        <v>45476</v>
      </c>
      <c r="EC31" s="32">
        <v>45477</v>
      </c>
      <c r="ED31" s="32">
        <v>45478</v>
      </c>
      <c r="EE31" s="24"/>
      <c r="EF31" s="24"/>
      <c r="EG31" s="32">
        <v>45481</v>
      </c>
      <c r="EH31" s="32">
        <v>45482</v>
      </c>
      <c r="EI31" s="32">
        <v>45483</v>
      </c>
      <c r="EJ31" s="32">
        <v>45484</v>
      </c>
      <c r="EK31" s="32">
        <v>45485</v>
      </c>
      <c r="EL31" s="24"/>
      <c r="EM31" s="24"/>
      <c r="EN31" s="32">
        <v>45488</v>
      </c>
      <c r="EO31" s="32">
        <v>45489</v>
      </c>
      <c r="EP31" s="32">
        <v>45490</v>
      </c>
      <c r="EQ31" s="32">
        <v>45491</v>
      </c>
      <c r="ER31" s="32">
        <v>45492</v>
      </c>
      <c r="ES31" s="24"/>
      <c r="ET31" s="24"/>
      <c r="EU31" s="32">
        <v>45495</v>
      </c>
      <c r="EV31" s="32">
        <v>45496</v>
      </c>
      <c r="EW31" s="32">
        <v>45497</v>
      </c>
      <c r="EX31" s="32">
        <v>45498</v>
      </c>
      <c r="EY31" s="32">
        <v>45499</v>
      </c>
      <c r="EZ31" s="24"/>
      <c r="FA31" s="24"/>
      <c r="FB31" s="32">
        <v>45502</v>
      </c>
      <c r="FC31" s="32">
        <v>45503</v>
      </c>
      <c r="FD31" s="32">
        <v>45504</v>
      </c>
      <c r="FE31" s="32">
        <v>45505</v>
      </c>
      <c r="FF31" s="32">
        <v>45506</v>
      </c>
      <c r="FG31" s="24"/>
      <c r="FH31" s="24"/>
      <c r="FI31" s="32">
        <v>45509</v>
      </c>
      <c r="FJ31" s="32">
        <v>45510</v>
      </c>
      <c r="FK31" s="32">
        <v>45511</v>
      </c>
      <c r="FL31" s="32">
        <v>45512</v>
      </c>
      <c r="FM31" s="32">
        <v>45513</v>
      </c>
      <c r="FN31" s="24"/>
      <c r="FO31" s="24"/>
      <c r="FP31" s="32">
        <v>45516</v>
      </c>
      <c r="FQ31" s="32">
        <v>45517</v>
      </c>
      <c r="FR31" s="32">
        <v>45518</v>
      </c>
      <c r="FS31" s="32">
        <v>45519</v>
      </c>
      <c r="FT31" s="32">
        <v>45520</v>
      </c>
      <c r="FU31" s="24"/>
      <c r="FV31" s="24"/>
      <c r="FW31" s="32">
        <v>45523</v>
      </c>
      <c r="FX31" s="32">
        <v>45524</v>
      </c>
      <c r="FY31" s="32">
        <v>45525</v>
      </c>
      <c r="FZ31" s="32">
        <v>45526</v>
      </c>
      <c r="GA31" s="32">
        <v>45527</v>
      </c>
      <c r="GB31" s="32">
        <v>45528</v>
      </c>
      <c r="GC31" s="32">
        <v>45529</v>
      </c>
      <c r="GD31" s="32">
        <v>45530</v>
      </c>
      <c r="GE31" s="32">
        <v>45531</v>
      </c>
      <c r="GF31" s="32">
        <v>45532</v>
      </c>
      <c r="GG31" s="32">
        <v>45533</v>
      </c>
      <c r="GH31" s="32">
        <v>45534</v>
      </c>
      <c r="GI31" s="32">
        <v>45535</v>
      </c>
      <c r="GJ31" s="32">
        <v>45536</v>
      </c>
      <c r="GK31" s="32">
        <v>45537</v>
      </c>
      <c r="GL31" s="32">
        <v>45538</v>
      </c>
      <c r="GM31" s="32">
        <v>45539</v>
      </c>
      <c r="GN31" s="32">
        <v>45540</v>
      </c>
      <c r="GO31" s="32">
        <v>45541</v>
      </c>
      <c r="GP31" s="32">
        <v>45542</v>
      </c>
      <c r="GQ31" s="32">
        <v>45543</v>
      </c>
      <c r="GR31" s="32">
        <v>45544</v>
      </c>
      <c r="GS31" s="32">
        <v>45545</v>
      </c>
      <c r="GT31" s="32">
        <v>45546</v>
      </c>
      <c r="GU31" s="32">
        <v>45547</v>
      </c>
      <c r="GV31" s="32">
        <v>45548</v>
      </c>
      <c r="GW31" s="32">
        <v>45549</v>
      </c>
      <c r="GX31" s="32">
        <v>45550</v>
      </c>
      <c r="GY31" s="32">
        <v>45551</v>
      </c>
      <c r="GZ31" s="32">
        <v>45552</v>
      </c>
      <c r="HA31" s="32">
        <v>45553</v>
      </c>
      <c r="HB31" s="32">
        <v>45554</v>
      </c>
      <c r="HC31" s="32">
        <v>45555</v>
      </c>
      <c r="HD31" s="32">
        <v>45556</v>
      </c>
      <c r="HE31" s="32">
        <v>45557</v>
      </c>
      <c r="HF31" s="32">
        <v>45558</v>
      </c>
      <c r="HG31" s="32">
        <v>45559</v>
      </c>
      <c r="HH31" s="32">
        <v>45560</v>
      </c>
      <c r="HI31" s="32">
        <v>45561</v>
      </c>
      <c r="HJ31" s="32">
        <v>45562</v>
      </c>
      <c r="HK31" s="32">
        <v>45563</v>
      </c>
      <c r="HL31" s="32">
        <v>45564</v>
      </c>
      <c r="HM31" s="32">
        <v>45565</v>
      </c>
      <c r="HN31" s="32">
        <v>45566</v>
      </c>
      <c r="HO31" s="32">
        <v>45567</v>
      </c>
      <c r="HP31" s="32">
        <v>45568</v>
      </c>
      <c r="HQ31" s="32">
        <v>45569</v>
      </c>
      <c r="HR31" s="32">
        <v>45570</v>
      </c>
      <c r="HS31" s="32">
        <v>45571</v>
      </c>
      <c r="HT31" s="32">
        <v>45572</v>
      </c>
      <c r="HU31" s="32">
        <v>45573</v>
      </c>
      <c r="HV31" s="32">
        <v>45574</v>
      </c>
      <c r="HW31" s="32">
        <v>45575</v>
      </c>
      <c r="HX31" s="32">
        <v>45576</v>
      </c>
      <c r="HY31" s="32">
        <v>45577</v>
      </c>
      <c r="HZ31" s="32">
        <v>45578</v>
      </c>
      <c r="IA31" s="32">
        <v>45579</v>
      </c>
      <c r="IB31" s="32">
        <v>45580</v>
      </c>
      <c r="IC31" s="32">
        <v>45581</v>
      </c>
      <c r="ID31" s="32">
        <v>45582</v>
      </c>
      <c r="IE31" s="32">
        <v>45583</v>
      </c>
      <c r="IF31" s="32">
        <v>45584</v>
      </c>
      <c r="IG31" s="32">
        <v>45585</v>
      </c>
      <c r="IH31" s="32">
        <v>45586</v>
      </c>
      <c r="II31" s="32">
        <v>45587</v>
      </c>
      <c r="IJ31" s="32">
        <v>45588</v>
      </c>
      <c r="IK31" s="32">
        <v>45589</v>
      </c>
      <c r="IL31" s="32">
        <v>45590</v>
      </c>
      <c r="IM31" s="32">
        <v>45591</v>
      </c>
      <c r="IN31" s="32">
        <v>45592</v>
      </c>
      <c r="IO31" s="32">
        <v>45593</v>
      </c>
      <c r="IP31" s="32">
        <v>45594</v>
      </c>
      <c r="IQ31" s="32">
        <v>45595</v>
      </c>
      <c r="IR31" s="32">
        <v>45596</v>
      </c>
      <c r="IS31" s="32">
        <v>45597</v>
      </c>
      <c r="IT31" s="32">
        <v>45598</v>
      </c>
      <c r="IU31" s="32">
        <v>45599</v>
      </c>
      <c r="IV31" s="32">
        <v>45600</v>
      </c>
      <c r="IW31" s="32">
        <v>45601</v>
      </c>
      <c r="IX31" s="32">
        <v>45602</v>
      </c>
      <c r="IY31" s="32">
        <v>45603</v>
      </c>
      <c r="IZ31" s="32">
        <v>45604</v>
      </c>
      <c r="JA31" s="32">
        <v>45605</v>
      </c>
      <c r="JB31" s="32">
        <v>45606</v>
      </c>
      <c r="JC31" s="32">
        <v>45607</v>
      </c>
      <c r="JD31" s="32">
        <v>45608</v>
      </c>
      <c r="JE31" s="32">
        <v>45609</v>
      </c>
      <c r="JF31" s="32">
        <v>45610</v>
      </c>
      <c r="JG31" s="32">
        <v>45611</v>
      </c>
      <c r="JH31" s="32">
        <v>45612</v>
      </c>
      <c r="JI31" s="32">
        <v>45613</v>
      </c>
      <c r="JJ31" s="32">
        <v>45614</v>
      </c>
      <c r="JK31" s="32">
        <v>45615</v>
      </c>
      <c r="JL31" s="32">
        <v>45616</v>
      </c>
      <c r="JM31" s="32">
        <v>45617</v>
      </c>
      <c r="JN31" s="32">
        <v>45618</v>
      </c>
      <c r="JO31" s="32">
        <v>45619</v>
      </c>
      <c r="JP31" s="32">
        <v>45620</v>
      </c>
      <c r="JQ31" s="32">
        <v>45621</v>
      </c>
      <c r="JR31" s="32">
        <v>45622</v>
      </c>
      <c r="JS31" s="32">
        <v>45623</v>
      </c>
      <c r="JT31" s="32">
        <v>45624</v>
      </c>
      <c r="JU31" s="32">
        <v>45625</v>
      </c>
      <c r="JV31" s="32">
        <v>45626</v>
      </c>
      <c r="JW31" s="32">
        <v>45627</v>
      </c>
      <c r="JX31" s="32">
        <v>45628</v>
      </c>
      <c r="JY31" s="32">
        <v>45629</v>
      </c>
      <c r="JZ31" s="32">
        <v>45630</v>
      </c>
      <c r="KA31" s="32">
        <v>45631</v>
      </c>
      <c r="KB31" s="32">
        <v>45632</v>
      </c>
      <c r="KC31" s="32">
        <v>45633</v>
      </c>
      <c r="KD31" s="32">
        <v>45634</v>
      </c>
      <c r="KE31" s="32">
        <v>45635</v>
      </c>
      <c r="KF31" s="32">
        <v>45636</v>
      </c>
      <c r="KG31" s="32">
        <v>45637</v>
      </c>
      <c r="KH31" s="32">
        <v>45638</v>
      </c>
      <c r="KI31" s="32">
        <v>45639</v>
      </c>
      <c r="KJ31" s="32">
        <v>45640</v>
      </c>
      <c r="KK31" s="32">
        <v>45641</v>
      </c>
      <c r="KL31" s="32">
        <v>45642</v>
      </c>
      <c r="KM31" s="32">
        <v>45643</v>
      </c>
      <c r="KN31" s="32">
        <v>45644</v>
      </c>
      <c r="KO31" s="32">
        <v>45645</v>
      </c>
      <c r="KP31" s="32">
        <v>45646</v>
      </c>
      <c r="KQ31" s="32">
        <v>45647</v>
      </c>
      <c r="KR31" s="32">
        <v>45648</v>
      </c>
      <c r="KS31" s="32">
        <v>45649</v>
      </c>
      <c r="KT31" s="32">
        <v>45650</v>
      </c>
      <c r="KU31" s="32">
        <v>45651</v>
      </c>
      <c r="KV31" s="32">
        <v>45652</v>
      </c>
      <c r="KW31" s="32">
        <v>45653</v>
      </c>
      <c r="KX31" s="32">
        <v>45654</v>
      </c>
      <c r="KY31" s="32">
        <v>45655</v>
      </c>
      <c r="KZ31" s="32">
        <v>45656</v>
      </c>
      <c r="LA31" s="32">
        <v>45657</v>
      </c>
      <c r="LB31" s="87"/>
      <c r="LC31" s="87"/>
      <c r="LD31" s="87"/>
      <c r="LE31" s="87"/>
      <c r="LF31" s="87"/>
      <c r="LG31" s="32">
        <v>45663</v>
      </c>
      <c r="LH31" s="32">
        <v>45664</v>
      </c>
      <c r="LI31" s="32">
        <v>45665</v>
      </c>
      <c r="LJ31" s="32">
        <v>45666</v>
      </c>
      <c r="LK31" s="32">
        <v>45667</v>
      </c>
      <c r="LL31" s="32">
        <v>45668</v>
      </c>
      <c r="LM31" s="32">
        <v>45669</v>
      </c>
      <c r="LN31" s="32">
        <v>45670</v>
      </c>
      <c r="LO31" s="32">
        <v>45671</v>
      </c>
      <c r="LP31" s="32">
        <v>45672</v>
      </c>
      <c r="LQ31" s="32">
        <v>45673</v>
      </c>
      <c r="LR31" s="32">
        <v>45674</v>
      </c>
      <c r="LS31" s="32">
        <v>45675</v>
      </c>
      <c r="LT31" s="32">
        <v>45676</v>
      </c>
      <c r="LU31" s="32">
        <v>45677</v>
      </c>
      <c r="LV31" s="32">
        <v>45678</v>
      </c>
      <c r="LW31" s="32">
        <v>45679</v>
      </c>
      <c r="LX31" s="32">
        <v>45680</v>
      </c>
      <c r="LY31" s="32">
        <v>45681</v>
      </c>
      <c r="LZ31" s="32">
        <v>45682</v>
      </c>
      <c r="MA31" s="32">
        <v>45683</v>
      </c>
      <c r="MB31" s="32">
        <v>45684</v>
      </c>
      <c r="MC31" s="32">
        <v>45685</v>
      </c>
      <c r="MD31" s="32">
        <v>45686</v>
      </c>
      <c r="ME31" s="32">
        <v>45687</v>
      </c>
      <c r="MF31" s="32">
        <v>45688</v>
      </c>
      <c r="MG31" s="32">
        <v>45689</v>
      </c>
      <c r="MH31" s="32">
        <v>45690</v>
      </c>
      <c r="MI31" s="32">
        <v>45691</v>
      </c>
      <c r="MJ31" s="32">
        <v>45692</v>
      </c>
      <c r="MK31" s="32">
        <v>45693</v>
      </c>
      <c r="ML31" s="32">
        <v>45694</v>
      </c>
      <c r="MM31" s="32">
        <v>45695</v>
      </c>
      <c r="MN31" s="32">
        <v>45696</v>
      </c>
      <c r="MO31" s="32">
        <v>45697</v>
      </c>
      <c r="MP31" s="32">
        <v>45698</v>
      </c>
      <c r="MQ31" s="32">
        <v>45699</v>
      </c>
      <c r="MR31" s="32">
        <v>45700</v>
      </c>
      <c r="MS31" s="32">
        <v>45701</v>
      </c>
      <c r="MT31" s="32">
        <v>45702</v>
      </c>
      <c r="MU31" s="32">
        <v>45703</v>
      </c>
      <c r="MV31" s="32">
        <v>45704</v>
      </c>
      <c r="MW31" s="32">
        <v>45705</v>
      </c>
      <c r="MX31" s="32">
        <v>45706</v>
      </c>
      <c r="MY31" s="32">
        <v>45707</v>
      </c>
      <c r="MZ31" s="32">
        <v>45708</v>
      </c>
      <c r="NA31" s="32">
        <v>45709</v>
      </c>
      <c r="NB31" s="32">
        <v>45710</v>
      </c>
      <c r="NC31" s="32">
        <v>45711</v>
      </c>
      <c r="ND31" s="32">
        <v>45712</v>
      </c>
      <c r="NE31" s="32">
        <v>45713</v>
      </c>
      <c r="NF31" s="32">
        <v>45714</v>
      </c>
      <c r="NG31" s="32">
        <v>45715</v>
      </c>
      <c r="NH31" s="32">
        <v>45716</v>
      </c>
      <c r="NI31" s="32">
        <v>45717</v>
      </c>
      <c r="NJ31" s="32">
        <v>45718</v>
      </c>
      <c r="NK31" s="32">
        <v>45719</v>
      </c>
      <c r="NL31" s="32">
        <v>45720</v>
      </c>
      <c r="NM31" s="32">
        <v>45721</v>
      </c>
      <c r="NN31" s="32">
        <v>45722</v>
      </c>
      <c r="NO31" s="32">
        <v>45723</v>
      </c>
      <c r="NP31" s="32">
        <v>45724</v>
      </c>
      <c r="NQ31" s="32">
        <v>45725</v>
      </c>
      <c r="NR31" s="32">
        <v>45726</v>
      </c>
      <c r="NS31" s="32">
        <v>45727</v>
      </c>
      <c r="NT31" s="32">
        <v>45728</v>
      </c>
      <c r="NU31" s="32">
        <v>45729</v>
      </c>
      <c r="NV31" s="32">
        <v>45730</v>
      </c>
      <c r="NW31" s="32">
        <v>45731</v>
      </c>
      <c r="NX31" s="32">
        <v>45732</v>
      </c>
      <c r="NY31" s="32">
        <v>45733</v>
      </c>
      <c r="NZ31" s="32">
        <v>45734</v>
      </c>
      <c r="OA31" s="32">
        <v>45735</v>
      </c>
      <c r="OB31" s="32">
        <v>45736</v>
      </c>
      <c r="OC31" s="32">
        <v>45737</v>
      </c>
      <c r="OD31" s="32">
        <v>45738</v>
      </c>
      <c r="OE31" s="32">
        <v>45739</v>
      </c>
      <c r="OF31" s="32">
        <v>45740</v>
      </c>
      <c r="OG31" s="32">
        <v>45741</v>
      </c>
      <c r="OH31" s="32">
        <v>45742</v>
      </c>
      <c r="OI31" s="32">
        <v>45743</v>
      </c>
      <c r="OJ31" s="32">
        <v>45744</v>
      </c>
      <c r="OK31" s="32">
        <v>45745</v>
      </c>
      <c r="OL31" s="32">
        <v>45746</v>
      </c>
      <c r="OM31" s="32">
        <v>45747</v>
      </c>
      <c r="ON31" s="32">
        <v>45748</v>
      </c>
      <c r="OO31" s="32">
        <v>45749</v>
      </c>
      <c r="OP31" s="32">
        <v>45750</v>
      </c>
      <c r="OQ31" s="32">
        <v>45751</v>
      </c>
      <c r="OR31" s="32">
        <v>45752</v>
      </c>
      <c r="OS31" s="32">
        <v>45753</v>
      </c>
      <c r="OT31" s="32">
        <v>45754</v>
      </c>
      <c r="OU31" s="32">
        <v>45755</v>
      </c>
      <c r="OV31" s="32">
        <v>45756</v>
      </c>
      <c r="OW31" s="32">
        <v>45757</v>
      </c>
      <c r="OX31" s="32">
        <v>45758</v>
      </c>
      <c r="OY31" s="32">
        <v>45759</v>
      </c>
      <c r="OZ31" s="32">
        <v>45760</v>
      </c>
      <c r="PA31" s="32">
        <v>45761</v>
      </c>
      <c r="PB31" s="32">
        <v>45762</v>
      </c>
      <c r="PC31" s="32">
        <v>45763</v>
      </c>
      <c r="PD31" s="32">
        <v>45764</v>
      </c>
      <c r="PE31" s="32">
        <v>45765</v>
      </c>
      <c r="PF31" s="32">
        <v>45766</v>
      </c>
      <c r="PG31" s="32">
        <v>45767</v>
      </c>
      <c r="PH31" s="32">
        <v>45768</v>
      </c>
      <c r="PI31" s="32">
        <v>45769</v>
      </c>
      <c r="PJ31" s="32">
        <v>45770</v>
      </c>
      <c r="PK31" s="32">
        <v>45771</v>
      </c>
      <c r="PL31" s="32">
        <v>45772</v>
      </c>
      <c r="PM31" s="32">
        <v>45773</v>
      </c>
      <c r="PN31" s="32">
        <v>45774</v>
      </c>
      <c r="PO31" s="32">
        <v>45775</v>
      </c>
      <c r="PP31" s="32">
        <v>45776</v>
      </c>
      <c r="PQ31" s="32">
        <v>45777</v>
      </c>
      <c r="PR31" s="32">
        <v>45778</v>
      </c>
      <c r="PS31" s="32">
        <v>45779</v>
      </c>
      <c r="PT31" s="32">
        <v>45780</v>
      </c>
      <c r="PU31" s="32">
        <v>45781</v>
      </c>
      <c r="PV31" s="32">
        <v>45782</v>
      </c>
      <c r="PW31" s="32">
        <v>45783</v>
      </c>
      <c r="PX31" s="32">
        <v>45784</v>
      </c>
      <c r="PY31" s="32">
        <v>45785</v>
      </c>
      <c r="PZ31" s="32">
        <v>45786</v>
      </c>
      <c r="QA31" s="32">
        <v>45787</v>
      </c>
      <c r="QB31" s="32">
        <v>45788</v>
      </c>
      <c r="QC31" s="32">
        <v>45789</v>
      </c>
      <c r="QD31" s="32">
        <v>45790</v>
      </c>
      <c r="QE31" s="32">
        <v>45791</v>
      </c>
      <c r="QF31" s="32">
        <v>45792</v>
      </c>
      <c r="QG31" s="32">
        <v>45793</v>
      </c>
      <c r="QH31" s="32">
        <v>45794</v>
      </c>
      <c r="QI31" s="32">
        <v>45795</v>
      </c>
      <c r="QJ31" s="32">
        <v>45796</v>
      </c>
      <c r="QK31" s="32">
        <v>45797</v>
      </c>
      <c r="QL31" s="32">
        <v>45798</v>
      </c>
      <c r="QM31" s="32">
        <v>45799</v>
      </c>
      <c r="QN31" s="32">
        <v>45800</v>
      </c>
      <c r="QO31" s="32">
        <v>45801</v>
      </c>
      <c r="QP31" s="32">
        <v>45802</v>
      </c>
      <c r="QQ31" s="32">
        <v>45803</v>
      </c>
      <c r="QR31" s="32">
        <v>45804</v>
      </c>
      <c r="QS31" s="32">
        <v>45805</v>
      </c>
      <c r="QT31" s="32">
        <v>45806</v>
      </c>
      <c r="QU31" s="32">
        <v>45807</v>
      </c>
      <c r="QV31" s="32">
        <v>45808</v>
      </c>
      <c r="QW31" s="32">
        <v>45809</v>
      </c>
      <c r="QX31" s="32">
        <v>45810</v>
      </c>
    </row>
    <row r="32" spans="1:466">
      <c r="A32" s="30" t="s">
        <v>205</v>
      </c>
      <c r="B32" s="24">
        <v>6</v>
      </c>
      <c r="C32" s="24"/>
      <c r="D32" s="52" t="s">
        <v>206</v>
      </c>
      <c r="E32" s="53" t="s">
        <v>207</v>
      </c>
      <c r="F32" s="54" t="s">
        <v>208</v>
      </c>
      <c r="G32" s="54" t="s">
        <v>208</v>
      </c>
      <c r="H32" s="54" t="s">
        <v>208</v>
      </c>
      <c r="I32" s="54"/>
      <c r="J32" s="54"/>
      <c r="K32" s="54" t="s">
        <v>208</v>
      </c>
      <c r="L32" s="54" t="s">
        <v>208</v>
      </c>
      <c r="M32" s="54" t="s">
        <v>208</v>
      </c>
      <c r="N32" s="54" t="s">
        <v>208</v>
      </c>
      <c r="O32" s="54" t="s">
        <v>208</v>
      </c>
      <c r="P32" s="54"/>
      <c r="Q32" s="54"/>
      <c r="R32" s="54" t="s">
        <v>208</v>
      </c>
      <c r="S32" s="54" t="s">
        <v>208</v>
      </c>
      <c r="T32" s="54" t="s">
        <v>208</v>
      </c>
      <c r="U32" s="54" t="s">
        <v>208</v>
      </c>
      <c r="V32" s="54" t="s">
        <v>208</v>
      </c>
      <c r="W32" s="54"/>
      <c r="X32" s="54"/>
      <c r="Y32" s="54" t="s">
        <v>208</v>
      </c>
      <c r="Z32" s="54" t="s">
        <v>208</v>
      </c>
      <c r="AA32" s="54" t="s">
        <v>208</v>
      </c>
      <c r="AB32" s="54" t="s">
        <v>208</v>
      </c>
      <c r="AC32" s="54" t="s">
        <v>208</v>
      </c>
      <c r="AD32" s="54"/>
      <c r="AE32" s="54"/>
      <c r="AF32" s="54" t="s">
        <v>208</v>
      </c>
      <c r="AG32" s="54" t="s">
        <v>208</v>
      </c>
      <c r="AH32" s="54" t="s">
        <v>208</v>
      </c>
      <c r="AI32" s="54" t="s">
        <v>208</v>
      </c>
      <c r="AJ32" s="55" t="s">
        <v>142</v>
      </c>
      <c r="AK32" s="55"/>
      <c r="AL32" s="55"/>
      <c r="AM32" s="55" t="s">
        <v>142</v>
      </c>
      <c r="AN32" s="54" t="s">
        <v>208</v>
      </c>
      <c r="AO32" s="54" t="s">
        <v>208</v>
      </c>
      <c r="AP32" s="54" t="s">
        <v>208</v>
      </c>
      <c r="AQ32" s="54" t="s">
        <v>208</v>
      </c>
      <c r="AR32" s="54"/>
      <c r="AS32" s="54"/>
      <c r="AT32" s="54" t="s">
        <v>208</v>
      </c>
      <c r="AU32" s="54" t="s">
        <v>208</v>
      </c>
      <c r="AV32" s="54" t="s">
        <v>208</v>
      </c>
      <c r="AW32" s="54" t="s">
        <v>208</v>
      </c>
      <c r="AX32" s="54" t="s">
        <v>208</v>
      </c>
      <c r="AY32" s="54"/>
      <c r="AZ32" s="54"/>
      <c r="BA32" s="54" t="s">
        <v>208</v>
      </c>
      <c r="BB32" s="54" t="s">
        <v>208</v>
      </c>
      <c r="BC32" s="54" t="s">
        <v>208</v>
      </c>
      <c r="BD32" s="54" t="s">
        <v>208</v>
      </c>
      <c r="BE32" s="54" t="s">
        <v>208</v>
      </c>
      <c r="BF32" s="54"/>
      <c r="BG32" s="54"/>
      <c r="BH32" s="54" t="s">
        <v>208</v>
      </c>
      <c r="BI32" s="54" t="s">
        <v>208</v>
      </c>
      <c r="BJ32" s="54" t="s">
        <v>208</v>
      </c>
      <c r="BK32" s="54" t="s">
        <v>208</v>
      </c>
      <c r="BL32" s="54" t="s">
        <v>208</v>
      </c>
      <c r="BM32" s="54"/>
      <c r="BN32" s="54"/>
      <c r="BO32" s="54" t="s">
        <v>208</v>
      </c>
      <c r="BP32" s="54" t="s">
        <v>208</v>
      </c>
      <c r="BQ32" s="54" t="s">
        <v>208</v>
      </c>
      <c r="BR32" s="54" t="s">
        <v>208</v>
      </c>
      <c r="BS32" s="54" t="s">
        <v>208</v>
      </c>
      <c r="BT32" s="54"/>
      <c r="BU32" s="54"/>
      <c r="BV32" s="55" t="s">
        <v>142</v>
      </c>
      <c r="BW32" s="54" t="s">
        <v>208</v>
      </c>
      <c r="BX32" s="54" t="s">
        <v>208</v>
      </c>
      <c r="BY32" s="54" t="s">
        <v>208</v>
      </c>
      <c r="BZ32" s="54" t="s">
        <v>208</v>
      </c>
      <c r="CA32" s="54"/>
      <c r="CB32" s="54"/>
      <c r="CC32" s="54" t="s">
        <v>208</v>
      </c>
      <c r="CD32" s="54" t="s">
        <v>208</v>
      </c>
      <c r="CE32" s="54" t="s">
        <v>208</v>
      </c>
      <c r="CF32" s="54" t="s">
        <v>208</v>
      </c>
      <c r="CG32" s="54" t="s">
        <v>208</v>
      </c>
      <c r="CH32" s="56"/>
      <c r="CI32" s="56"/>
      <c r="CJ32" s="54" t="s">
        <v>208</v>
      </c>
      <c r="CK32" s="54" t="s">
        <v>208</v>
      </c>
      <c r="CL32" s="54" t="s">
        <v>208</v>
      </c>
      <c r="CM32" s="54" t="s">
        <v>208</v>
      </c>
      <c r="CN32" s="54" t="s">
        <v>208</v>
      </c>
      <c r="CO32" s="24"/>
      <c r="CP32" s="24"/>
      <c r="CQ32" s="24"/>
      <c r="CR32" s="54" t="s">
        <v>208</v>
      </c>
      <c r="CS32" s="54" t="s">
        <v>208</v>
      </c>
      <c r="CT32" s="54" t="s">
        <v>208</v>
      </c>
      <c r="CU32" s="54" t="s">
        <v>208</v>
      </c>
      <c r="CV32" s="24"/>
      <c r="CW32" s="24"/>
      <c r="CX32" s="56" t="s">
        <v>208</v>
      </c>
      <c r="CY32" s="56" t="s">
        <v>208</v>
      </c>
      <c r="CZ32" s="56" t="s">
        <v>208</v>
      </c>
      <c r="DA32" s="56" t="s">
        <v>208</v>
      </c>
      <c r="DB32" s="56" t="s">
        <v>208</v>
      </c>
      <c r="DC32" s="24"/>
      <c r="DD32" s="24"/>
      <c r="DJ32" s="24"/>
      <c r="DK32" s="24"/>
      <c r="DQ32" s="24"/>
      <c r="DR32" s="24"/>
      <c r="DX32" s="24"/>
      <c r="DY32" s="24"/>
      <c r="EE32" s="24"/>
      <c r="EF32" s="24"/>
      <c r="EL32" s="24"/>
      <c r="EM32" s="24"/>
      <c r="ES32" s="24"/>
      <c r="ET32" s="24"/>
      <c r="EZ32" s="24"/>
      <c r="FA32" s="24"/>
      <c r="FG32" s="24"/>
      <c r="FH32" s="24"/>
      <c r="FN32" s="24"/>
      <c r="FO32" s="24"/>
      <c r="FU32" s="24"/>
      <c r="FV32" s="24"/>
      <c r="GB32" s="24"/>
      <c r="GC32" s="24"/>
    </row>
    <row r="33" spans="1:313">
      <c r="A33" s="30" t="s">
        <v>209</v>
      </c>
      <c r="B33" s="24"/>
      <c r="C33" s="24"/>
      <c r="D33" s="57"/>
      <c r="E33" s="58"/>
      <c r="F33" s="56">
        <v>66</v>
      </c>
      <c r="G33" s="56">
        <v>46</v>
      </c>
      <c r="H33" s="56">
        <v>62</v>
      </c>
      <c r="I33" s="56">
        <v>6</v>
      </c>
      <c r="J33" s="56">
        <v>7</v>
      </c>
      <c r="K33" s="56">
        <v>52</v>
      </c>
      <c r="L33" s="56">
        <v>49</v>
      </c>
      <c r="M33" s="56">
        <v>69</v>
      </c>
      <c r="N33" s="56">
        <v>50</v>
      </c>
      <c r="O33" s="56">
        <v>51</v>
      </c>
      <c r="P33" s="56">
        <v>10</v>
      </c>
      <c r="Q33" s="56">
        <v>8</v>
      </c>
      <c r="R33" s="56">
        <v>76</v>
      </c>
      <c r="S33" s="56">
        <v>67</v>
      </c>
      <c r="T33" s="56">
        <v>60</v>
      </c>
      <c r="U33" s="56">
        <v>59</v>
      </c>
      <c r="V33" s="56">
        <v>84</v>
      </c>
      <c r="W33" s="56">
        <v>8</v>
      </c>
      <c r="X33" s="56">
        <v>6</v>
      </c>
      <c r="Y33" s="56">
        <v>65</v>
      </c>
      <c r="Z33" s="56">
        <v>67</v>
      </c>
      <c r="AA33" s="56">
        <v>45</v>
      </c>
      <c r="AB33" s="56">
        <v>53</v>
      </c>
      <c r="AC33" s="56">
        <v>44</v>
      </c>
      <c r="AD33" s="56">
        <v>4</v>
      </c>
      <c r="AE33" s="56">
        <v>1</v>
      </c>
      <c r="AF33" s="56">
        <v>42</v>
      </c>
      <c r="AG33" s="56">
        <v>53</v>
      </c>
      <c r="AH33" s="56">
        <v>43</v>
      </c>
      <c r="AI33" s="56">
        <v>69</v>
      </c>
      <c r="AJ33" s="48" t="s">
        <v>142</v>
      </c>
      <c r="AK33" s="48"/>
      <c r="AL33" s="48"/>
      <c r="AM33" s="48">
        <v>19</v>
      </c>
      <c r="AN33" s="56">
        <v>53</v>
      </c>
      <c r="AO33" s="56">
        <v>55</v>
      </c>
      <c r="AP33" s="56">
        <v>34</v>
      </c>
      <c r="AQ33" s="56">
        <v>34</v>
      </c>
      <c r="AR33" s="56">
        <v>4</v>
      </c>
      <c r="AS33" s="56">
        <v>17</v>
      </c>
      <c r="AT33" s="56">
        <v>57</v>
      </c>
      <c r="AU33" s="56">
        <v>48</v>
      </c>
      <c r="AV33" s="56">
        <v>44</v>
      </c>
      <c r="AW33" s="56">
        <v>44</v>
      </c>
      <c r="AX33" s="56">
        <v>43</v>
      </c>
      <c r="AY33" s="56">
        <v>19</v>
      </c>
      <c r="AZ33" s="56">
        <v>6</v>
      </c>
      <c r="BA33" s="56">
        <v>66</v>
      </c>
      <c r="BB33" s="56">
        <v>83</v>
      </c>
      <c r="BC33" s="56">
        <v>58</v>
      </c>
      <c r="BD33" s="56">
        <v>76</v>
      </c>
      <c r="BE33" s="56">
        <v>51</v>
      </c>
      <c r="BF33" s="56">
        <v>18</v>
      </c>
      <c r="BG33" s="56">
        <v>9</v>
      </c>
      <c r="BH33" s="56">
        <v>79</v>
      </c>
      <c r="BI33" s="56">
        <v>52</v>
      </c>
      <c r="BJ33" s="56">
        <v>53</v>
      </c>
      <c r="BK33" s="56">
        <v>64</v>
      </c>
      <c r="BL33" s="56">
        <v>49</v>
      </c>
      <c r="BM33" s="56">
        <v>7</v>
      </c>
      <c r="BN33" s="56">
        <v>4</v>
      </c>
      <c r="BO33" s="56">
        <v>46</v>
      </c>
      <c r="BP33" s="56">
        <v>64</v>
      </c>
      <c r="BQ33" s="56">
        <v>28</v>
      </c>
      <c r="BR33" s="56">
        <v>58</v>
      </c>
      <c r="BS33" s="56">
        <v>34</v>
      </c>
      <c r="BT33" s="56">
        <v>7</v>
      </c>
      <c r="BU33" s="56">
        <v>9</v>
      </c>
      <c r="BV33" s="48">
        <v>9</v>
      </c>
      <c r="BW33" s="56">
        <v>44</v>
      </c>
      <c r="BX33" s="56">
        <v>54</v>
      </c>
      <c r="BY33" s="56">
        <v>50</v>
      </c>
      <c r="BZ33" s="56">
        <v>10</v>
      </c>
      <c r="CA33" s="56">
        <v>3</v>
      </c>
      <c r="CB33" s="56">
        <v>6</v>
      </c>
      <c r="CC33" s="56">
        <v>35</v>
      </c>
      <c r="CD33" s="56">
        <v>46</v>
      </c>
      <c r="CE33" s="56">
        <v>64</v>
      </c>
      <c r="CF33" s="56">
        <v>72</v>
      </c>
      <c r="CG33" s="56">
        <v>51</v>
      </c>
      <c r="CH33" s="56">
        <v>17</v>
      </c>
      <c r="CI33" s="56">
        <v>8</v>
      </c>
      <c r="CJ33" s="56">
        <v>69</v>
      </c>
      <c r="CK33" s="56">
        <v>63</v>
      </c>
      <c r="CL33" s="56">
        <v>39</v>
      </c>
      <c r="CM33" s="56">
        <v>59</v>
      </c>
      <c r="CN33" s="56">
        <v>41</v>
      </c>
      <c r="CO33" s="24">
        <v>9</v>
      </c>
      <c r="CP33" s="24">
        <v>10</v>
      </c>
      <c r="CQ33" s="24">
        <v>23</v>
      </c>
      <c r="CR33" s="56">
        <v>29</v>
      </c>
      <c r="CS33" s="56">
        <v>36</v>
      </c>
      <c r="CT33" s="56">
        <v>0</v>
      </c>
      <c r="CU33" s="56">
        <v>0</v>
      </c>
      <c r="CV33" s="24"/>
      <c r="CW33" s="24"/>
      <c r="CX33" s="56">
        <v>73</v>
      </c>
      <c r="CY33" s="56">
        <v>70</v>
      </c>
      <c r="CZ33" s="56">
        <v>50</v>
      </c>
      <c r="DA33" s="56">
        <v>62</v>
      </c>
      <c r="DB33" s="56">
        <v>61</v>
      </c>
      <c r="DC33" s="24">
        <v>16</v>
      </c>
      <c r="DD33" s="24">
        <v>7</v>
      </c>
      <c r="DE33" s="1">
        <v>44</v>
      </c>
      <c r="DF33" s="1">
        <v>62</v>
      </c>
      <c r="DG33" s="1">
        <v>43</v>
      </c>
      <c r="DH33" s="1">
        <v>78</v>
      </c>
      <c r="DI33" s="1">
        <v>70</v>
      </c>
      <c r="DJ33" s="24">
        <v>5</v>
      </c>
      <c r="DK33" s="24">
        <v>4</v>
      </c>
      <c r="DL33" s="1">
        <v>43</v>
      </c>
      <c r="DM33" s="1">
        <v>54</v>
      </c>
      <c r="DN33" s="1">
        <v>30</v>
      </c>
      <c r="DO33" s="1">
        <v>39</v>
      </c>
      <c r="DP33" s="1">
        <v>54</v>
      </c>
      <c r="DQ33" s="24">
        <v>12</v>
      </c>
      <c r="DR33" s="24">
        <v>9</v>
      </c>
      <c r="DS33" s="1">
        <v>94</v>
      </c>
      <c r="DT33" s="1">
        <v>45</v>
      </c>
      <c r="DU33" s="1">
        <v>45</v>
      </c>
      <c r="DV33" s="1">
        <v>50</v>
      </c>
      <c r="DW33" s="1">
        <v>53</v>
      </c>
      <c r="DX33" s="24">
        <v>4</v>
      </c>
      <c r="DY33" s="24">
        <v>8</v>
      </c>
      <c r="DZ33" s="1">
        <v>66</v>
      </c>
      <c r="EA33" s="1">
        <v>55</v>
      </c>
      <c r="EB33" s="1">
        <v>45</v>
      </c>
      <c r="EC33" s="1">
        <v>28</v>
      </c>
      <c r="ED33" s="1">
        <v>52</v>
      </c>
      <c r="EE33" s="24">
        <v>13</v>
      </c>
      <c r="EF33" s="24">
        <v>8</v>
      </c>
      <c r="EG33" s="1">
        <v>64</v>
      </c>
      <c r="EH33" s="1">
        <v>53</v>
      </c>
      <c r="EI33" s="1">
        <v>46</v>
      </c>
      <c r="EJ33" s="1">
        <v>37</v>
      </c>
      <c r="EK33" s="1">
        <v>39</v>
      </c>
      <c r="EL33" s="24">
        <v>9</v>
      </c>
      <c r="EM33" s="24">
        <v>0</v>
      </c>
      <c r="EN33" s="1">
        <v>60</v>
      </c>
      <c r="EO33" s="1">
        <v>39</v>
      </c>
      <c r="EP33" s="1">
        <v>41</v>
      </c>
      <c r="EQ33" s="1">
        <v>57</v>
      </c>
      <c r="ER33" s="1">
        <v>50</v>
      </c>
      <c r="ES33" s="24"/>
      <c r="ET33" s="24"/>
      <c r="EU33" s="1">
        <v>42</v>
      </c>
      <c r="EV33" s="1">
        <v>41</v>
      </c>
      <c r="EW33" s="1">
        <v>33</v>
      </c>
      <c r="EX33" s="1">
        <v>44</v>
      </c>
      <c r="EY33" s="1">
        <v>31</v>
      </c>
      <c r="EZ33" s="24"/>
      <c r="FA33" s="24"/>
      <c r="FB33" s="1">
        <v>43</v>
      </c>
      <c r="FC33" s="1">
        <v>37</v>
      </c>
      <c r="FD33" s="1">
        <v>48</v>
      </c>
      <c r="FE33" s="1">
        <v>45</v>
      </c>
      <c r="FF33" s="1">
        <v>35</v>
      </c>
      <c r="FG33" s="24"/>
      <c r="FH33" s="24"/>
      <c r="FI33" s="1">
        <v>36</v>
      </c>
      <c r="FJ33" s="1">
        <v>47</v>
      </c>
      <c r="FK33" s="1">
        <v>46</v>
      </c>
      <c r="FL33" s="1">
        <v>32</v>
      </c>
      <c r="FM33" s="1">
        <v>39</v>
      </c>
      <c r="FP33" s="1">
        <v>32</v>
      </c>
      <c r="FQ33" s="1">
        <v>40</v>
      </c>
      <c r="FR33" s="1">
        <v>24</v>
      </c>
      <c r="FS33" s="1">
        <v>46</v>
      </c>
      <c r="FT33" s="1">
        <v>53</v>
      </c>
      <c r="FW33" s="1">
        <v>55</v>
      </c>
      <c r="FX33" s="1">
        <v>38</v>
      </c>
      <c r="FY33" s="1">
        <v>63</v>
      </c>
      <c r="FZ33" s="1">
        <v>49</v>
      </c>
      <c r="GA33" s="1">
        <v>23</v>
      </c>
      <c r="GE33" s="1">
        <v>42</v>
      </c>
      <c r="GF33" s="1">
        <v>28</v>
      </c>
      <c r="GG33" s="1">
        <v>50</v>
      </c>
      <c r="GH33" s="1">
        <v>23</v>
      </c>
      <c r="GI33" s="1">
        <v>6</v>
      </c>
      <c r="GJ33" s="1">
        <v>10</v>
      </c>
      <c r="GK33" s="1">
        <v>84</v>
      </c>
      <c r="GL33" s="1">
        <v>60</v>
      </c>
      <c r="GM33" s="1">
        <v>86</v>
      </c>
      <c r="GN33" s="1">
        <v>70</v>
      </c>
      <c r="GO33" s="1">
        <v>57</v>
      </c>
      <c r="GR33" s="1">
        <v>65</v>
      </c>
      <c r="GS33" s="1">
        <v>59</v>
      </c>
      <c r="GT33" s="1">
        <v>39</v>
      </c>
      <c r="GU33" s="1">
        <v>53</v>
      </c>
      <c r="GV33" s="1">
        <v>40</v>
      </c>
      <c r="GY33" s="1">
        <v>62</v>
      </c>
      <c r="GZ33" s="1">
        <v>48</v>
      </c>
      <c r="HA33" s="1">
        <v>48</v>
      </c>
      <c r="HB33" s="1">
        <v>54</v>
      </c>
      <c r="HC33" s="1">
        <v>45</v>
      </c>
      <c r="HF33" s="1">
        <v>61</v>
      </c>
      <c r="HG33" s="1">
        <v>72</v>
      </c>
      <c r="HH33" s="1">
        <v>58</v>
      </c>
      <c r="HI33" s="1">
        <v>42</v>
      </c>
      <c r="HJ33" s="1">
        <v>42</v>
      </c>
      <c r="HM33" s="1">
        <v>58</v>
      </c>
      <c r="HN33" s="1">
        <v>44</v>
      </c>
      <c r="HO33" s="1">
        <v>56</v>
      </c>
      <c r="HP33" s="1">
        <v>64</v>
      </c>
      <c r="HQ33" s="1">
        <v>44</v>
      </c>
      <c r="HT33" s="1">
        <v>122</v>
      </c>
      <c r="HU33" s="1">
        <v>64</v>
      </c>
      <c r="HV33" s="1">
        <v>61</v>
      </c>
      <c r="HW33" s="1">
        <v>56</v>
      </c>
      <c r="HX33" s="1">
        <v>45</v>
      </c>
      <c r="IA33" s="1">
        <v>64</v>
      </c>
      <c r="IB33" s="1">
        <v>46</v>
      </c>
      <c r="IC33" s="1">
        <v>33</v>
      </c>
      <c r="ID33" s="1">
        <v>53</v>
      </c>
      <c r="IE33" s="1">
        <v>34</v>
      </c>
      <c r="IH33" s="1">
        <v>27</v>
      </c>
      <c r="II33" s="1">
        <v>40</v>
      </c>
      <c r="IJ33" s="1">
        <v>31</v>
      </c>
      <c r="IK33" s="1">
        <v>37</v>
      </c>
      <c r="IL33" s="1">
        <v>33</v>
      </c>
      <c r="IO33" s="1">
        <v>37</v>
      </c>
      <c r="IP33" s="1">
        <v>34</v>
      </c>
      <c r="IQ33" s="1">
        <v>38</v>
      </c>
      <c r="IR33" s="1">
        <v>30</v>
      </c>
      <c r="IS33" s="1">
        <v>29</v>
      </c>
      <c r="IV33" s="1">
        <v>47</v>
      </c>
      <c r="IW33" s="1">
        <v>53</v>
      </c>
      <c r="IX33" s="1">
        <v>47</v>
      </c>
      <c r="IY33" s="1">
        <v>56</v>
      </c>
      <c r="IZ33" s="1">
        <v>51</v>
      </c>
      <c r="JC33" s="1">
        <v>68</v>
      </c>
      <c r="JD33" s="1">
        <v>59</v>
      </c>
      <c r="JE33" s="1">
        <v>48</v>
      </c>
      <c r="JF33" s="1">
        <v>57</v>
      </c>
      <c r="JG33" s="1">
        <v>49</v>
      </c>
      <c r="JJ33" s="1">
        <v>49</v>
      </c>
      <c r="JK33" s="1">
        <v>32</v>
      </c>
      <c r="JL33" s="1">
        <v>46</v>
      </c>
      <c r="JM33" s="1">
        <v>41</v>
      </c>
      <c r="JN33" s="1">
        <v>25</v>
      </c>
      <c r="JQ33" s="1">
        <v>60</v>
      </c>
      <c r="JR33" s="1">
        <v>43</v>
      </c>
      <c r="JS33" s="1">
        <v>31</v>
      </c>
      <c r="JT33" s="1">
        <v>35</v>
      </c>
      <c r="JU33" s="1">
        <v>46</v>
      </c>
      <c r="JX33" s="1">
        <v>44</v>
      </c>
      <c r="JY33" s="1">
        <v>57</v>
      </c>
      <c r="JZ33" s="1">
        <v>54</v>
      </c>
      <c r="KA33" s="1">
        <v>30</v>
      </c>
      <c r="KB33" s="1">
        <v>39</v>
      </c>
      <c r="KE33" s="1">
        <v>33</v>
      </c>
      <c r="KF33" s="1">
        <v>34</v>
      </c>
      <c r="KG33" s="1">
        <v>45</v>
      </c>
      <c r="KH33" s="1">
        <v>32</v>
      </c>
      <c r="KI33" s="1">
        <v>37</v>
      </c>
      <c r="KL33" s="1">
        <v>27</v>
      </c>
      <c r="KM33" s="1">
        <v>40</v>
      </c>
      <c r="KN33" s="1">
        <v>28</v>
      </c>
      <c r="KO33" s="1">
        <v>36</v>
      </c>
      <c r="KP33" s="1">
        <v>43</v>
      </c>
      <c r="KS33" s="1">
        <v>23</v>
      </c>
      <c r="KT33" s="1">
        <v>7</v>
      </c>
      <c r="KW33" s="1">
        <v>12</v>
      </c>
      <c r="KZ33" s="1">
        <v>6</v>
      </c>
      <c r="LA33" s="1">
        <v>8</v>
      </c>
    </row>
    <row r="34" spans="1:313">
      <c r="A34" s="30" t="s">
        <v>210</v>
      </c>
      <c r="B34" s="24"/>
      <c r="C34" s="24"/>
      <c r="D34" s="57"/>
      <c r="E34" s="58"/>
      <c r="F34" s="56">
        <v>21</v>
      </c>
      <c r="G34" s="56">
        <v>34</v>
      </c>
      <c r="H34" s="56">
        <v>60</v>
      </c>
      <c r="I34" s="56"/>
      <c r="J34" s="56"/>
      <c r="K34" s="56">
        <v>46</v>
      </c>
      <c r="L34" s="56">
        <v>36</v>
      </c>
      <c r="M34" s="56">
        <v>40</v>
      </c>
      <c r="N34" s="56">
        <v>45</v>
      </c>
      <c r="O34" s="56">
        <v>37</v>
      </c>
      <c r="P34" s="56">
        <v>0</v>
      </c>
      <c r="Q34" s="56">
        <v>0</v>
      </c>
      <c r="R34" s="56">
        <v>65</v>
      </c>
      <c r="S34" s="56">
        <v>39</v>
      </c>
      <c r="T34" s="56">
        <v>36</v>
      </c>
      <c r="U34" s="56">
        <v>32</v>
      </c>
      <c r="V34" s="56">
        <v>44</v>
      </c>
      <c r="W34" s="56">
        <v>0</v>
      </c>
      <c r="X34" s="56">
        <v>0</v>
      </c>
      <c r="Y34" s="56">
        <v>40</v>
      </c>
      <c r="Z34" s="56">
        <v>36</v>
      </c>
      <c r="AA34" s="56">
        <v>22</v>
      </c>
      <c r="AB34" s="56">
        <v>36</v>
      </c>
      <c r="AC34" s="56">
        <v>48</v>
      </c>
      <c r="AD34" s="56">
        <v>1</v>
      </c>
      <c r="AE34" s="56">
        <v>0</v>
      </c>
      <c r="AF34" s="56">
        <v>37</v>
      </c>
      <c r="AG34" s="56">
        <v>40</v>
      </c>
      <c r="AH34" s="56">
        <v>39</v>
      </c>
      <c r="AI34" s="56">
        <v>29</v>
      </c>
      <c r="AJ34" s="48"/>
      <c r="AK34" s="48"/>
      <c r="AL34" s="48"/>
      <c r="AM34" s="48"/>
      <c r="AN34" s="56">
        <v>69</v>
      </c>
      <c r="AO34" s="56">
        <v>45</v>
      </c>
      <c r="AP34" s="56">
        <v>29</v>
      </c>
      <c r="AQ34" s="56">
        <v>49</v>
      </c>
      <c r="AR34" s="56">
        <v>2</v>
      </c>
      <c r="AS34" s="56">
        <v>0</v>
      </c>
      <c r="AT34" s="56">
        <v>45</v>
      </c>
      <c r="AU34" s="56">
        <v>34</v>
      </c>
      <c r="AV34" s="56">
        <v>35</v>
      </c>
      <c r="AW34" s="56">
        <v>32</v>
      </c>
      <c r="AX34" s="56">
        <v>35</v>
      </c>
      <c r="AY34" s="56">
        <v>6</v>
      </c>
      <c r="AZ34" s="56">
        <v>1</v>
      </c>
      <c r="BA34" s="56">
        <v>56</v>
      </c>
      <c r="BB34" s="56">
        <v>56</v>
      </c>
      <c r="BC34" s="56">
        <v>41</v>
      </c>
      <c r="BD34" s="56">
        <v>50</v>
      </c>
      <c r="BE34" s="56">
        <v>36</v>
      </c>
      <c r="BF34" s="56">
        <v>3</v>
      </c>
      <c r="BG34" s="56">
        <v>2</v>
      </c>
      <c r="BH34" s="56">
        <v>50</v>
      </c>
      <c r="BI34" s="56">
        <v>37</v>
      </c>
      <c r="BJ34" s="56">
        <v>45</v>
      </c>
      <c r="BK34" s="56">
        <v>48</v>
      </c>
      <c r="BL34" s="56">
        <v>41</v>
      </c>
      <c r="BM34" s="56">
        <v>3</v>
      </c>
      <c r="BN34" s="56">
        <v>0</v>
      </c>
      <c r="BO34" s="56">
        <v>29</v>
      </c>
      <c r="BP34" s="56">
        <v>36</v>
      </c>
      <c r="BQ34" s="56">
        <v>19</v>
      </c>
      <c r="BR34" s="56">
        <v>33</v>
      </c>
      <c r="BS34" s="56">
        <v>32</v>
      </c>
      <c r="BT34" s="56">
        <v>0</v>
      </c>
      <c r="BU34" s="56">
        <v>5</v>
      </c>
      <c r="BV34" s="48">
        <v>0</v>
      </c>
      <c r="BW34" s="56">
        <v>54</v>
      </c>
      <c r="BX34" s="56">
        <v>38</v>
      </c>
      <c r="BY34" s="56">
        <v>36</v>
      </c>
      <c r="BZ34" s="56">
        <v>29</v>
      </c>
      <c r="CA34" s="56">
        <v>2</v>
      </c>
      <c r="CB34" s="56">
        <v>0</v>
      </c>
      <c r="CC34" s="56">
        <v>37</v>
      </c>
      <c r="CD34" s="56">
        <v>33</v>
      </c>
      <c r="CE34" s="56">
        <v>35</v>
      </c>
      <c r="CF34" s="56">
        <v>46</v>
      </c>
      <c r="CG34" s="56">
        <v>38</v>
      </c>
      <c r="CH34" s="56">
        <v>8</v>
      </c>
      <c r="CI34" s="56">
        <v>3</v>
      </c>
      <c r="CJ34" s="56">
        <v>54</v>
      </c>
      <c r="CK34" s="56">
        <v>22</v>
      </c>
      <c r="CL34" s="56">
        <v>37</v>
      </c>
      <c r="CM34" s="56">
        <v>34</v>
      </c>
      <c r="CN34" s="56">
        <v>41</v>
      </c>
      <c r="CO34" s="24">
        <v>5</v>
      </c>
      <c r="CP34" s="24">
        <v>6</v>
      </c>
      <c r="CQ34" s="24">
        <v>14</v>
      </c>
      <c r="CR34" s="56">
        <v>22</v>
      </c>
      <c r="CS34" s="56">
        <v>29</v>
      </c>
      <c r="CT34" s="56">
        <v>0</v>
      </c>
      <c r="CU34" s="56">
        <v>0</v>
      </c>
      <c r="CV34" s="24"/>
      <c r="CW34" s="24"/>
      <c r="CX34" s="56">
        <v>61</v>
      </c>
      <c r="CY34" s="56">
        <v>55</v>
      </c>
      <c r="CZ34" s="56">
        <v>34</v>
      </c>
      <c r="DA34" s="56">
        <v>51</v>
      </c>
      <c r="DB34" s="56">
        <v>41</v>
      </c>
      <c r="DC34" s="24">
        <v>5</v>
      </c>
      <c r="DD34" s="24">
        <v>2</v>
      </c>
      <c r="DE34" s="1">
        <v>34</v>
      </c>
      <c r="DF34" s="1">
        <v>50</v>
      </c>
      <c r="DG34" s="1">
        <v>29</v>
      </c>
      <c r="DH34" s="1">
        <v>44</v>
      </c>
      <c r="DI34" s="1">
        <v>46</v>
      </c>
      <c r="DJ34" s="24">
        <v>2</v>
      </c>
      <c r="DK34" s="24">
        <v>2</v>
      </c>
      <c r="DL34" s="1">
        <v>49</v>
      </c>
      <c r="DM34" s="1">
        <v>42</v>
      </c>
      <c r="DN34" s="1">
        <v>24</v>
      </c>
      <c r="DO34" s="1">
        <v>23</v>
      </c>
      <c r="DP34" s="1">
        <v>33</v>
      </c>
      <c r="DQ34" s="24"/>
      <c r="DR34" s="24"/>
      <c r="DS34" s="1">
        <v>67</v>
      </c>
      <c r="DT34" s="1">
        <v>36</v>
      </c>
      <c r="DU34" s="1">
        <v>32</v>
      </c>
      <c r="DV34" s="1">
        <v>34</v>
      </c>
      <c r="DW34" s="1">
        <v>39</v>
      </c>
      <c r="DX34" s="24">
        <v>2</v>
      </c>
      <c r="DY34" s="24">
        <v>2</v>
      </c>
      <c r="DZ34" s="1">
        <v>42</v>
      </c>
      <c r="EA34" s="1">
        <v>37</v>
      </c>
      <c r="EB34" s="1">
        <v>33</v>
      </c>
      <c r="EC34" s="1">
        <v>16</v>
      </c>
      <c r="ED34" s="1">
        <v>34</v>
      </c>
      <c r="EE34" s="24">
        <v>1</v>
      </c>
      <c r="EF34" s="24">
        <v>3</v>
      </c>
      <c r="EG34" s="1">
        <v>62</v>
      </c>
      <c r="EH34" s="1">
        <v>36</v>
      </c>
      <c r="EI34" s="1">
        <v>36</v>
      </c>
      <c r="EJ34" s="1">
        <v>37</v>
      </c>
      <c r="EK34" s="1">
        <v>32</v>
      </c>
      <c r="EL34" s="24">
        <v>5</v>
      </c>
      <c r="EM34" s="24">
        <v>0</v>
      </c>
      <c r="EN34" s="1">
        <v>39</v>
      </c>
      <c r="EO34" s="1">
        <v>40</v>
      </c>
      <c r="EP34" s="1">
        <v>34</v>
      </c>
      <c r="EQ34" s="1">
        <v>40</v>
      </c>
      <c r="ER34" s="1">
        <v>29</v>
      </c>
      <c r="ES34" s="24"/>
      <c r="ET34" s="24"/>
      <c r="EU34" s="1">
        <v>36</v>
      </c>
      <c r="EV34" s="1">
        <v>37</v>
      </c>
      <c r="EW34" s="1">
        <v>31</v>
      </c>
      <c r="EX34" s="1">
        <v>27</v>
      </c>
      <c r="EY34" s="1">
        <v>24</v>
      </c>
      <c r="EZ34" s="24"/>
      <c r="FA34" s="24"/>
      <c r="FB34" s="1">
        <v>26</v>
      </c>
      <c r="FC34" s="1">
        <v>35</v>
      </c>
      <c r="FD34" s="1">
        <v>20</v>
      </c>
      <c r="FE34" s="1">
        <v>26</v>
      </c>
      <c r="FF34" s="1">
        <v>26</v>
      </c>
      <c r="FG34" s="24"/>
      <c r="FH34" s="24"/>
      <c r="FI34" s="1">
        <v>22</v>
      </c>
      <c r="FJ34" s="1">
        <v>28</v>
      </c>
      <c r="FK34" s="1">
        <v>36</v>
      </c>
      <c r="FL34" s="1">
        <v>29</v>
      </c>
      <c r="FM34" s="1">
        <v>36</v>
      </c>
      <c r="FP34" s="1">
        <v>31</v>
      </c>
      <c r="FQ34" s="1">
        <v>25</v>
      </c>
      <c r="FR34" s="1">
        <v>16</v>
      </c>
      <c r="FS34" s="1">
        <v>25</v>
      </c>
      <c r="FT34" s="1">
        <v>20</v>
      </c>
      <c r="FW34" s="1">
        <v>21</v>
      </c>
      <c r="FX34" s="1">
        <v>36</v>
      </c>
      <c r="FY34" s="1">
        <v>30</v>
      </c>
      <c r="FZ34" s="1">
        <v>36</v>
      </c>
      <c r="GA34" s="1">
        <v>22</v>
      </c>
      <c r="GE34" s="1">
        <v>35</v>
      </c>
      <c r="GF34" s="1">
        <v>29</v>
      </c>
      <c r="GG34" s="1">
        <v>40</v>
      </c>
      <c r="GH34" s="1">
        <v>12</v>
      </c>
      <c r="GJ34" s="1">
        <v>5</v>
      </c>
      <c r="GK34" s="1">
        <v>40</v>
      </c>
      <c r="GL34" s="1">
        <v>26</v>
      </c>
      <c r="GM34" s="1">
        <v>47</v>
      </c>
      <c r="GN34" s="1">
        <v>42</v>
      </c>
      <c r="GO34" s="1">
        <v>31</v>
      </c>
      <c r="GR34" s="1">
        <v>35</v>
      </c>
      <c r="GS34" s="1">
        <v>44</v>
      </c>
      <c r="GT34" s="1">
        <v>28</v>
      </c>
      <c r="GU34" s="1">
        <v>23</v>
      </c>
      <c r="GV34" s="1">
        <v>23</v>
      </c>
      <c r="GY34" s="1">
        <v>38</v>
      </c>
      <c r="GZ34" s="1">
        <v>32</v>
      </c>
      <c r="HA34" s="1">
        <v>33</v>
      </c>
      <c r="HB34" s="1">
        <v>35</v>
      </c>
      <c r="HC34" s="1">
        <v>26</v>
      </c>
      <c r="HF34" s="1">
        <v>35</v>
      </c>
      <c r="HG34" s="1">
        <v>45</v>
      </c>
      <c r="HH34" s="1">
        <v>42</v>
      </c>
      <c r="HI34" s="1">
        <v>32</v>
      </c>
      <c r="HJ34" s="1">
        <v>26</v>
      </c>
      <c r="HM34" s="1">
        <v>30</v>
      </c>
      <c r="HN34" s="1">
        <v>21</v>
      </c>
      <c r="HO34" s="1">
        <v>22</v>
      </c>
      <c r="HP34" s="1">
        <v>29</v>
      </c>
      <c r="HQ34" s="1">
        <v>28</v>
      </c>
      <c r="HT34" s="1">
        <v>66</v>
      </c>
      <c r="HU34" s="1">
        <v>36</v>
      </c>
      <c r="HV34" s="1">
        <v>41</v>
      </c>
      <c r="HW34" s="1">
        <v>33</v>
      </c>
      <c r="HX34" s="1">
        <v>35</v>
      </c>
      <c r="IA34" s="1">
        <v>29</v>
      </c>
      <c r="IB34" s="1">
        <v>29</v>
      </c>
      <c r="IC34" s="1">
        <v>32</v>
      </c>
      <c r="ID34" s="1">
        <v>22</v>
      </c>
      <c r="IE34" s="1">
        <v>22</v>
      </c>
      <c r="IH34" s="1">
        <v>16</v>
      </c>
      <c r="II34" s="1">
        <v>25</v>
      </c>
      <c r="IJ34" s="1">
        <v>28</v>
      </c>
      <c r="IK34" s="1">
        <v>20</v>
      </c>
      <c r="IL34" s="1">
        <v>23</v>
      </c>
      <c r="IO34" s="1">
        <v>33</v>
      </c>
      <c r="IP34" s="1">
        <v>32</v>
      </c>
      <c r="IQ34" s="1">
        <v>24</v>
      </c>
      <c r="IR34" s="1">
        <v>16</v>
      </c>
      <c r="IS34" s="1">
        <v>8</v>
      </c>
      <c r="IV34" s="1">
        <v>21</v>
      </c>
      <c r="IW34" s="1">
        <v>26</v>
      </c>
      <c r="IX34" s="1">
        <v>23</v>
      </c>
      <c r="IY34" s="1">
        <v>30</v>
      </c>
      <c r="IZ34" s="1">
        <v>23</v>
      </c>
      <c r="JC34" s="1">
        <v>33</v>
      </c>
      <c r="JD34" s="1">
        <v>37</v>
      </c>
      <c r="JE34" s="1">
        <v>18</v>
      </c>
      <c r="JF34" s="1">
        <v>24</v>
      </c>
      <c r="JG34" s="1">
        <v>25</v>
      </c>
      <c r="JJ34" s="1">
        <v>20</v>
      </c>
      <c r="JK34" s="1">
        <v>21</v>
      </c>
      <c r="JL34" s="1">
        <v>23</v>
      </c>
      <c r="JM34" s="1">
        <v>14</v>
      </c>
      <c r="JN34" s="1">
        <v>26</v>
      </c>
      <c r="JQ34" s="1">
        <v>33</v>
      </c>
      <c r="JR34" s="1">
        <v>19</v>
      </c>
      <c r="JS34" s="1">
        <v>23</v>
      </c>
      <c r="JT34" s="1">
        <v>15</v>
      </c>
      <c r="JU34" s="1">
        <v>22</v>
      </c>
      <c r="JX34" s="1">
        <v>23</v>
      </c>
      <c r="JY34" s="1">
        <v>29</v>
      </c>
      <c r="JZ34" s="1">
        <v>24</v>
      </c>
      <c r="KA34" s="1">
        <v>15</v>
      </c>
      <c r="KB34" s="1">
        <v>15</v>
      </c>
      <c r="KE34" s="1">
        <v>20</v>
      </c>
      <c r="KF34" s="1">
        <v>23</v>
      </c>
      <c r="KG34" s="1">
        <v>26</v>
      </c>
      <c r="KH34" s="1">
        <v>13</v>
      </c>
      <c r="KI34" s="1">
        <v>16</v>
      </c>
      <c r="KL34" s="1">
        <v>20</v>
      </c>
      <c r="KM34" s="1">
        <v>22</v>
      </c>
      <c r="KN34" s="1">
        <v>19</v>
      </c>
      <c r="KO34" s="1">
        <v>23</v>
      </c>
      <c r="KP34" s="1">
        <v>22</v>
      </c>
      <c r="KS34" s="1">
        <v>26</v>
      </c>
      <c r="KT34" s="1">
        <v>4</v>
      </c>
      <c r="KW34" s="1">
        <v>8</v>
      </c>
      <c r="KZ34" s="1">
        <v>4</v>
      </c>
      <c r="LA34" s="1">
        <v>3</v>
      </c>
    </row>
    <row r="35" spans="1:313">
      <c r="A35" s="30" t="s">
        <v>211</v>
      </c>
      <c r="B35" s="24"/>
      <c r="C35" s="24"/>
      <c r="D35" s="57"/>
      <c r="E35" s="58"/>
      <c r="F35" s="56">
        <v>65</v>
      </c>
      <c r="G35" s="56">
        <v>52</v>
      </c>
      <c r="H35" s="56">
        <v>93</v>
      </c>
      <c r="I35" s="56">
        <v>7</v>
      </c>
      <c r="J35" s="56">
        <v>0</v>
      </c>
      <c r="K35" s="56">
        <v>57</v>
      </c>
      <c r="L35" s="56">
        <v>48</v>
      </c>
      <c r="M35" s="56">
        <v>51</v>
      </c>
      <c r="N35" s="56">
        <v>68</v>
      </c>
      <c r="O35" s="56">
        <v>47</v>
      </c>
      <c r="P35" s="56">
        <v>0</v>
      </c>
      <c r="Q35" s="56">
        <v>0</v>
      </c>
      <c r="R35" s="56">
        <v>81</v>
      </c>
      <c r="S35" s="56">
        <v>52</v>
      </c>
      <c r="T35" s="56">
        <v>70</v>
      </c>
      <c r="U35" s="56">
        <v>53</v>
      </c>
      <c r="V35" s="56">
        <v>78</v>
      </c>
      <c r="W35" s="56">
        <v>3</v>
      </c>
      <c r="X35" s="56">
        <v>3</v>
      </c>
      <c r="Y35" s="56">
        <v>82</v>
      </c>
      <c r="Z35" s="56">
        <v>49</v>
      </c>
      <c r="AA35" s="56">
        <v>54</v>
      </c>
      <c r="AB35" s="56">
        <v>65</v>
      </c>
      <c r="AC35" s="56">
        <v>67</v>
      </c>
      <c r="AD35" s="56">
        <v>4</v>
      </c>
      <c r="AE35" s="56">
        <v>1</v>
      </c>
      <c r="AF35" s="56">
        <v>51</v>
      </c>
      <c r="AG35" s="56">
        <v>53</v>
      </c>
      <c r="AH35" s="56">
        <v>58</v>
      </c>
      <c r="AI35" s="56">
        <v>57</v>
      </c>
      <c r="AJ35" s="48"/>
      <c r="AK35" s="48"/>
      <c r="AL35" s="48"/>
      <c r="AM35" s="48"/>
      <c r="AN35" s="56">
        <v>102</v>
      </c>
      <c r="AO35" s="56">
        <v>65</v>
      </c>
      <c r="AP35" s="56">
        <v>35</v>
      </c>
      <c r="AQ35" s="56">
        <v>57</v>
      </c>
      <c r="AR35" s="56">
        <v>2</v>
      </c>
      <c r="AS35" s="56">
        <v>0</v>
      </c>
      <c r="AT35" s="56">
        <v>67</v>
      </c>
      <c r="AU35" s="56">
        <v>54</v>
      </c>
      <c r="AV35" s="56">
        <v>55</v>
      </c>
      <c r="AW35" s="56">
        <v>49</v>
      </c>
      <c r="AX35" s="56">
        <v>51</v>
      </c>
      <c r="AY35" s="56">
        <v>6</v>
      </c>
      <c r="AZ35" s="56">
        <v>1</v>
      </c>
      <c r="BA35" s="56">
        <v>69</v>
      </c>
      <c r="BB35" s="56">
        <v>79</v>
      </c>
      <c r="BC35" s="56">
        <v>64</v>
      </c>
      <c r="BD35" s="56">
        <v>85</v>
      </c>
      <c r="BE35" s="56">
        <v>70</v>
      </c>
      <c r="BF35" s="56">
        <v>4</v>
      </c>
      <c r="BG35" s="56">
        <v>3</v>
      </c>
      <c r="BH35" s="56">
        <v>77</v>
      </c>
      <c r="BI35" s="56">
        <v>61</v>
      </c>
      <c r="BJ35" s="56">
        <v>54</v>
      </c>
      <c r="BK35" s="56">
        <v>67</v>
      </c>
      <c r="BL35" s="56">
        <v>67</v>
      </c>
      <c r="BM35" s="56">
        <v>4</v>
      </c>
      <c r="BN35" s="56">
        <v>0</v>
      </c>
      <c r="BO35" s="56">
        <v>50</v>
      </c>
      <c r="BP35" s="56">
        <v>62</v>
      </c>
      <c r="BQ35" s="56">
        <v>35</v>
      </c>
      <c r="BR35" s="56">
        <v>54</v>
      </c>
      <c r="BS35" s="56">
        <v>39</v>
      </c>
      <c r="BT35" s="56">
        <v>0</v>
      </c>
      <c r="BU35" s="56">
        <v>6</v>
      </c>
      <c r="BV35" s="48">
        <v>0</v>
      </c>
      <c r="BW35" s="56">
        <v>87</v>
      </c>
      <c r="BX35" s="56">
        <v>45</v>
      </c>
      <c r="BY35" s="56">
        <v>49</v>
      </c>
      <c r="BZ35" s="56">
        <v>53</v>
      </c>
      <c r="CA35" s="56">
        <v>2</v>
      </c>
      <c r="CB35" s="56">
        <v>0</v>
      </c>
      <c r="CC35" s="56">
        <v>50</v>
      </c>
      <c r="CD35" s="56">
        <v>59</v>
      </c>
      <c r="CE35" s="56">
        <v>49</v>
      </c>
      <c r="CF35" s="56">
        <v>73</v>
      </c>
      <c r="CG35" s="56">
        <v>60</v>
      </c>
      <c r="CH35" s="56">
        <v>8</v>
      </c>
      <c r="CI35" s="56">
        <v>3</v>
      </c>
      <c r="CJ35" s="56">
        <v>70</v>
      </c>
      <c r="CK35" s="56">
        <v>58</v>
      </c>
      <c r="CL35" s="56">
        <v>43</v>
      </c>
      <c r="CM35" s="56">
        <v>58</v>
      </c>
      <c r="CN35" s="56">
        <v>58</v>
      </c>
      <c r="CO35" s="24">
        <v>5</v>
      </c>
      <c r="CP35" s="24">
        <v>6</v>
      </c>
      <c r="CQ35" s="24">
        <v>15</v>
      </c>
      <c r="CR35" s="56">
        <v>30</v>
      </c>
      <c r="CS35" s="56">
        <v>35</v>
      </c>
      <c r="CT35" s="56">
        <v>0</v>
      </c>
      <c r="CU35" s="56">
        <v>0</v>
      </c>
      <c r="CV35" s="24"/>
      <c r="CW35" s="24"/>
      <c r="CX35" s="56">
        <v>81</v>
      </c>
      <c r="CY35" s="56">
        <v>77</v>
      </c>
      <c r="CZ35" s="56">
        <v>48</v>
      </c>
      <c r="DA35" s="56">
        <v>66</v>
      </c>
      <c r="DB35" s="56">
        <v>52</v>
      </c>
      <c r="DC35" s="24">
        <v>5</v>
      </c>
      <c r="DD35" s="24">
        <v>2</v>
      </c>
      <c r="DE35" s="1">
        <v>66</v>
      </c>
      <c r="DF35" s="1">
        <v>61</v>
      </c>
      <c r="DG35" s="1">
        <v>41</v>
      </c>
      <c r="DH35" s="1">
        <v>76</v>
      </c>
      <c r="DI35" s="1">
        <v>76</v>
      </c>
      <c r="DJ35" s="24">
        <v>2</v>
      </c>
      <c r="DK35" s="24">
        <v>2</v>
      </c>
      <c r="DL35" s="1">
        <v>72</v>
      </c>
      <c r="DM35" s="1">
        <v>57</v>
      </c>
      <c r="DN35" s="1">
        <v>34</v>
      </c>
      <c r="DO35" s="1">
        <v>34</v>
      </c>
      <c r="DP35" s="1">
        <v>50</v>
      </c>
      <c r="DQ35" s="24">
        <v>6</v>
      </c>
      <c r="DR35" s="24">
        <v>3</v>
      </c>
      <c r="DS35" s="1">
        <v>109</v>
      </c>
      <c r="DT35" s="1">
        <v>54</v>
      </c>
      <c r="DU35" s="1">
        <v>47</v>
      </c>
      <c r="DV35" s="1">
        <v>42</v>
      </c>
      <c r="DW35" s="1">
        <v>47</v>
      </c>
      <c r="DX35" s="24">
        <v>2</v>
      </c>
      <c r="DY35" s="24">
        <v>2</v>
      </c>
      <c r="DZ35" s="1">
        <v>66</v>
      </c>
      <c r="EA35" s="1">
        <v>59</v>
      </c>
      <c r="EB35" s="1">
        <v>59</v>
      </c>
      <c r="EC35" s="1">
        <v>28</v>
      </c>
      <c r="ED35" s="1">
        <v>50</v>
      </c>
      <c r="EE35" s="24">
        <v>1</v>
      </c>
      <c r="EF35" s="24">
        <v>3</v>
      </c>
      <c r="EG35" s="1">
        <v>78</v>
      </c>
      <c r="EH35" s="1">
        <v>47</v>
      </c>
      <c r="EI35" s="1">
        <v>50</v>
      </c>
      <c r="EJ35" s="1">
        <v>49</v>
      </c>
      <c r="EK35" s="1">
        <v>54</v>
      </c>
      <c r="EL35" s="24">
        <v>5</v>
      </c>
      <c r="EM35" s="24">
        <v>0</v>
      </c>
      <c r="EN35" s="1">
        <v>54</v>
      </c>
      <c r="EO35" s="1">
        <v>46</v>
      </c>
      <c r="EP35" s="1">
        <v>46</v>
      </c>
      <c r="EQ35" s="1">
        <v>56</v>
      </c>
      <c r="ER35" s="1">
        <v>44</v>
      </c>
      <c r="ES35" s="24"/>
      <c r="ET35" s="24"/>
      <c r="EU35" s="1">
        <v>56</v>
      </c>
      <c r="EV35" s="1">
        <v>45</v>
      </c>
      <c r="EW35" s="1">
        <v>40</v>
      </c>
      <c r="EX35" s="1">
        <v>40</v>
      </c>
      <c r="EY35" s="1">
        <v>35</v>
      </c>
      <c r="EZ35" s="24"/>
      <c r="FA35" s="24"/>
      <c r="FB35" s="1">
        <v>26</v>
      </c>
      <c r="FC35" s="1">
        <v>46</v>
      </c>
      <c r="FD35" s="1">
        <v>48</v>
      </c>
      <c r="FE35" s="1">
        <v>35</v>
      </c>
      <c r="FF35" s="1">
        <v>37</v>
      </c>
      <c r="FG35" s="24"/>
      <c r="FH35" s="24"/>
      <c r="FI35" s="1">
        <v>42</v>
      </c>
      <c r="FJ35" s="1">
        <v>41</v>
      </c>
      <c r="FK35" s="1">
        <v>46</v>
      </c>
      <c r="FL35" s="1">
        <v>35</v>
      </c>
      <c r="FM35" s="1">
        <v>42</v>
      </c>
      <c r="FP35" s="1">
        <v>45</v>
      </c>
      <c r="FQ35" s="1">
        <v>38</v>
      </c>
      <c r="FR35" s="1">
        <v>21</v>
      </c>
      <c r="FS35" s="1">
        <v>52</v>
      </c>
      <c r="FT35" s="1">
        <v>55</v>
      </c>
      <c r="FW35" s="1">
        <v>59</v>
      </c>
      <c r="FX35" s="1">
        <v>41</v>
      </c>
      <c r="FY35" s="1">
        <v>52</v>
      </c>
      <c r="FZ35" s="1">
        <v>66</v>
      </c>
      <c r="GA35" s="1">
        <v>45</v>
      </c>
      <c r="GE35" s="1">
        <v>50</v>
      </c>
      <c r="GF35" s="1">
        <v>33</v>
      </c>
      <c r="GG35" s="1">
        <v>55</v>
      </c>
      <c r="GH35" s="1">
        <v>20</v>
      </c>
      <c r="GJ35" s="1">
        <v>7</v>
      </c>
      <c r="GK35" s="1">
        <v>74</v>
      </c>
      <c r="GL35" s="1">
        <v>37</v>
      </c>
      <c r="GM35" s="1">
        <v>84</v>
      </c>
      <c r="GN35" s="1">
        <v>64</v>
      </c>
      <c r="GO35" s="1">
        <v>53</v>
      </c>
      <c r="GR35" s="1">
        <v>62</v>
      </c>
      <c r="GS35" s="1">
        <v>75</v>
      </c>
      <c r="GT35" s="1">
        <v>61</v>
      </c>
      <c r="GU35" s="1">
        <v>53</v>
      </c>
      <c r="GV35" s="1">
        <v>42</v>
      </c>
      <c r="GY35" s="1">
        <v>63</v>
      </c>
      <c r="GZ35" s="1">
        <v>62</v>
      </c>
      <c r="HA35" s="1">
        <v>50</v>
      </c>
      <c r="HB35" s="1">
        <v>53</v>
      </c>
      <c r="HC35" s="1">
        <v>56</v>
      </c>
      <c r="HF35" s="1">
        <v>54</v>
      </c>
      <c r="HG35" s="1">
        <v>66</v>
      </c>
      <c r="HH35" s="1">
        <v>79</v>
      </c>
      <c r="HI35" s="1">
        <v>57</v>
      </c>
      <c r="HJ35" s="1">
        <v>46</v>
      </c>
      <c r="HM35" s="1">
        <v>71</v>
      </c>
      <c r="HN35" s="1">
        <v>46</v>
      </c>
      <c r="HO35" s="1">
        <v>40</v>
      </c>
      <c r="HP35" s="1">
        <v>67</v>
      </c>
      <c r="HQ35" s="1">
        <v>54</v>
      </c>
      <c r="HT35" s="1">
        <v>124</v>
      </c>
      <c r="HU35" s="1">
        <v>54</v>
      </c>
      <c r="HV35" s="1">
        <v>74</v>
      </c>
      <c r="HW35" s="1">
        <v>59</v>
      </c>
      <c r="HX35" s="1">
        <v>52</v>
      </c>
      <c r="IA35" s="1">
        <v>64</v>
      </c>
      <c r="IB35" s="1">
        <v>51</v>
      </c>
      <c r="IC35" s="1">
        <v>48</v>
      </c>
      <c r="ID35" s="1">
        <v>45</v>
      </c>
      <c r="IE35" s="1">
        <v>44</v>
      </c>
      <c r="IH35" s="1">
        <v>28</v>
      </c>
      <c r="II35" s="1">
        <v>39</v>
      </c>
      <c r="IJ35" s="1">
        <v>39</v>
      </c>
      <c r="IK35" s="1">
        <v>29</v>
      </c>
      <c r="IL35" s="1">
        <v>38</v>
      </c>
      <c r="IO35" s="1">
        <v>48</v>
      </c>
      <c r="IP35" s="1">
        <v>44</v>
      </c>
      <c r="IQ35" s="1">
        <v>38</v>
      </c>
      <c r="IR35" s="1">
        <v>24</v>
      </c>
      <c r="IS35" s="1">
        <v>30</v>
      </c>
      <c r="IV35" s="1">
        <v>58</v>
      </c>
      <c r="IW35" s="1">
        <v>54</v>
      </c>
      <c r="IX35" s="1">
        <v>34</v>
      </c>
      <c r="IY35" s="1">
        <v>60</v>
      </c>
      <c r="IZ35" s="1">
        <v>50</v>
      </c>
      <c r="JC35" s="1">
        <v>74</v>
      </c>
      <c r="JD35" s="1">
        <v>71</v>
      </c>
      <c r="JE35" s="1">
        <v>39</v>
      </c>
      <c r="JF35" s="1">
        <v>62</v>
      </c>
      <c r="JG35" s="1">
        <v>59</v>
      </c>
      <c r="JJ35" s="1">
        <v>47</v>
      </c>
      <c r="JK35" s="1">
        <v>40</v>
      </c>
      <c r="JL35" s="1">
        <v>45</v>
      </c>
      <c r="JM35" s="1">
        <v>37</v>
      </c>
      <c r="JN35" s="1">
        <v>33</v>
      </c>
      <c r="JQ35" s="1">
        <v>60</v>
      </c>
      <c r="JR35" s="1">
        <v>38</v>
      </c>
      <c r="JS35" s="1">
        <v>47</v>
      </c>
      <c r="JT35" s="1">
        <v>37</v>
      </c>
      <c r="JU35" s="1">
        <v>43</v>
      </c>
      <c r="JX35" s="1">
        <v>48</v>
      </c>
      <c r="JY35" s="1">
        <v>52</v>
      </c>
      <c r="JZ35" s="1">
        <v>61</v>
      </c>
      <c r="KA35" s="1">
        <v>40</v>
      </c>
      <c r="KB35" s="1">
        <v>32</v>
      </c>
      <c r="KE35" s="1">
        <v>50</v>
      </c>
      <c r="KF35" s="1">
        <v>34</v>
      </c>
      <c r="KG35" s="1">
        <v>38</v>
      </c>
      <c r="KH35" s="1">
        <v>40</v>
      </c>
      <c r="KI35" s="1">
        <v>41</v>
      </c>
      <c r="KL35" s="1">
        <v>34</v>
      </c>
      <c r="KM35" s="1">
        <v>37</v>
      </c>
      <c r="KN35" s="1">
        <v>34</v>
      </c>
      <c r="KO35" s="1">
        <v>34</v>
      </c>
      <c r="KP35" s="1">
        <v>35</v>
      </c>
      <c r="KS35" s="1">
        <v>34</v>
      </c>
      <c r="KT35" s="1">
        <v>9</v>
      </c>
      <c r="KW35" s="1">
        <v>10</v>
      </c>
      <c r="KZ35" s="1">
        <v>15</v>
      </c>
      <c r="LA35" s="1">
        <v>10</v>
      </c>
    </row>
    <row r="36" spans="1:313" s="77" customFormat="1">
      <c r="A36" s="67" t="s">
        <v>212</v>
      </c>
      <c r="B36" s="67"/>
      <c r="C36" s="67"/>
      <c r="D36" s="68">
        <v>20</v>
      </c>
      <c r="E36" s="69">
        <v>30</v>
      </c>
      <c r="F36" s="70">
        <f>F33-F35</f>
        <v>1</v>
      </c>
      <c r="G36" s="71">
        <f t="shared" ref="G36:H36" si="0">G33-G35</f>
        <v>-6</v>
      </c>
      <c r="H36" s="71">
        <f t="shared" si="0"/>
        <v>-31</v>
      </c>
      <c r="I36" s="71">
        <f>I33-I35</f>
        <v>-1</v>
      </c>
      <c r="J36" s="70">
        <f>J33-J35</f>
        <v>7</v>
      </c>
      <c r="K36" s="71">
        <f>K33-K35</f>
        <v>-5</v>
      </c>
      <c r="L36" s="70">
        <f t="shared" ref="L36:O36" si="1">L33-L35</f>
        <v>1</v>
      </c>
      <c r="M36" s="70">
        <f t="shared" si="1"/>
        <v>18</v>
      </c>
      <c r="N36" s="71">
        <f t="shared" si="1"/>
        <v>-18</v>
      </c>
      <c r="O36" s="70">
        <f t="shared" si="1"/>
        <v>4</v>
      </c>
      <c r="P36" s="72">
        <f>P33-P35</f>
        <v>10</v>
      </c>
      <c r="Q36" s="72">
        <f>Q33-Q35</f>
        <v>8</v>
      </c>
      <c r="R36" s="71">
        <f t="shared" ref="R36" si="2">R33-R35</f>
        <v>-5</v>
      </c>
      <c r="S36" s="70">
        <f t="shared" ref="S36" si="3">S33-S35</f>
        <v>15</v>
      </c>
      <c r="T36" s="71">
        <f t="shared" ref="T36" si="4">T33-T35</f>
        <v>-10</v>
      </c>
      <c r="U36" s="70">
        <f t="shared" ref="U36" si="5">U33-U35</f>
        <v>6</v>
      </c>
      <c r="V36" s="70">
        <f t="shared" ref="V36" si="6">V33-V35</f>
        <v>6</v>
      </c>
      <c r="W36" s="72">
        <f>W33-W35</f>
        <v>5</v>
      </c>
      <c r="X36" s="72">
        <f>X33-X35</f>
        <v>3</v>
      </c>
      <c r="Y36" s="71">
        <f t="shared" ref="Y36" si="7">Y33-Y35</f>
        <v>-17</v>
      </c>
      <c r="Z36" s="70">
        <f t="shared" ref="Z36" si="8">Z33-Z35</f>
        <v>18</v>
      </c>
      <c r="AA36" s="71">
        <f t="shared" ref="AA36" si="9">AA33-AA35</f>
        <v>-9</v>
      </c>
      <c r="AB36" s="71">
        <f>AB33-AB35</f>
        <v>-12</v>
      </c>
      <c r="AC36" s="71">
        <f t="shared" ref="AC36:AI36" si="10">AC33-AC35</f>
        <v>-23</v>
      </c>
      <c r="AD36" s="73">
        <f t="shared" si="10"/>
        <v>0</v>
      </c>
      <c r="AE36" s="73">
        <f t="shared" si="10"/>
        <v>0</v>
      </c>
      <c r="AF36" s="71">
        <f t="shared" si="10"/>
        <v>-9</v>
      </c>
      <c r="AG36" s="73">
        <f t="shared" si="10"/>
        <v>0</v>
      </c>
      <c r="AH36" s="71">
        <f t="shared" si="10"/>
        <v>-15</v>
      </c>
      <c r="AI36" s="70">
        <f t="shared" si="10"/>
        <v>12</v>
      </c>
      <c r="AJ36" s="74" t="s">
        <v>142</v>
      </c>
      <c r="AK36" s="74"/>
      <c r="AL36" s="74"/>
      <c r="AM36" s="74" t="s">
        <v>142</v>
      </c>
      <c r="AN36" s="71">
        <f t="shared" ref="AN36:AS36" si="11">AN33-AN35</f>
        <v>-49</v>
      </c>
      <c r="AO36" s="71">
        <f t="shared" si="11"/>
        <v>-10</v>
      </c>
      <c r="AP36" s="75">
        <f t="shared" si="11"/>
        <v>-1</v>
      </c>
      <c r="AQ36" s="75">
        <f t="shared" si="11"/>
        <v>-23</v>
      </c>
      <c r="AR36" s="76">
        <f t="shared" si="11"/>
        <v>2</v>
      </c>
      <c r="AS36" s="76">
        <f t="shared" si="11"/>
        <v>17</v>
      </c>
      <c r="AT36" s="71">
        <f t="shared" ref="AT36:AW36" si="12">AT33-AT35</f>
        <v>-10</v>
      </c>
      <c r="AU36" s="71">
        <f t="shared" si="12"/>
        <v>-6</v>
      </c>
      <c r="AV36" s="71">
        <f t="shared" si="12"/>
        <v>-11</v>
      </c>
      <c r="AW36" s="71">
        <f t="shared" si="12"/>
        <v>-5</v>
      </c>
      <c r="AX36" s="71">
        <f t="shared" ref="AX36:BD36" si="13">AX33-AX35</f>
        <v>-8</v>
      </c>
      <c r="AY36" s="76">
        <f t="shared" si="13"/>
        <v>13</v>
      </c>
      <c r="AZ36" s="76">
        <f t="shared" si="13"/>
        <v>5</v>
      </c>
      <c r="BA36" s="71">
        <f t="shared" si="13"/>
        <v>-3</v>
      </c>
      <c r="BB36" s="70">
        <f t="shared" si="13"/>
        <v>4</v>
      </c>
      <c r="BC36" s="71">
        <f t="shared" si="13"/>
        <v>-6</v>
      </c>
      <c r="BD36" s="71">
        <f t="shared" si="13"/>
        <v>-9</v>
      </c>
      <c r="BE36" s="75">
        <f t="shared" ref="BE36:BK36" si="14">BE33-BE35</f>
        <v>-19</v>
      </c>
      <c r="BF36" s="76">
        <f>BF33-BF35</f>
        <v>14</v>
      </c>
      <c r="BG36" s="76">
        <f t="shared" si="14"/>
        <v>6</v>
      </c>
      <c r="BH36" s="70">
        <f t="shared" si="14"/>
        <v>2</v>
      </c>
      <c r="BI36" s="71">
        <f t="shared" si="14"/>
        <v>-9</v>
      </c>
      <c r="BJ36" s="71">
        <f t="shared" si="14"/>
        <v>-1</v>
      </c>
      <c r="BK36" s="71">
        <f t="shared" si="14"/>
        <v>-3</v>
      </c>
      <c r="BL36" s="75">
        <f t="shared" ref="BL36" si="15">BL33-BL35</f>
        <v>-18</v>
      </c>
      <c r="BM36" s="76">
        <f>BM33-BM35</f>
        <v>3</v>
      </c>
      <c r="BN36" s="76">
        <f t="shared" ref="BN36:BS36" si="16">BN33-BN35</f>
        <v>4</v>
      </c>
      <c r="BO36" s="71">
        <f t="shared" si="16"/>
        <v>-4</v>
      </c>
      <c r="BP36" s="70">
        <f t="shared" si="16"/>
        <v>2</v>
      </c>
      <c r="BQ36" s="71">
        <f t="shared" si="16"/>
        <v>-7</v>
      </c>
      <c r="BR36" s="70">
        <f t="shared" si="16"/>
        <v>4</v>
      </c>
      <c r="BS36" s="75">
        <f t="shared" si="16"/>
        <v>-5</v>
      </c>
      <c r="BT36" s="76">
        <f>BT33-BT35</f>
        <v>7</v>
      </c>
      <c r="BU36" s="76">
        <f t="shared" ref="BU36:CI36" si="17">BU33-BU35</f>
        <v>3</v>
      </c>
      <c r="BV36" s="76">
        <f t="shared" si="17"/>
        <v>9</v>
      </c>
      <c r="BW36" s="71">
        <f t="shared" si="17"/>
        <v>-43</v>
      </c>
      <c r="BX36" s="70">
        <f t="shared" si="17"/>
        <v>9</v>
      </c>
      <c r="BY36" s="70">
        <f t="shared" si="17"/>
        <v>1</v>
      </c>
      <c r="BZ36" s="75">
        <f t="shared" si="17"/>
        <v>-43</v>
      </c>
      <c r="CA36" s="76">
        <f t="shared" si="17"/>
        <v>1</v>
      </c>
      <c r="CB36" s="76">
        <f t="shared" si="17"/>
        <v>6</v>
      </c>
      <c r="CC36" s="71">
        <f t="shared" si="17"/>
        <v>-15</v>
      </c>
      <c r="CD36" s="71">
        <f t="shared" si="17"/>
        <v>-13</v>
      </c>
      <c r="CE36" s="70">
        <f t="shared" si="17"/>
        <v>15</v>
      </c>
      <c r="CF36" s="75">
        <f t="shared" si="17"/>
        <v>-1</v>
      </c>
      <c r="CG36" s="71">
        <f t="shared" si="17"/>
        <v>-9</v>
      </c>
      <c r="CH36" s="70">
        <f t="shared" si="17"/>
        <v>9</v>
      </c>
      <c r="CI36" s="70">
        <f t="shared" si="17"/>
        <v>5</v>
      </c>
      <c r="CJ36" s="71">
        <f t="shared" ref="CJ36:CQ36" si="18">CJ33-CJ35</f>
        <v>-1</v>
      </c>
      <c r="CK36" s="70">
        <f t="shared" si="18"/>
        <v>5</v>
      </c>
      <c r="CL36" s="75">
        <f t="shared" si="18"/>
        <v>-4</v>
      </c>
      <c r="CM36" s="70">
        <f t="shared" si="18"/>
        <v>1</v>
      </c>
      <c r="CN36" s="75">
        <f t="shared" si="18"/>
        <v>-17</v>
      </c>
      <c r="CO36" s="84">
        <f t="shared" si="18"/>
        <v>4</v>
      </c>
      <c r="CP36" s="84">
        <f t="shared" si="18"/>
        <v>4</v>
      </c>
      <c r="CQ36" s="84">
        <f t="shared" si="18"/>
        <v>8</v>
      </c>
      <c r="CR36" s="71">
        <f t="shared" ref="CR36:CU36" si="19">CR33-CR35</f>
        <v>-1</v>
      </c>
      <c r="CS36" s="70">
        <f t="shared" si="19"/>
        <v>1</v>
      </c>
      <c r="CT36" s="75">
        <f t="shared" si="19"/>
        <v>0</v>
      </c>
      <c r="CU36" s="75">
        <f t="shared" si="19"/>
        <v>0</v>
      </c>
      <c r="CV36" s="75">
        <f t="shared" ref="CV36:DP36" si="20">CV33-CV35</f>
        <v>0</v>
      </c>
      <c r="CW36" s="75">
        <f t="shared" si="20"/>
        <v>0</v>
      </c>
      <c r="CX36" s="75">
        <f t="shared" si="20"/>
        <v>-8</v>
      </c>
      <c r="CY36" s="71">
        <f t="shared" si="20"/>
        <v>-7</v>
      </c>
      <c r="CZ36" s="70">
        <f t="shared" si="20"/>
        <v>2</v>
      </c>
      <c r="DA36" s="75">
        <f t="shared" si="20"/>
        <v>-4</v>
      </c>
      <c r="DB36" s="70">
        <f t="shared" si="20"/>
        <v>9</v>
      </c>
      <c r="DC36" s="70">
        <f t="shared" si="20"/>
        <v>11</v>
      </c>
      <c r="DD36" s="70">
        <f t="shared" si="20"/>
        <v>5</v>
      </c>
      <c r="DE36" s="75">
        <f t="shared" si="20"/>
        <v>-22</v>
      </c>
      <c r="DF36" s="70">
        <f t="shared" si="20"/>
        <v>1</v>
      </c>
      <c r="DG36" s="70">
        <f t="shared" si="20"/>
        <v>2</v>
      </c>
      <c r="DH36" s="70">
        <f t="shared" si="20"/>
        <v>2</v>
      </c>
      <c r="DI36" s="75">
        <f t="shared" si="20"/>
        <v>-6</v>
      </c>
      <c r="DJ36" s="70">
        <f t="shared" si="20"/>
        <v>3</v>
      </c>
      <c r="DK36" s="70">
        <f t="shared" si="20"/>
        <v>2</v>
      </c>
      <c r="DL36" s="75">
        <f t="shared" si="20"/>
        <v>-29</v>
      </c>
      <c r="DM36" s="75">
        <f t="shared" si="20"/>
        <v>-3</v>
      </c>
      <c r="DN36" s="71">
        <f t="shared" si="20"/>
        <v>-4</v>
      </c>
      <c r="DO36" s="70">
        <f t="shared" si="20"/>
        <v>5</v>
      </c>
      <c r="DP36" s="70">
        <f t="shared" si="20"/>
        <v>4</v>
      </c>
      <c r="DQ36" s="67"/>
      <c r="DR36" s="67"/>
      <c r="DS36" s="75">
        <f t="shared" ref="DS36:DW36" si="21">DS33-DS35</f>
        <v>-15</v>
      </c>
      <c r="DT36" s="75">
        <f t="shared" si="21"/>
        <v>-9</v>
      </c>
      <c r="DU36" s="75">
        <f t="shared" si="21"/>
        <v>-2</v>
      </c>
      <c r="DV36" s="70">
        <f t="shared" si="21"/>
        <v>8</v>
      </c>
      <c r="DW36" s="70">
        <f t="shared" si="21"/>
        <v>6</v>
      </c>
      <c r="DX36" s="67"/>
      <c r="DY36" s="67"/>
      <c r="DZ36" s="70">
        <f t="shared" ref="DZ36:EC36" si="22">DZ33-DZ35</f>
        <v>0</v>
      </c>
      <c r="EA36" s="75">
        <f>EA33-EA35</f>
        <v>-4</v>
      </c>
      <c r="EB36" s="75">
        <f t="shared" si="22"/>
        <v>-14</v>
      </c>
      <c r="EC36" s="70">
        <f t="shared" si="22"/>
        <v>0</v>
      </c>
      <c r="ED36" s="70">
        <f>ED33-ED35</f>
        <v>2</v>
      </c>
      <c r="EE36" s="67"/>
      <c r="EF36" s="67"/>
      <c r="EG36" s="75">
        <f t="shared" ref="EG36:EK36" si="23">EG33-EG35</f>
        <v>-14</v>
      </c>
      <c r="EH36" s="70">
        <f t="shared" si="23"/>
        <v>6</v>
      </c>
      <c r="EI36" s="75">
        <f t="shared" si="23"/>
        <v>-4</v>
      </c>
      <c r="EJ36" s="75">
        <f t="shared" si="23"/>
        <v>-12</v>
      </c>
      <c r="EK36" s="71">
        <f t="shared" si="23"/>
        <v>-15</v>
      </c>
      <c r="EL36" s="67"/>
      <c r="EM36" s="67"/>
      <c r="EN36" s="70">
        <f t="shared" ref="EN36:EQ36" si="24">EN33-EN35</f>
        <v>6</v>
      </c>
      <c r="EO36" s="75">
        <f t="shared" si="24"/>
        <v>-7</v>
      </c>
      <c r="EP36" s="75">
        <f t="shared" si="24"/>
        <v>-5</v>
      </c>
      <c r="EQ36" s="70">
        <f t="shared" si="24"/>
        <v>1</v>
      </c>
      <c r="ER36" s="70">
        <f>ER33-ER35</f>
        <v>6</v>
      </c>
      <c r="ES36" s="67"/>
      <c r="ET36" s="67"/>
      <c r="EU36" s="75">
        <f t="shared" ref="EU36:GA36" si="25">EU33-EU35</f>
        <v>-14</v>
      </c>
      <c r="EV36" s="75">
        <f t="shared" si="25"/>
        <v>-4</v>
      </c>
      <c r="EW36" s="75">
        <f t="shared" si="25"/>
        <v>-7</v>
      </c>
      <c r="EX36" s="70">
        <f t="shared" si="25"/>
        <v>4</v>
      </c>
      <c r="EY36" s="75">
        <f t="shared" si="25"/>
        <v>-4</v>
      </c>
      <c r="EZ36" s="85"/>
      <c r="FA36" s="85"/>
      <c r="FB36" s="70">
        <f t="shared" si="25"/>
        <v>17</v>
      </c>
      <c r="FC36" s="75">
        <f t="shared" si="25"/>
        <v>-9</v>
      </c>
      <c r="FD36" s="75">
        <f t="shared" si="25"/>
        <v>0</v>
      </c>
      <c r="FE36" s="70">
        <f t="shared" si="25"/>
        <v>10</v>
      </c>
      <c r="FF36" s="75">
        <f t="shared" si="25"/>
        <v>-2</v>
      </c>
      <c r="FG36" s="24"/>
      <c r="FH36" s="24"/>
      <c r="FI36" s="75">
        <f t="shared" si="25"/>
        <v>-6</v>
      </c>
      <c r="FJ36" s="70">
        <f t="shared" si="25"/>
        <v>6</v>
      </c>
      <c r="FK36" s="75">
        <f t="shared" si="25"/>
        <v>0</v>
      </c>
      <c r="FL36" s="75">
        <f t="shared" si="25"/>
        <v>-3</v>
      </c>
      <c r="FM36" s="75">
        <f t="shared" si="25"/>
        <v>-3</v>
      </c>
      <c r="FN36" s="75"/>
      <c r="FO36" s="75"/>
      <c r="FP36" s="75">
        <f t="shared" si="25"/>
        <v>-13</v>
      </c>
      <c r="FQ36" s="70">
        <f t="shared" si="25"/>
        <v>2</v>
      </c>
      <c r="FR36" s="70">
        <f t="shared" si="25"/>
        <v>3</v>
      </c>
      <c r="FS36" s="75">
        <f t="shared" si="25"/>
        <v>-6</v>
      </c>
      <c r="FT36" s="75">
        <f t="shared" si="25"/>
        <v>-2</v>
      </c>
      <c r="FU36" s="75"/>
      <c r="FV36" s="75"/>
      <c r="FW36" s="75">
        <f t="shared" si="25"/>
        <v>-4</v>
      </c>
      <c r="FX36" s="75">
        <f t="shared" si="25"/>
        <v>-3</v>
      </c>
      <c r="FY36" s="70">
        <f t="shared" si="25"/>
        <v>11</v>
      </c>
      <c r="FZ36" s="75">
        <f t="shared" si="25"/>
        <v>-17</v>
      </c>
      <c r="GA36" s="75">
        <f t="shared" si="25"/>
        <v>-22</v>
      </c>
      <c r="GB36" s="75"/>
      <c r="GC36" s="75"/>
      <c r="GD36" s="75"/>
      <c r="GE36" s="75">
        <f t="shared" ref="GE36:HC36" si="26">GE33-GE35</f>
        <v>-8</v>
      </c>
      <c r="GF36" s="75">
        <f t="shared" si="26"/>
        <v>-5</v>
      </c>
      <c r="GG36" s="75">
        <f t="shared" si="26"/>
        <v>-5</v>
      </c>
      <c r="GH36" s="70">
        <f t="shared" si="26"/>
        <v>3</v>
      </c>
      <c r="GI36" s="75"/>
      <c r="GJ36" s="75"/>
      <c r="GK36" s="70">
        <f t="shared" si="26"/>
        <v>10</v>
      </c>
      <c r="GL36" s="70">
        <f t="shared" si="26"/>
        <v>23</v>
      </c>
      <c r="GM36" s="70">
        <f t="shared" si="26"/>
        <v>2</v>
      </c>
      <c r="GN36" s="70">
        <f t="shared" si="26"/>
        <v>6</v>
      </c>
      <c r="GO36" s="70">
        <f t="shared" si="26"/>
        <v>4</v>
      </c>
      <c r="GP36" s="70"/>
      <c r="GQ36" s="70"/>
      <c r="GR36" s="70">
        <f t="shared" si="26"/>
        <v>3</v>
      </c>
      <c r="GS36" s="75">
        <f t="shared" si="26"/>
        <v>-16</v>
      </c>
      <c r="GT36" s="75">
        <f t="shared" si="26"/>
        <v>-22</v>
      </c>
      <c r="GU36" s="75">
        <f t="shared" si="26"/>
        <v>0</v>
      </c>
      <c r="GV36" s="75">
        <f t="shared" si="26"/>
        <v>-2</v>
      </c>
      <c r="GW36" s="70"/>
      <c r="GX36" s="70"/>
      <c r="GY36" s="75">
        <f t="shared" si="26"/>
        <v>-1</v>
      </c>
      <c r="GZ36" s="75">
        <f t="shared" si="26"/>
        <v>-14</v>
      </c>
      <c r="HA36" s="75">
        <f t="shared" si="26"/>
        <v>-2</v>
      </c>
      <c r="HB36" s="70">
        <f t="shared" si="26"/>
        <v>1</v>
      </c>
      <c r="HC36" s="75">
        <f t="shared" si="26"/>
        <v>-11</v>
      </c>
      <c r="HD36" s="70"/>
      <c r="HE36" s="70"/>
      <c r="HF36" s="70">
        <f t="shared" ref="HF36:IS36" si="27">HF33-HF35</f>
        <v>7</v>
      </c>
      <c r="HG36" s="70">
        <f t="shared" si="27"/>
        <v>6</v>
      </c>
      <c r="HH36" s="75">
        <f t="shared" si="27"/>
        <v>-21</v>
      </c>
      <c r="HI36" s="75">
        <f t="shared" si="27"/>
        <v>-15</v>
      </c>
      <c r="HJ36" s="75">
        <f t="shared" si="27"/>
        <v>-4</v>
      </c>
      <c r="HK36" s="70"/>
      <c r="HL36" s="70"/>
      <c r="HM36" s="75">
        <f t="shared" si="27"/>
        <v>-13</v>
      </c>
      <c r="HN36" s="75">
        <f t="shared" si="27"/>
        <v>-2</v>
      </c>
      <c r="HO36" s="70">
        <f t="shared" si="27"/>
        <v>16</v>
      </c>
      <c r="HP36" s="75">
        <f t="shared" si="27"/>
        <v>-3</v>
      </c>
      <c r="HQ36" s="75">
        <f t="shared" si="27"/>
        <v>-10</v>
      </c>
      <c r="HR36" s="70"/>
      <c r="HS36" s="70"/>
      <c r="HT36" s="75">
        <f t="shared" si="27"/>
        <v>-2</v>
      </c>
      <c r="HU36" s="70">
        <f t="shared" si="27"/>
        <v>10</v>
      </c>
      <c r="HV36" s="75">
        <f t="shared" si="27"/>
        <v>-13</v>
      </c>
      <c r="HW36" s="75">
        <f t="shared" si="27"/>
        <v>-3</v>
      </c>
      <c r="HX36" s="75">
        <f t="shared" si="27"/>
        <v>-7</v>
      </c>
      <c r="HY36" s="75"/>
      <c r="HZ36" s="75"/>
      <c r="IA36" s="75">
        <f t="shared" si="27"/>
        <v>0</v>
      </c>
      <c r="IB36" s="75">
        <f t="shared" si="27"/>
        <v>-5</v>
      </c>
      <c r="IC36" s="75">
        <f t="shared" si="27"/>
        <v>-15</v>
      </c>
      <c r="ID36" s="70">
        <f t="shared" si="27"/>
        <v>8</v>
      </c>
      <c r="IE36" s="75">
        <f t="shared" si="27"/>
        <v>-10</v>
      </c>
      <c r="IF36" s="75"/>
      <c r="IG36" s="75"/>
      <c r="IH36" s="75">
        <f>IH33-IH35</f>
        <v>-1</v>
      </c>
      <c r="II36" s="70">
        <f t="shared" si="27"/>
        <v>1</v>
      </c>
      <c r="IJ36" s="75">
        <f t="shared" si="27"/>
        <v>-8</v>
      </c>
      <c r="IK36" s="70">
        <f t="shared" si="27"/>
        <v>8</v>
      </c>
      <c r="IL36" s="75">
        <f t="shared" si="27"/>
        <v>-5</v>
      </c>
      <c r="IM36" s="75"/>
      <c r="IN36" s="75"/>
      <c r="IO36" s="75">
        <f t="shared" si="27"/>
        <v>-11</v>
      </c>
      <c r="IP36" s="75">
        <f t="shared" si="27"/>
        <v>-10</v>
      </c>
      <c r="IQ36" s="75">
        <f t="shared" si="27"/>
        <v>0</v>
      </c>
      <c r="IR36" s="70">
        <f t="shared" si="27"/>
        <v>6</v>
      </c>
      <c r="IS36" s="75">
        <f t="shared" si="27"/>
        <v>-1</v>
      </c>
      <c r="IT36" s="75"/>
      <c r="IU36" s="75"/>
      <c r="IV36" s="75">
        <f>IV33-IV35</f>
        <v>-11</v>
      </c>
      <c r="IW36" s="75">
        <f>IW33-IW35</f>
        <v>-1</v>
      </c>
      <c r="IX36" s="70">
        <f t="shared" ref="IX36" si="28">IX33-IX35</f>
        <v>13</v>
      </c>
      <c r="IY36" s="75">
        <f>IY33-IY35</f>
        <v>-4</v>
      </c>
      <c r="IZ36" s="70">
        <f>IZ33-IZ35</f>
        <v>1</v>
      </c>
      <c r="JA36" s="75"/>
      <c r="JB36" s="75"/>
      <c r="JC36" s="75">
        <f t="shared" ref="JC36:JG36" si="29">JC33-JC35</f>
        <v>-6</v>
      </c>
      <c r="JD36" s="75">
        <f t="shared" si="29"/>
        <v>-12</v>
      </c>
      <c r="JE36" s="70">
        <f t="shared" si="29"/>
        <v>9</v>
      </c>
      <c r="JF36" s="75">
        <f t="shared" si="29"/>
        <v>-5</v>
      </c>
      <c r="JG36" s="75">
        <f t="shared" si="29"/>
        <v>-10</v>
      </c>
      <c r="JH36" s="75"/>
      <c r="JI36" s="75"/>
      <c r="JJ36" s="70">
        <f t="shared" ref="JJ36:JL36" si="30">JJ33-JJ35</f>
        <v>2</v>
      </c>
      <c r="JK36" s="75">
        <f t="shared" si="30"/>
        <v>-8</v>
      </c>
      <c r="JL36" s="70">
        <f t="shared" si="30"/>
        <v>1</v>
      </c>
      <c r="JM36" s="70">
        <f t="shared" ref="JM36:JQ36" si="31">JM33-JM35</f>
        <v>4</v>
      </c>
      <c r="JN36" s="75">
        <f t="shared" si="31"/>
        <v>-8</v>
      </c>
      <c r="JO36" s="75">
        <f t="shared" si="31"/>
        <v>0</v>
      </c>
      <c r="JP36" s="75">
        <f t="shared" si="31"/>
        <v>0</v>
      </c>
      <c r="JQ36" s="75">
        <f t="shared" si="31"/>
        <v>0</v>
      </c>
      <c r="JR36" s="70">
        <f t="shared" ref="JR36:JU36" si="32">JR33-JR35</f>
        <v>5</v>
      </c>
      <c r="JS36" s="75">
        <f t="shared" si="32"/>
        <v>-16</v>
      </c>
      <c r="JT36" s="75">
        <f t="shared" si="32"/>
        <v>-2</v>
      </c>
      <c r="JU36" s="70">
        <f t="shared" si="32"/>
        <v>3</v>
      </c>
      <c r="JV36" s="75"/>
      <c r="JW36" s="75"/>
      <c r="JX36" s="75">
        <f t="shared" ref="JX36:KA36" si="33">JX33-JX35</f>
        <v>-4</v>
      </c>
      <c r="JY36" s="70">
        <f t="shared" si="33"/>
        <v>5</v>
      </c>
      <c r="JZ36" s="75">
        <f t="shared" si="33"/>
        <v>-7</v>
      </c>
      <c r="KA36" s="75">
        <f t="shared" si="33"/>
        <v>-10</v>
      </c>
      <c r="KB36" s="70">
        <f t="shared" ref="KB36:KF36" si="34">KB33-KB35</f>
        <v>7</v>
      </c>
      <c r="KC36" s="75"/>
      <c r="KD36" s="75"/>
      <c r="KE36" s="75">
        <f t="shared" si="34"/>
        <v>-17</v>
      </c>
      <c r="KF36" s="75">
        <f t="shared" si="34"/>
        <v>0</v>
      </c>
      <c r="KG36" s="70">
        <f t="shared" ref="KG36:KI36" si="35">KG33-KG35</f>
        <v>7</v>
      </c>
      <c r="KH36" s="75">
        <f t="shared" si="35"/>
        <v>-8</v>
      </c>
      <c r="KI36" s="75">
        <f t="shared" si="35"/>
        <v>-4</v>
      </c>
      <c r="KJ36" s="75"/>
      <c r="KK36" s="75"/>
      <c r="KL36" s="75">
        <f t="shared" ref="KL36:KP36" si="36">KL33-KL35</f>
        <v>-7</v>
      </c>
      <c r="KM36" s="70">
        <f t="shared" si="36"/>
        <v>3</v>
      </c>
      <c r="KN36" s="75">
        <f t="shared" si="36"/>
        <v>-6</v>
      </c>
      <c r="KO36" s="70">
        <f t="shared" si="36"/>
        <v>2</v>
      </c>
      <c r="KP36" s="70">
        <f t="shared" si="36"/>
        <v>8</v>
      </c>
      <c r="KQ36" s="75"/>
      <c r="KR36" s="75"/>
      <c r="KS36" s="75">
        <f t="shared" ref="KS36:KT36" si="37">KS33-KS35</f>
        <v>-11</v>
      </c>
      <c r="KT36" s="75">
        <f t="shared" si="37"/>
        <v>-2</v>
      </c>
      <c r="KU36" s="75"/>
      <c r="KV36" s="75"/>
      <c r="KW36" s="70">
        <f t="shared" ref="KW36:KZ36" si="38">KW33-KW35</f>
        <v>2</v>
      </c>
      <c r="KX36" s="75"/>
      <c r="KY36" s="75"/>
      <c r="KZ36" s="75">
        <f t="shared" si="38"/>
        <v>-9</v>
      </c>
      <c r="LA36" s="75">
        <f t="shared" ref="LA36" si="39">LA33-LA35</f>
        <v>-2</v>
      </c>
    </row>
    <row r="37" spans="1:313">
      <c r="A37" s="30"/>
      <c r="B37" s="24" t="s">
        <v>15</v>
      </c>
      <c r="C37" s="24"/>
      <c r="D37" s="60">
        <f>3/4</f>
        <v>0.75</v>
      </c>
      <c r="E37" s="60">
        <f>4/4</f>
        <v>1</v>
      </c>
      <c r="F37" s="60">
        <f>3/4</f>
        <v>0.75</v>
      </c>
      <c r="G37" s="60">
        <f>4/4</f>
        <v>1</v>
      </c>
      <c r="H37" s="60">
        <f>4/4</f>
        <v>1</v>
      </c>
      <c r="I37" s="56"/>
      <c r="J37" s="56"/>
      <c r="K37" s="60">
        <f>3/4</f>
        <v>0.75</v>
      </c>
      <c r="L37" s="60">
        <f>4/4</f>
        <v>1</v>
      </c>
      <c r="M37" s="60">
        <f>3/4</f>
        <v>0.75</v>
      </c>
      <c r="N37" s="60">
        <f>4/4</f>
        <v>1</v>
      </c>
      <c r="O37" s="60">
        <f>4/4</f>
        <v>1</v>
      </c>
      <c r="P37" s="56"/>
      <c r="Q37" s="56"/>
      <c r="R37" s="60">
        <f>3/4</f>
        <v>0.75</v>
      </c>
      <c r="S37" s="60">
        <f>4/4</f>
        <v>1</v>
      </c>
      <c r="T37" s="60">
        <f>3/4</f>
        <v>0.75</v>
      </c>
      <c r="U37" s="60">
        <f>4/4</f>
        <v>1</v>
      </c>
      <c r="V37" s="60">
        <f>4/4</f>
        <v>1</v>
      </c>
      <c r="W37" s="56"/>
      <c r="X37" s="56"/>
      <c r="Y37" s="60">
        <f>3/4</f>
        <v>0.75</v>
      </c>
      <c r="Z37" s="60">
        <f>4/4</f>
        <v>1</v>
      </c>
      <c r="AA37" s="60">
        <f>3/4</f>
        <v>0.75</v>
      </c>
      <c r="AB37" s="60">
        <f>4/4</f>
        <v>1</v>
      </c>
      <c r="AC37" s="60">
        <f>4/4</f>
        <v>1</v>
      </c>
      <c r="AD37" s="56"/>
      <c r="AE37" s="56"/>
      <c r="AF37" s="60">
        <f>3/4</f>
        <v>0.75</v>
      </c>
      <c r="AG37" s="60">
        <f>4/4</f>
        <v>1</v>
      </c>
      <c r="AH37" s="60">
        <f>3/4</f>
        <v>0.75</v>
      </c>
      <c r="AI37" s="60">
        <f>4/4</f>
        <v>1</v>
      </c>
      <c r="AJ37" s="60"/>
      <c r="AK37" s="48"/>
      <c r="AL37" s="48"/>
      <c r="AM37" s="48"/>
      <c r="AN37" s="60">
        <f>3/4</f>
        <v>0.75</v>
      </c>
      <c r="AO37" s="60">
        <f>4/4</f>
        <v>1</v>
      </c>
      <c r="AP37" s="60">
        <f>3/4</f>
        <v>0.75</v>
      </c>
      <c r="AQ37" s="60">
        <f>4/4</f>
        <v>1</v>
      </c>
      <c r="AR37" s="60"/>
      <c r="AS37" s="56"/>
      <c r="AT37" s="60">
        <f>3/4</f>
        <v>0.75</v>
      </c>
      <c r="AU37" s="60">
        <f>4/4</f>
        <v>1</v>
      </c>
      <c r="AV37" s="60">
        <f>3/4</f>
        <v>0.75</v>
      </c>
      <c r="AW37" s="60">
        <f>4/4</f>
        <v>1</v>
      </c>
      <c r="AX37" s="60">
        <f>4/4</f>
        <v>1</v>
      </c>
      <c r="AY37" s="56"/>
      <c r="AZ37" s="56"/>
      <c r="BA37" s="60">
        <f>3/4</f>
        <v>0.75</v>
      </c>
      <c r="BB37" s="60">
        <f>4/4</f>
        <v>1</v>
      </c>
      <c r="BC37" s="60">
        <f>3/4</f>
        <v>0.75</v>
      </c>
      <c r="BD37" s="60">
        <f>4/4</f>
        <v>1</v>
      </c>
      <c r="BE37" s="60">
        <f>4/4</f>
        <v>1</v>
      </c>
      <c r="BF37" s="56"/>
      <c r="BG37" s="56"/>
      <c r="BH37" s="60">
        <f>3/4</f>
        <v>0.75</v>
      </c>
      <c r="BI37" s="60">
        <f>4/4</f>
        <v>1</v>
      </c>
      <c r="BJ37" s="60">
        <f>3/4</f>
        <v>0.75</v>
      </c>
      <c r="BK37" s="60">
        <f>4/4</f>
        <v>1</v>
      </c>
      <c r="BL37" s="60">
        <f>4/4</f>
        <v>1</v>
      </c>
      <c r="BM37" s="56"/>
      <c r="BN37" s="56"/>
      <c r="BO37" s="60">
        <f>3/4</f>
        <v>0.75</v>
      </c>
      <c r="BP37" s="60">
        <f>4/4</f>
        <v>1</v>
      </c>
      <c r="BQ37" s="60">
        <f>3/4</f>
        <v>0.75</v>
      </c>
      <c r="BR37" s="60">
        <f>4/4</f>
        <v>1</v>
      </c>
      <c r="BS37" s="60">
        <f>4/4</f>
        <v>1</v>
      </c>
      <c r="BT37" s="56"/>
      <c r="BU37" s="56"/>
      <c r="BV37" s="48"/>
      <c r="BW37" s="60">
        <f>4/4</f>
        <v>1</v>
      </c>
      <c r="BX37" s="60">
        <f t="shared" ref="BX37:BZ37" si="40">4/4</f>
        <v>1</v>
      </c>
      <c r="BY37" s="60">
        <f t="shared" si="40"/>
        <v>1</v>
      </c>
      <c r="BZ37" s="60">
        <f t="shared" si="40"/>
        <v>1</v>
      </c>
      <c r="CA37" s="56"/>
      <c r="CB37" s="56"/>
      <c r="CC37" s="60">
        <f>4/4</f>
        <v>1</v>
      </c>
      <c r="CD37" s="60">
        <f>3/4</f>
        <v>0.75</v>
      </c>
      <c r="CE37" s="60">
        <f>4/4</f>
        <v>1</v>
      </c>
      <c r="CF37" s="60">
        <f>3/4</f>
        <v>0.75</v>
      </c>
      <c r="CG37" s="60">
        <f>4/4</f>
        <v>1</v>
      </c>
      <c r="CH37" s="56"/>
      <c r="CI37" s="56"/>
      <c r="CJ37" s="60">
        <f>3/4</f>
        <v>0.75</v>
      </c>
      <c r="CK37" s="60">
        <f t="shared" ref="CK37:CN37" si="41">4/4</f>
        <v>1</v>
      </c>
      <c r="CL37" s="60">
        <f>3/4</f>
        <v>0.75</v>
      </c>
      <c r="CM37" s="60">
        <f t="shared" si="41"/>
        <v>1</v>
      </c>
      <c r="CN37" s="60">
        <f t="shared" si="41"/>
        <v>1</v>
      </c>
      <c r="CO37" s="24"/>
      <c r="CP37" s="24"/>
      <c r="CQ37" s="24"/>
      <c r="CR37" s="60">
        <f>3/4</f>
        <v>0.75</v>
      </c>
      <c r="CS37" s="60">
        <f t="shared" ref="CS37" si="42">3/4</f>
        <v>0.75</v>
      </c>
      <c r="CT37" s="60">
        <f>3/4</f>
        <v>0.75</v>
      </c>
      <c r="CU37" s="60">
        <f>3/4</f>
        <v>0.75</v>
      </c>
      <c r="CV37" s="60"/>
      <c r="CW37" s="60"/>
      <c r="CX37" s="60">
        <f>4/4</f>
        <v>1</v>
      </c>
      <c r="CY37" s="60">
        <f t="shared" ref="CY37:DA37" si="43">4/4</f>
        <v>1</v>
      </c>
      <c r="CZ37" s="60">
        <f t="shared" si="43"/>
        <v>1</v>
      </c>
      <c r="DA37" s="60">
        <f t="shared" si="43"/>
        <v>1</v>
      </c>
      <c r="DB37" s="60">
        <f>3/4</f>
        <v>0.75</v>
      </c>
      <c r="DC37" s="60"/>
      <c r="DD37" s="60"/>
      <c r="DE37" s="60">
        <f>4/4</f>
        <v>1</v>
      </c>
      <c r="DF37" s="60">
        <f t="shared" ref="DF37:DI37" si="44">4/4</f>
        <v>1</v>
      </c>
      <c r="DG37" s="60">
        <f t="shared" si="44"/>
        <v>1</v>
      </c>
      <c r="DH37" s="60">
        <f t="shared" si="44"/>
        <v>1</v>
      </c>
      <c r="DI37" s="60">
        <f t="shared" si="44"/>
        <v>1</v>
      </c>
      <c r="DJ37" s="60"/>
      <c r="DK37" s="60"/>
      <c r="DL37" s="60">
        <f>4/4</f>
        <v>1</v>
      </c>
      <c r="DM37" s="60">
        <f t="shared" ref="DM37:DP37" si="45">4/4</f>
        <v>1</v>
      </c>
      <c r="DN37" s="60">
        <f t="shared" si="45"/>
        <v>1</v>
      </c>
      <c r="DO37" s="60">
        <f t="shared" si="45"/>
        <v>1</v>
      </c>
      <c r="DP37" s="60">
        <f t="shared" si="45"/>
        <v>1</v>
      </c>
      <c r="DQ37" s="60"/>
      <c r="DR37" s="60"/>
      <c r="DS37" s="60">
        <f>4/4</f>
        <v>1</v>
      </c>
      <c r="DT37" s="60">
        <f t="shared" ref="DT37:DU37" si="46">4/4</f>
        <v>1</v>
      </c>
      <c r="DU37" s="60">
        <f t="shared" si="46"/>
        <v>1</v>
      </c>
      <c r="DV37" s="60">
        <f>3/4</f>
        <v>0.75</v>
      </c>
      <c r="DW37" s="60">
        <f>3/4</f>
        <v>0.75</v>
      </c>
      <c r="DX37" s="60"/>
      <c r="DY37" s="60"/>
      <c r="DZ37" s="60">
        <f>3/4</f>
        <v>0.75</v>
      </c>
      <c r="EA37" s="60">
        <f t="shared" ref="EA37:EB37" si="47">4/4</f>
        <v>1</v>
      </c>
      <c r="EB37" s="60">
        <f t="shared" si="47"/>
        <v>1</v>
      </c>
      <c r="EC37" s="60">
        <f>4/4</f>
        <v>1</v>
      </c>
      <c r="ED37" s="60">
        <f>4/4</f>
        <v>1</v>
      </c>
      <c r="EG37" s="60">
        <f t="shared" ref="EG37:EK37" si="48">4/4</f>
        <v>1</v>
      </c>
      <c r="EH37" s="60">
        <f t="shared" si="48"/>
        <v>1</v>
      </c>
      <c r="EI37" s="60">
        <f t="shared" si="48"/>
        <v>1</v>
      </c>
      <c r="EJ37" s="60">
        <f t="shared" si="48"/>
        <v>1</v>
      </c>
      <c r="EK37" s="60">
        <f t="shared" si="48"/>
        <v>1</v>
      </c>
      <c r="EN37" s="60">
        <f t="shared" ref="EN37:ER37" si="49">4/4</f>
        <v>1</v>
      </c>
      <c r="EO37" s="60">
        <f t="shared" si="49"/>
        <v>1</v>
      </c>
      <c r="EP37" s="60">
        <f t="shared" si="49"/>
        <v>1</v>
      </c>
      <c r="EQ37" s="60">
        <f t="shared" si="49"/>
        <v>1</v>
      </c>
      <c r="ER37" s="60">
        <f t="shared" si="49"/>
        <v>1</v>
      </c>
      <c r="EU37" s="60">
        <f t="shared" ref="EU37:EX37" si="50">4/4</f>
        <v>1</v>
      </c>
      <c r="EV37" s="60">
        <f t="shared" si="50"/>
        <v>1</v>
      </c>
      <c r="EW37" s="60">
        <f t="shared" si="50"/>
        <v>1</v>
      </c>
      <c r="EX37" s="60">
        <f t="shared" si="50"/>
        <v>1</v>
      </c>
      <c r="EY37" s="60">
        <f>2/4</f>
        <v>0.5</v>
      </c>
      <c r="FB37" s="60">
        <f t="shared" ref="FB37:FE37" si="51">4/4</f>
        <v>1</v>
      </c>
      <c r="FC37" s="60">
        <f>3/4</f>
        <v>0.75</v>
      </c>
      <c r="FD37" s="60">
        <f t="shared" si="51"/>
        <v>1</v>
      </c>
      <c r="FE37" s="60">
        <f t="shared" si="51"/>
        <v>1</v>
      </c>
      <c r="FF37" s="60">
        <f>4/4</f>
        <v>1</v>
      </c>
      <c r="FG37" s="24"/>
      <c r="FH37" s="24"/>
      <c r="FI37" s="60">
        <f>3/4</f>
        <v>0.75</v>
      </c>
      <c r="FJ37" s="60">
        <f>4/4</f>
        <v>1</v>
      </c>
      <c r="FK37" s="60">
        <f>3/4</f>
        <v>0.75</v>
      </c>
      <c r="FL37" s="60">
        <f t="shared" ref="FL37:FM37" si="52">3/4</f>
        <v>0.75</v>
      </c>
      <c r="FM37" s="60">
        <f t="shared" si="52"/>
        <v>0.75</v>
      </c>
      <c r="FP37" s="60">
        <f>4/4</f>
        <v>1</v>
      </c>
      <c r="FQ37" s="60">
        <f t="shared" ref="FQ37:FT37" si="53">4/4</f>
        <v>1</v>
      </c>
      <c r="FR37" s="60">
        <f>3/4</f>
        <v>0.75</v>
      </c>
      <c r="FS37" s="60">
        <f t="shared" si="53"/>
        <v>1</v>
      </c>
      <c r="FT37" s="60">
        <f t="shared" si="53"/>
        <v>1</v>
      </c>
      <c r="FW37" s="60">
        <f t="shared" ref="FW37:FX37" si="54">4/4</f>
        <v>1</v>
      </c>
      <c r="FX37" s="60">
        <f t="shared" si="54"/>
        <v>1</v>
      </c>
      <c r="FY37" s="60">
        <f t="shared" ref="FY37:HW37" si="55">3/4</f>
        <v>0.75</v>
      </c>
      <c r="FZ37" s="60">
        <f t="shared" si="55"/>
        <v>0.75</v>
      </c>
      <c r="GA37" s="60">
        <f t="shared" si="55"/>
        <v>0.75</v>
      </c>
      <c r="GB37" s="60"/>
      <c r="GC37" s="60"/>
      <c r="GD37" s="60"/>
      <c r="GE37" s="60">
        <f>2/4</f>
        <v>0.5</v>
      </c>
      <c r="GF37" s="60">
        <f t="shared" ref="GF37:GH37" si="56">2/4</f>
        <v>0.5</v>
      </c>
      <c r="GG37" s="60">
        <f t="shared" si="56"/>
        <v>0.5</v>
      </c>
      <c r="GH37" s="60">
        <f t="shared" si="56"/>
        <v>0.5</v>
      </c>
      <c r="GI37" s="60"/>
      <c r="GJ37" s="60"/>
      <c r="GK37" s="60">
        <f>2/4</f>
        <v>0.5</v>
      </c>
      <c r="GL37" s="60">
        <f>2/4</f>
        <v>0.5</v>
      </c>
      <c r="GM37" s="60">
        <f t="shared" si="55"/>
        <v>0.75</v>
      </c>
      <c r="GN37" s="60">
        <f t="shared" si="55"/>
        <v>0.75</v>
      </c>
      <c r="GO37" s="60">
        <f t="shared" si="55"/>
        <v>0.75</v>
      </c>
      <c r="GP37" s="60"/>
      <c r="GQ37" s="60"/>
      <c r="GR37" s="60">
        <f>4/4</f>
        <v>1</v>
      </c>
      <c r="GS37" s="60">
        <f t="shared" ref="GS37:GV37" si="57">4/4</f>
        <v>1</v>
      </c>
      <c r="GT37" s="60">
        <f t="shared" si="57"/>
        <v>1</v>
      </c>
      <c r="GU37" s="60">
        <f t="shared" si="57"/>
        <v>1</v>
      </c>
      <c r="GV37" s="60">
        <f t="shared" si="57"/>
        <v>1</v>
      </c>
      <c r="GW37" s="60"/>
      <c r="GX37" s="60"/>
      <c r="GY37" s="60">
        <f t="shared" si="55"/>
        <v>0.75</v>
      </c>
      <c r="GZ37" s="60">
        <f t="shared" si="55"/>
        <v>0.75</v>
      </c>
      <c r="HA37" s="60">
        <f t="shared" si="55"/>
        <v>0.75</v>
      </c>
      <c r="HB37" s="60">
        <f t="shared" si="55"/>
        <v>0.75</v>
      </c>
      <c r="HC37" s="60">
        <f t="shared" si="55"/>
        <v>0.75</v>
      </c>
      <c r="HD37" s="60"/>
      <c r="HE37" s="60"/>
      <c r="HF37" s="60">
        <f t="shared" si="55"/>
        <v>0.75</v>
      </c>
      <c r="HG37" s="60">
        <f>4/4</f>
        <v>1</v>
      </c>
      <c r="HH37" s="60">
        <f t="shared" si="55"/>
        <v>0.75</v>
      </c>
      <c r="HI37" s="60">
        <f t="shared" si="55"/>
        <v>0.75</v>
      </c>
      <c r="HJ37" s="60">
        <f t="shared" si="55"/>
        <v>0.75</v>
      </c>
      <c r="HK37" s="60"/>
      <c r="HL37" s="60"/>
      <c r="HM37" s="60">
        <f>3/4</f>
        <v>0.75</v>
      </c>
      <c r="HN37" s="60">
        <f t="shared" si="55"/>
        <v>0.75</v>
      </c>
      <c r="HO37" s="60">
        <f t="shared" si="55"/>
        <v>0.75</v>
      </c>
      <c r="HP37" s="60">
        <f t="shared" si="55"/>
        <v>0.75</v>
      </c>
      <c r="HQ37" s="60">
        <f t="shared" si="55"/>
        <v>0.75</v>
      </c>
      <c r="HR37" s="60"/>
      <c r="HS37" s="60"/>
      <c r="HT37" s="60">
        <f t="shared" si="55"/>
        <v>0.75</v>
      </c>
      <c r="HU37" s="60">
        <f>3/4</f>
        <v>0.75</v>
      </c>
      <c r="HV37" s="60">
        <f t="shared" si="55"/>
        <v>0.75</v>
      </c>
      <c r="HW37" s="60">
        <f t="shared" si="55"/>
        <v>0.75</v>
      </c>
      <c r="HX37" s="60">
        <f>2/4</f>
        <v>0.5</v>
      </c>
      <c r="HY37" s="60"/>
      <c r="HZ37" s="60"/>
      <c r="IA37" s="60">
        <f>3/4</f>
        <v>0.75</v>
      </c>
      <c r="IB37" s="60">
        <f t="shared" ref="IB37:IE37" si="58">3/4</f>
        <v>0.75</v>
      </c>
      <c r="IC37" s="60">
        <f t="shared" si="58"/>
        <v>0.75</v>
      </c>
      <c r="ID37" s="60">
        <f t="shared" si="58"/>
        <v>0.75</v>
      </c>
      <c r="IE37" s="60">
        <f t="shared" si="58"/>
        <v>0.75</v>
      </c>
      <c r="IF37" s="60"/>
      <c r="IG37" s="60"/>
      <c r="IH37" s="60">
        <f>3/4</f>
        <v>0.75</v>
      </c>
      <c r="II37" s="60">
        <f>3/4</f>
        <v>0.75</v>
      </c>
      <c r="IJ37" s="60">
        <f>3/4</f>
        <v>0.75</v>
      </c>
      <c r="IK37" s="60">
        <f t="shared" ref="IK37:IL37" si="59">3/4</f>
        <v>0.75</v>
      </c>
      <c r="IL37" s="60">
        <f t="shared" si="59"/>
        <v>0.75</v>
      </c>
      <c r="IM37" s="60"/>
      <c r="IN37" s="60"/>
      <c r="IO37" s="60">
        <f>2/4</f>
        <v>0.5</v>
      </c>
      <c r="IP37" s="60">
        <f t="shared" ref="IP37:IS37" si="60">2/4</f>
        <v>0.5</v>
      </c>
      <c r="IQ37" s="60">
        <f t="shared" si="60"/>
        <v>0.5</v>
      </c>
      <c r="IR37" s="60">
        <f t="shared" si="60"/>
        <v>0.5</v>
      </c>
      <c r="IS37" s="60">
        <f t="shared" si="60"/>
        <v>0.5</v>
      </c>
      <c r="IT37" s="60"/>
      <c r="IU37" s="60"/>
      <c r="IV37" s="60">
        <f>2/4</f>
        <v>0.5</v>
      </c>
      <c r="IW37" s="60">
        <f>3/4</f>
        <v>0.75</v>
      </c>
      <c r="IX37" s="60">
        <f>3/4</f>
        <v>0.75</v>
      </c>
      <c r="IY37" s="60">
        <f>3/4</f>
        <v>0.75</v>
      </c>
      <c r="IZ37" s="60">
        <f>3/4</f>
        <v>0.75</v>
      </c>
      <c r="JA37" s="60"/>
      <c r="JB37" s="60"/>
      <c r="JC37" s="60">
        <f>4/4</f>
        <v>1</v>
      </c>
      <c r="JD37" s="60">
        <f>4/4</f>
        <v>1</v>
      </c>
      <c r="JE37" s="60">
        <f>4/4</f>
        <v>1</v>
      </c>
      <c r="JF37" s="60">
        <f>4/4</f>
        <v>1</v>
      </c>
      <c r="JG37" s="60">
        <f>4/4</f>
        <v>1</v>
      </c>
      <c r="JH37" s="60"/>
      <c r="JI37" s="60"/>
      <c r="JJ37" s="60">
        <f>4/4</f>
        <v>1</v>
      </c>
      <c r="JK37" s="60">
        <f>4/4</f>
        <v>1</v>
      </c>
      <c r="JL37" s="60">
        <f>3/4</f>
        <v>0.75</v>
      </c>
      <c r="JM37" s="60">
        <f>4/4</f>
        <v>1</v>
      </c>
      <c r="JN37" s="60">
        <f>4/4</f>
        <v>1</v>
      </c>
      <c r="JO37" s="60"/>
      <c r="JP37" s="60"/>
      <c r="JQ37" s="60">
        <f>4/4</f>
        <v>1</v>
      </c>
      <c r="JR37" s="60">
        <f>4/4</f>
        <v>1</v>
      </c>
      <c r="JS37" s="60">
        <f>4/4</f>
        <v>1</v>
      </c>
      <c r="JT37" s="60">
        <f>4/4</f>
        <v>1</v>
      </c>
      <c r="JU37" s="60">
        <f>3/4</f>
        <v>0.75</v>
      </c>
      <c r="JV37" s="60"/>
      <c r="JW37" s="60"/>
      <c r="JX37" s="60">
        <f>4/4</f>
        <v>1</v>
      </c>
      <c r="JY37" s="60">
        <f>4/4</f>
        <v>1</v>
      </c>
      <c r="JZ37" s="60">
        <f>4/4</f>
        <v>1</v>
      </c>
      <c r="KA37" s="60">
        <f>4/4</f>
        <v>1</v>
      </c>
      <c r="KB37" s="60">
        <f>4/4</f>
        <v>1</v>
      </c>
      <c r="KC37" s="60"/>
      <c r="KD37" s="60"/>
      <c r="KE37" s="60">
        <f>4/4</f>
        <v>1</v>
      </c>
      <c r="KF37" s="60">
        <f>3/4</f>
        <v>0.75</v>
      </c>
      <c r="KG37" s="60">
        <f>3/4</f>
        <v>0.75</v>
      </c>
      <c r="KH37" s="60">
        <f>3/4</f>
        <v>0.75</v>
      </c>
      <c r="KI37" s="60">
        <f>3/4</f>
        <v>0.75</v>
      </c>
      <c r="KJ37" s="60"/>
      <c r="KK37" s="60"/>
      <c r="KL37" s="60">
        <f>3/4</f>
        <v>0.75</v>
      </c>
      <c r="KM37" s="60">
        <f t="shared" ref="KM37:KP37" si="61">3/4</f>
        <v>0.75</v>
      </c>
      <c r="KN37" s="60">
        <f t="shared" si="61"/>
        <v>0.75</v>
      </c>
      <c r="KO37" s="60">
        <f t="shared" si="61"/>
        <v>0.75</v>
      </c>
      <c r="KP37" s="60">
        <f t="shared" si="61"/>
        <v>0.75</v>
      </c>
      <c r="KQ37" s="60"/>
      <c r="KR37" s="60"/>
      <c r="KS37" s="60">
        <f>3/4</f>
        <v>0.75</v>
      </c>
      <c r="KT37" s="60">
        <f t="shared" ref="KT37" si="62">3/4</f>
        <v>0.75</v>
      </c>
      <c r="KU37" s="60"/>
      <c r="KV37" s="60"/>
      <c r="KW37" s="60">
        <f>1/4</f>
        <v>0.25</v>
      </c>
      <c r="KX37" s="60"/>
      <c r="KY37" s="60"/>
      <c r="KZ37" s="60">
        <f>1/4</f>
        <v>0.25</v>
      </c>
      <c r="LA37" s="60">
        <f>1/4</f>
        <v>0.25</v>
      </c>
    </row>
    <row r="38" spans="1:313">
      <c r="A38" s="30"/>
      <c r="B38" s="24" t="s">
        <v>213</v>
      </c>
      <c r="C38" s="24"/>
      <c r="D38" s="59">
        <f>3/6</f>
        <v>0.5</v>
      </c>
      <c r="E38" s="60">
        <f>3/6</f>
        <v>0.5</v>
      </c>
      <c r="F38" s="60">
        <f>4/6</f>
        <v>0.66666666666666663</v>
      </c>
      <c r="G38" s="60">
        <f>4/6</f>
        <v>0.66666666666666663</v>
      </c>
      <c r="H38" s="60">
        <f>4/6</f>
        <v>0.66666666666666663</v>
      </c>
      <c r="I38" s="56"/>
      <c r="J38" s="56"/>
      <c r="K38" s="60">
        <f>4/6</f>
        <v>0.66666666666666663</v>
      </c>
      <c r="L38" s="60">
        <f t="shared" ref="L38:N38" si="63">4/6</f>
        <v>0.66666666666666663</v>
      </c>
      <c r="M38" s="60">
        <f t="shared" si="63"/>
        <v>0.66666666666666663</v>
      </c>
      <c r="N38" s="60">
        <f t="shared" si="63"/>
        <v>0.66666666666666663</v>
      </c>
      <c r="O38" s="60">
        <f>4/6</f>
        <v>0.66666666666666663</v>
      </c>
      <c r="P38" s="56"/>
      <c r="Q38" s="56"/>
      <c r="R38" s="60">
        <f>3/6</f>
        <v>0.5</v>
      </c>
      <c r="S38" s="60">
        <f>3/6</f>
        <v>0.5</v>
      </c>
      <c r="T38" s="60">
        <f>4/6</f>
        <v>0.66666666666666663</v>
      </c>
      <c r="U38" s="60">
        <f>4/6</f>
        <v>0.66666666666666663</v>
      </c>
      <c r="V38" s="60">
        <f>5/6</f>
        <v>0.83333333333333337</v>
      </c>
      <c r="W38" s="56"/>
      <c r="X38" s="56"/>
      <c r="Y38" s="60">
        <f>2/6</f>
        <v>0.33333333333333331</v>
      </c>
      <c r="Z38" s="60">
        <f>3/6</f>
        <v>0.5</v>
      </c>
      <c r="AA38" s="60">
        <f>3/6</f>
        <v>0.5</v>
      </c>
      <c r="AB38" s="60">
        <f>3/6</f>
        <v>0.5</v>
      </c>
      <c r="AC38" s="60">
        <f>2/6</f>
        <v>0.33333333333333331</v>
      </c>
      <c r="AD38" s="56"/>
      <c r="AE38" s="56"/>
      <c r="AF38" s="60">
        <f>4/6</f>
        <v>0.66666666666666663</v>
      </c>
      <c r="AG38" s="60">
        <f>5/6</f>
        <v>0.83333333333333337</v>
      </c>
      <c r="AH38" s="60">
        <f>4/6</f>
        <v>0.66666666666666663</v>
      </c>
      <c r="AI38" s="60">
        <f>2/6</f>
        <v>0.33333333333333331</v>
      </c>
      <c r="AJ38" s="48"/>
      <c r="AK38" s="48"/>
      <c r="AL38" s="48"/>
      <c r="AM38" s="48"/>
      <c r="AN38" s="60">
        <f>5/6</f>
        <v>0.83333333333333337</v>
      </c>
      <c r="AO38" s="60">
        <f>3/6</f>
        <v>0.5</v>
      </c>
      <c r="AP38" s="60">
        <f>3/6</f>
        <v>0.5</v>
      </c>
      <c r="AQ38" s="60">
        <f>3/6</f>
        <v>0.5</v>
      </c>
      <c r="AR38" s="56"/>
      <c r="AS38" s="56"/>
      <c r="AT38" s="60">
        <f>5/6</f>
        <v>0.83333333333333337</v>
      </c>
      <c r="AU38" s="60">
        <f>6/6</f>
        <v>1</v>
      </c>
      <c r="AV38" s="60">
        <f>6/6</f>
        <v>1</v>
      </c>
      <c r="AW38" s="60">
        <f>6/6</f>
        <v>1</v>
      </c>
      <c r="AX38" s="60">
        <f>5/6</f>
        <v>0.83333333333333337</v>
      </c>
      <c r="AY38" s="56"/>
      <c r="AZ38" s="56"/>
      <c r="BA38" s="60">
        <f>5/6</f>
        <v>0.83333333333333337</v>
      </c>
      <c r="BB38" s="60">
        <f>6/6</f>
        <v>1</v>
      </c>
      <c r="BC38" s="60">
        <f>6/6</f>
        <v>1</v>
      </c>
      <c r="BD38" s="60">
        <f>6/6</f>
        <v>1</v>
      </c>
      <c r="BE38" s="60">
        <f>5/6</f>
        <v>0.83333333333333337</v>
      </c>
      <c r="BF38" s="56"/>
      <c r="BG38" s="56"/>
      <c r="BH38" s="60">
        <f>4/6</f>
        <v>0.66666666666666663</v>
      </c>
      <c r="BI38" s="60">
        <f>5/6</f>
        <v>0.83333333333333337</v>
      </c>
      <c r="BJ38" s="60">
        <f>5/6</f>
        <v>0.83333333333333337</v>
      </c>
      <c r="BK38" s="60">
        <f>5/6</f>
        <v>0.83333333333333337</v>
      </c>
      <c r="BL38" s="60">
        <f>5/6</f>
        <v>0.83333333333333337</v>
      </c>
      <c r="BM38" s="56"/>
      <c r="BN38" s="56"/>
      <c r="BO38" s="60">
        <f>4/6</f>
        <v>0.66666666666666663</v>
      </c>
      <c r="BP38" s="60">
        <f>5/6</f>
        <v>0.83333333333333337</v>
      </c>
      <c r="BQ38" s="60">
        <f>5/6</f>
        <v>0.83333333333333337</v>
      </c>
      <c r="BR38" s="60">
        <f>5/6</f>
        <v>0.83333333333333337</v>
      </c>
      <c r="BS38" s="60">
        <f>5/6</f>
        <v>0.83333333333333337</v>
      </c>
      <c r="BT38" s="56"/>
      <c r="BU38" s="56"/>
      <c r="BV38" s="48"/>
      <c r="BW38" s="60">
        <f>5/6</f>
        <v>0.83333333333333337</v>
      </c>
      <c r="BX38" s="60">
        <f>5/6</f>
        <v>0.83333333333333337</v>
      </c>
      <c r="BY38" s="60">
        <f>5/6</f>
        <v>0.83333333333333337</v>
      </c>
      <c r="BZ38" s="60">
        <f>5/6</f>
        <v>0.83333333333333337</v>
      </c>
      <c r="CA38" s="56"/>
      <c r="CB38" s="56"/>
      <c r="CC38" s="60">
        <f>4/6</f>
        <v>0.66666666666666663</v>
      </c>
      <c r="CD38" s="60">
        <f>5/6</f>
        <v>0.83333333333333337</v>
      </c>
      <c r="CE38" s="60">
        <f>4/6</f>
        <v>0.66666666666666663</v>
      </c>
      <c r="CF38" s="60">
        <f>4/6</f>
        <v>0.66666666666666663</v>
      </c>
      <c r="CG38" s="60">
        <f>4/6</f>
        <v>0.66666666666666663</v>
      </c>
      <c r="CH38" s="56"/>
      <c r="CI38" s="56"/>
      <c r="CJ38" s="60">
        <f>5/6</f>
        <v>0.83333333333333337</v>
      </c>
      <c r="CK38" s="60">
        <f t="shared" ref="CK38:CN38" si="64">5/6</f>
        <v>0.83333333333333337</v>
      </c>
      <c r="CL38" s="60">
        <f>4/6</f>
        <v>0.66666666666666663</v>
      </c>
      <c r="CM38" s="60">
        <f t="shared" si="64"/>
        <v>0.83333333333333337</v>
      </c>
      <c r="CN38" s="60">
        <f t="shared" si="64"/>
        <v>0.83333333333333337</v>
      </c>
      <c r="CO38" s="24"/>
      <c r="CP38" s="24"/>
      <c r="CQ38" s="24"/>
      <c r="CR38" s="60">
        <f>4/6</f>
        <v>0.66666666666666663</v>
      </c>
      <c r="CS38" s="60">
        <f>3/6</f>
        <v>0.5</v>
      </c>
      <c r="CT38" s="60">
        <f>5/6</f>
        <v>0.83333333333333337</v>
      </c>
      <c r="CU38" s="60">
        <f>5/6</f>
        <v>0.83333333333333337</v>
      </c>
      <c r="CV38" s="60"/>
      <c r="CW38" s="60"/>
      <c r="CX38" s="60">
        <f>6/6</f>
        <v>1</v>
      </c>
      <c r="CY38" s="60">
        <f>6/6</f>
        <v>1</v>
      </c>
      <c r="CZ38" s="60">
        <f>5/6</f>
        <v>0.83333333333333337</v>
      </c>
      <c r="DA38" s="60">
        <f>4/6</f>
        <v>0.66666666666666663</v>
      </c>
      <c r="DB38" s="60">
        <f t="shared" ref="DB38" si="65">6/6</f>
        <v>1</v>
      </c>
      <c r="DC38" s="60"/>
      <c r="DD38" s="60"/>
      <c r="DE38" s="60">
        <f>3/6</f>
        <v>0.5</v>
      </c>
      <c r="DF38" s="60">
        <f>3/6</f>
        <v>0.5</v>
      </c>
      <c r="DG38" s="60">
        <f>3/6</f>
        <v>0.5</v>
      </c>
      <c r="DH38" s="60">
        <f>4/6</f>
        <v>0.66666666666666663</v>
      </c>
      <c r="DI38" s="60">
        <f>4/6</f>
        <v>0.66666666666666663</v>
      </c>
      <c r="DJ38" s="60"/>
      <c r="DK38" s="60"/>
      <c r="DL38" s="60">
        <f>5/6</f>
        <v>0.83333333333333337</v>
      </c>
      <c r="DM38" s="60">
        <f>5/6</f>
        <v>0.83333333333333337</v>
      </c>
      <c r="DN38" s="60">
        <f>5/6</f>
        <v>0.83333333333333337</v>
      </c>
      <c r="DO38" s="60">
        <f>4/6</f>
        <v>0.66666666666666663</v>
      </c>
      <c r="DP38" s="60">
        <f>4/6</f>
        <v>0.66666666666666663</v>
      </c>
      <c r="DQ38" s="60"/>
      <c r="DR38" s="60"/>
      <c r="DS38" s="60">
        <f>5/6</f>
        <v>0.83333333333333337</v>
      </c>
      <c r="DT38" s="60">
        <f t="shared" ref="DT38:DV38" si="66">6/6</f>
        <v>1</v>
      </c>
      <c r="DU38" s="60">
        <f t="shared" si="66"/>
        <v>1</v>
      </c>
      <c r="DV38" s="60">
        <f t="shared" si="66"/>
        <v>1</v>
      </c>
      <c r="DW38" s="60">
        <f>4/6</f>
        <v>0.66666666666666663</v>
      </c>
      <c r="DX38" s="60"/>
      <c r="DY38" s="60"/>
      <c r="DZ38" s="60">
        <f>4/6</f>
        <v>0.66666666666666663</v>
      </c>
      <c r="EA38" s="60">
        <f>4/6</f>
        <v>0.66666666666666663</v>
      </c>
      <c r="EB38" s="60">
        <f>4/6</f>
        <v>0.66666666666666663</v>
      </c>
      <c r="EC38" s="60">
        <f>5/6</f>
        <v>0.83333333333333337</v>
      </c>
      <c r="ED38" s="60">
        <f>5/6</f>
        <v>0.83333333333333337</v>
      </c>
      <c r="EG38" s="60">
        <f>5/6</f>
        <v>0.83333333333333337</v>
      </c>
      <c r="EH38" s="60">
        <f>5/6</f>
        <v>0.83333333333333337</v>
      </c>
      <c r="EI38" s="60">
        <f>5/6</f>
        <v>0.83333333333333337</v>
      </c>
      <c r="EJ38" s="60">
        <f>5/6</f>
        <v>0.83333333333333337</v>
      </c>
      <c r="EK38" s="60">
        <f>4/6</f>
        <v>0.66666666666666663</v>
      </c>
      <c r="EN38" s="60">
        <f>5/6</f>
        <v>0.83333333333333337</v>
      </c>
      <c r="EO38" s="60">
        <f>4/6</f>
        <v>0.66666666666666663</v>
      </c>
      <c r="EP38" s="60">
        <f>4/6</f>
        <v>0.66666666666666663</v>
      </c>
      <c r="EQ38" s="60">
        <f>5/6</f>
        <v>0.83333333333333337</v>
      </c>
      <c r="ER38" s="60">
        <f>5/6</f>
        <v>0.83333333333333337</v>
      </c>
      <c r="EU38" s="60">
        <f>3/6</f>
        <v>0.5</v>
      </c>
      <c r="EV38" s="60">
        <f>4/6</f>
        <v>0.66666666666666663</v>
      </c>
      <c r="EW38" s="60">
        <f>4/6</f>
        <v>0.66666666666666663</v>
      </c>
      <c r="EX38" s="60">
        <f>3/6</f>
        <v>0.5</v>
      </c>
      <c r="EY38" s="60">
        <f>4/6</f>
        <v>0.66666666666666663</v>
      </c>
      <c r="FB38" s="60">
        <f>5/7</f>
        <v>0.7142857142857143</v>
      </c>
      <c r="FC38" s="60">
        <f>5/7</f>
        <v>0.7142857142857143</v>
      </c>
      <c r="FD38" s="60">
        <f>5/7</f>
        <v>0.7142857142857143</v>
      </c>
      <c r="FE38" s="60">
        <f>5/7</f>
        <v>0.7142857142857143</v>
      </c>
      <c r="FF38" s="60">
        <f>5/7</f>
        <v>0.7142857142857143</v>
      </c>
      <c r="FG38" s="24"/>
      <c r="FH38" s="24"/>
      <c r="FI38" s="60">
        <f>3/7</f>
        <v>0.42857142857142855</v>
      </c>
      <c r="FJ38" s="60">
        <f>5/7</f>
        <v>0.7142857142857143</v>
      </c>
      <c r="FK38" s="60">
        <f>6/7</f>
        <v>0.8571428571428571</v>
      </c>
      <c r="FL38" s="60">
        <f>6/7</f>
        <v>0.8571428571428571</v>
      </c>
      <c r="FM38" s="60">
        <f>4/7</f>
        <v>0.5714285714285714</v>
      </c>
      <c r="FP38" s="60">
        <f>4/7</f>
        <v>0.5714285714285714</v>
      </c>
      <c r="FQ38" s="60">
        <f>4/7</f>
        <v>0.5714285714285714</v>
      </c>
      <c r="FR38" s="60">
        <f>4/7</f>
        <v>0.5714285714285714</v>
      </c>
      <c r="FS38" s="60">
        <f>4/7</f>
        <v>0.5714285714285714</v>
      </c>
      <c r="FT38" s="60">
        <f>4/7</f>
        <v>0.5714285714285714</v>
      </c>
      <c r="FW38" s="60">
        <f>3/7</f>
        <v>0.42857142857142855</v>
      </c>
      <c r="FX38" s="60">
        <f>4/7</f>
        <v>0.5714285714285714</v>
      </c>
      <c r="FY38" s="60">
        <f t="shared" ref="FY38:FZ38" si="67">4/7</f>
        <v>0.5714285714285714</v>
      </c>
      <c r="FZ38" s="60">
        <f t="shared" si="67"/>
        <v>0.5714285714285714</v>
      </c>
      <c r="GA38" s="60">
        <f>3/7</f>
        <v>0.42857142857142855</v>
      </c>
      <c r="GB38" s="60"/>
      <c r="GC38" s="60"/>
      <c r="GD38" s="60"/>
      <c r="GE38" s="60">
        <f>6/7</f>
        <v>0.8571428571428571</v>
      </c>
      <c r="GF38" s="60">
        <f t="shared" ref="GF38:GG38" si="68">6/7</f>
        <v>0.8571428571428571</v>
      </c>
      <c r="GG38" s="60">
        <f t="shared" si="68"/>
        <v>0.8571428571428571</v>
      </c>
      <c r="GH38" s="60">
        <f>5/7</f>
        <v>0.7142857142857143</v>
      </c>
      <c r="GI38" s="60"/>
      <c r="GJ38" s="60"/>
      <c r="GK38" s="60">
        <f>6/7</f>
        <v>0.8571428571428571</v>
      </c>
      <c r="GL38" s="60">
        <f>5/7</f>
        <v>0.7142857142857143</v>
      </c>
      <c r="GM38" s="60">
        <f t="shared" ref="GM38:IK38" si="69">6/7</f>
        <v>0.8571428571428571</v>
      </c>
      <c r="GN38" s="60">
        <f t="shared" si="69"/>
        <v>0.8571428571428571</v>
      </c>
      <c r="GO38" s="60">
        <f t="shared" si="69"/>
        <v>0.8571428571428571</v>
      </c>
      <c r="GP38" s="60"/>
      <c r="GQ38" s="60"/>
      <c r="GR38" s="60">
        <f>5/7</f>
        <v>0.7142857142857143</v>
      </c>
      <c r="GS38" s="60">
        <f t="shared" ref="GS38:GT38" si="70">5/7</f>
        <v>0.7142857142857143</v>
      </c>
      <c r="GT38" s="60">
        <f t="shared" si="70"/>
        <v>0.7142857142857143</v>
      </c>
      <c r="GU38" s="60">
        <f>6/7</f>
        <v>0.8571428571428571</v>
      </c>
      <c r="GV38" s="60">
        <f>6/7</f>
        <v>0.8571428571428571</v>
      </c>
      <c r="GW38" s="60"/>
      <c r="GX38" s="60"/>
      <c r="GY38" s="60">
        <f t="shared" si="69"/>
        <v>0.8571428571428571</v>
      </c>
      <c r="GZ38" s="60">
        <f>5/7</f>
        <v>0.7142857142857143</v>
      </c>
      <c r="HA38" s="60">
        <f t="shared" si="69"/>
        <v>0.8571428571428571</v>
      </c>
      <c r="HB38" s="60">
        <f t="shared" si="69"/>
        <v>0.8571428571428571</v>
      </c>
      <c r="HC38" s="60">
        <f t="shared" si="69"/>
        <v>0.8571428571428571</v>
      </c>
      <c r="HD38" s="60"/>
      <c r="HE38" s="60"/>
      <c r="HF38" s="60">
        <f>5/7</f>
        <v>0.7142857142857143</v>
      </c>
      <c r="HG38" s="60">
        <f>5/7</f>
        <v>0.7142857142857143</v>
      </c>
      <c r="HH38" s="60">
        <f>5/7</f>
        <v>0.7142857142857143</v>
      </c>
      <c r="HI38" s="60">
        <f>3/7</f>
        <v>0.42857142857142855</v>
      </c>
      <c r="HJ38" s="60">
        <f>3/7</f>
        <v>0.42857142857142855</v>
      </c>
      <c r="HK38" s="60"/>
      <c r="HL38" s="60"/>
      <c r="HM38" s="60">
        <f>4/7</f>
        <v>0.5714285714285714</v>
      </c>
      <c r="HN38" s="60">
        <f>4/7</f>
        <v>0.5714285714285714</v>
      </c>
      <c r="HO38" s="60">
        <f>5/7</f>
        <v>0.7142857142857143</v>
      </c>
      <c r="HP38" s="60">
        <f t="shared" si="69"/>
        <v>0.8571428571428571</v>
      </c>
      <c r="HQ38" s="60">
        <f t="shared" si="69"/>
        <v>0.8571428571428571</v>
      </c>
      <c r="HR38" s="60"/>
      <c r="HS38" s="60"/>
      <c r="HT38" s="60">
        <f>6/7</f>
        <v>0.8571428571428571</v>
      </c>
      <c r="HU38" s="60">
        <f t="shared" si="69"/>
        <v>0.8571428571428571</v>
      </c>
      <c r="HV38" s="60">
        <f t="shared" si="69"/>
        <v>0.8571428571428571</v>
      </c>
      <c r="HW38" s="60">
        <f t="shared" si="69"/>
        <v>0.8571428571428571</v>
      </c>
      <c r="HX38" s="60">
        <f t="shared" si="69"/>
        <v>0.8571428571428571</v>
      </c>
      <c r="HY38" s="60"/>
      <c r="HZ38" s="60"/>
      <c r="IA38" s="60">
        <f t="shared" si="69"/>
        <v>0.8571428571428571</v>
      </c>
      <c r="IB38" s="60">
        <f t="shared" si="69"/>
        <v>0.8571428571428571</v>
      </c>
      <c r="IC38" s="60">
        <f t="shared" si="69"/>
        <v>0.8571428571428571</v>
      </c>
      <c r="ID38" s="60">
        <f t="shared" si="69"/>
        <v>0.8571428571428571</v>
      </c>
      <c r="IE38" s="60">
        <f t="shared" si="69"/>
        <v>0.8571428571428571</v>
      </c>
      <c r="IF38" s="60"/>
      <c r="IG38" s="60"/>
      <c r="IH38" s="60">
        <f t="shared" si="69"/>
        <v>0.8571428571428571</v>
      </c>
      <c r="II38" s="60">
        <f t="shared" si="69"/>
        <v>0.8571428571428571</v>
      </c>
      <c r="IJ38" s="60">
        <f t="shared" si="69"/>
        <v>0.8571428571428571</v>
      </c>
      <c r="IK38" s="60">
        <f t="shared" si="69"/>
        <v>0.8571428571428571</v>
      </c>
      <c r="IL38" s="60">
        <f>5/7</f>
        <v>0.7142857142857143</v>
      </c>
      <c r="IM38" s="60"/>
      <c r="IN38" s="60"/>
      <c r="IO38" s="60">
        <f t="shared" ref="IO38:IS38" si="71">5/7</f>
        <v>0.7142857142857143</v>
      </c>
      <c r="IP38" s="60">
        <f t="shared" si="71"/>
        <v>0.7142857142857143</v>
      </c>
      <c r="IQ38" s="60">
        <f t="shared" si="71"/>
        <v>0.7142857142857143</v>
      </c>
      <c r="IR38" s="60">
        <f t="shared" si="71"/>
        <v>0.7142857142857143</v>
      </c>
      <c r="IS38" s="60">
        <f t="shared" si="71"/>
        <v>0.7142857142857143</v>
      </c>
      <c r="IT38" s="60"/>
      <c r="IU38" s="60"/>
      <c r="IV38" s="60">
        <f>6/7</f>
        <v>0.8571428571428571</v>
      </c>
      <c r="IW38" s="60">
        <f>6/7</f>
        <v>0.8571428571428571</v>
      </c>
      <c r="IX38" s="60">
        <f t="shared" ref="IX38:IY38" si="72">6/7</f>
        <v>0.8571428571428571</v>
      </c>
      <c r="IY38" s="60">
        <f t="shared" si="72"/>
        <v>0.8571428571428571</v>
      </c>
      <c r="IZ38" s="60">
        <f>5/7</f>
        <v>0.7142857142857143</v>
      </c>
      <c r="JA38" s="60"/>
      <c r="JB38" s="60"/>
      <c r="JC38" s="60">
        <f>5/7</f>
        <v>0.7142857142857143</v>
      </c>
      <c r="JD38" s="60">
        <f t="shared" ref="JD38" si="73">5/7</f>
        <v>0.7142857142857143</v>
      </c>
      <c r="JE38" s="60">
        <f>3/7</f>
        <v>0.42857142857142855</v>
      </c>
      <c r="JF38" s="60">
        <f t="shared" ref="JF38:JG38" si="74">3/7</f>
        <v>0.42857142857142855</v>
      </c>
      <c r="JG38" s="60">
        <f t="shared" si="74"/>
        <v>0.42857142857142855</v>
      </c>
      <c r="JH38" s="60"/>
      <c r="JI38" s="60"/>
      <c r="JJ38" s="60">
        <f>6/7</f>
        <v>0.8571428571428571</v>
      </c>
      <c r="JK38" s="60">
        <f>5/7</f>
        <v>0.7142857142857143</v>
      </c>
      <c r="JL38" s="60">
        <f>5/7</f>
        <v>0.7142857142857143</v>
      </c>
      <c r="JM38" s="60">
        <f>5/7</f>
        <v>0.7142857142857143</v>
      </c>
      <c r="JN38" s="60">
        <f>5/7</f>
        <v>0.7142857142857143</v>
      </c>
      <c r="JO38" s="60"/>
      <c r="JP38" s="60"/>
      <c r="JQ38" s="60">
        <f>6/7</f>
        <v>0.8571428571428571</v>
      </c>
      <c r="JR38" s="60">
        <f>6/7</f>
        <v>0.8571428571428571</v>
      </c>
      <c r="JS38" s="60">
        <f>7/8</f>
        <v>0.875</v>
      </c>
      <c r="JT38" s="60">
        <f>6/8</f>
        <v>0.75</v>
      </c>
      <c r="JU38" s="60">
        <f>6/8</f>
        <v>0.75</v>
      </c>
      <c r="JV38" s="60"/>
      <c r="JW38" s="60"/>
      <c r="JX38" s="60">
        <f>5/8</f>
        <v>0.625</v>
      </c>
      <c r="JY38" s="60">
        <f>6/8</f>
        <v>0.75</v>
      </c>
      <c r="JZ38" s="60">
        <f>6/8</f>
        <v>0.75</v>
      </c>
      <c r="KA38" s="60">
        <f>5/8</f>
        <v>0.625</v>
      </c>
      <c r="KB38" s="60">
        <f>5/8</f>
        <v>0.625</v>
      </c>
      <c r="KC38" s="60"/>
      <c r="KD38" s="60"/>
      <c r="KE38" s="60">
        <f>5/8</f>
        <v>0.625</v>
      </c>
      <c r="KF38" s="60">
        <f>3/8</f>
        <v>0.375</v>
      </c>
      <c r="KG38" s="60">
        <f>3/8</f>
        <v>0.375</v>
      </c>
      <c r="KH38" s="60">
        <f>2/8</f>
        <v>0.25</v>
      </c>
      <c r="KI38" s="60">
        <f>4/8</f>
        <v>0.5</v>
      </c>
      <c r="KJ38" s="60"/>
      <c r="KK38" s="60"/>
      <c r="KL38" s="60">
        <f>5/8</f>
        <v>0.625</v>
      </c>
      <c r="KM38" s="60">
        <f t="shared" ref="KM38:KN38" si="75">5/8</f>
        <v>0.625</v>
      </c>
      <c r="KN38" s="60">
        <f t="shared" si="75"/>
        <v>0.625</v>
      </c>
      <c r="KO38" s="60">
        <f>4/8</f>
        <v>0.5</v>
      </c>
      <c r="KP38" s="60">
        <f>5/8</f>
        <v>0.625</v>
      </c>
      <c r="KQ38" s="60"/>
      <c r="KR38" s="60"/>
      <c r="KS38" s="60">
        <f>5/8</f>
        <v>0.625</v>
      </c>
      <c r="KT38" s="60">
        <f>4/8</f>
        <v>0.5</v>
      </c>
      <c r="KU38" s="60"/>
      <c r="KV38" s="60"/>
      <c r="KW38" s="60">
        <f>2/8</f>
        <v>0.25</v>
      </c>
      <c r="KX38" s="60"/>
      <c r="KY38" s="60"/>
      <c r="KZ38" s="60">
        <f>3/8</f>
        <v>0.375</v>
      </c>
      <c r="LA38" s="60">
        <f>3/8</f>
        <v>0.375</v>
      </c>
    </row>
    <row r="39" spans="1:313">
      <c r="A39" s="30"/>
      <c r="B39" s="24" t="s">
        <v>214</v>
      </c>
      <c r="C39" s="24"/>
      <c r="D39" s="59">
        <f>3/2</f>
        <v>1.5</v>
      </c>
      <c r="E39" s="60">
        <f>3/2</f>
        <v>1.5</v>
      </c>
      <c r="F39" s="60">
        <f>3/2</f>
        <v>1.5</v>
      </c>
      <c r="G39" s="60">
        <f>3/2</f>
        <v>1.5</v>
      </c>
      <c r="H39" s="60">
        <f>2/2</f>
        <v>1</v>
      </c>
      <c r="I39" s="56"/>
      <c r="J39" s="56"/>
      <c r="K39" s="60">
        <f>2/2</f>
        <v>1</v>
      </c>
      <c r="L39" s="60">
        <f t="shared" ref="L39:O39" si="76">2/2</f>
        <v>1</v>
      </c>
      <c r="M39" s="60">
        <f t="shared" si="76"/>
        <v>1</v>
      </c>
      <c r="N39" s="60">
        <f t="shared" si="76"/>
        <v>1</v>
      </c>
      <c r="O39" s="60">
        <f t="shared" si="76"/>
        <v>1</v>
      </c>
      <c r="P39" s="56"/>
      <c r="Q39" s="56"/>
      <c r="R39" s="60">
        <f>2/2</f>
        <v>1</v>
      </c>
      <c r="S39" s="60">
        <f>2/2</f>
        <v>1</v>
      </c>
      <c r="T39" s="60">
        <f>2/2</f>
        <v>1</v>
      </c>
      <c r="U39" s="60">
        <f>2/2</f>
        <v>1</v>
      </c>
      <c r="V39" s="60">
        <f>2/2</f>
        <v>1</v>
      </c>
      <c r="W39" s="56"/>
      <c r="X39" s="56"/>
      <c r="Y39" s="60">
        <f>3/2</f>
        <v>1.5</v>
      </c>
      <c r="Z39" s="60">
        <f t="shared" ref="Z39:AA39" si="77">3/2</f>
        <v>1.5</v>
      </c>
      <c r="AA39" s="60">
        <f t="shared" si="77"/>
        <v>1.5</v>
      </c>
      <c r="AB39" s="60">
        <f>2/2</f>
        <v>1</v>
      </c>
      <c r="AC39" s="60">
        <f>2/2</f>
        <v>1</v>
      </c>
      <c r="AD39" s="56"/>
      <c r="AE39" s="56"/>
      <c r="AF39" s="60">
        <f>2/2</f>
        <v>1</v>
      </c>
      <c r="AG39" s="60">
        <f>2/2</f>
        <v>1</v>
      </c>
      <c r="AH39" s="60">
        <f>3/2</f>
        <v>1.5</v>
      </c>
      <c r="AI39" s="60">
        <f>3/2</f>
        <v>1.5</v>
      </c>
      <c r="AJ39" s="48"/>
      <c r="AK39" s="48"/>
      <c r="AL39" s="48"/>
      <c r="AM39" s="48"/>
      <c r="AN39" s="60">
        <f>3/2</f>
        <v>1.5</v>
      </c>
      <c r="AO39" s="60">
        <f t="shared" ref="AO39:AQ39" si="78">3/2</f>
        <v>1.5</v>
      </c>
      <c r="AP39" s="60">
        <f t="shared" si="78"/>
        <v>1.5</v>
      </c>
      <c r="AQ39" s="60">
        <f t="shared" si="78"/>
        <v>1.5</v>
      </c>
      <c r="AR39" s="56"/>
      <c r="AS39" s="56"/>
      <c r="AT39" s="60">
        <f t="shared" ref="AT39:AU39" si="79">0/2</f>
        <v>0</v>
      </c>
      <c r="AU39" s="60">
        <f t="shared" si="79"/>
        <v>0</v>
      </c>
      <c r="AV39" s="60">
        <f>1/2</f>
        <v>0.5</v>
      </c>
      <c r="AW39" s="60">
        <f>1/2</f>
        <v>0.5</v>
      </c>
      <c r="AX39" s="60">
        <f>1/2</f>
        <v>0.5</v>
      </c>
      <c r="AY39" s="56"/>
      <c r="AZ39" s="56"/>
      <c r="BA39" s="60">
        <f>2/2</f>
        <v>1</v>
      </c>
      <c r="BB39" s="60">
        <f>2/2</f>
        <v>1</v>
      </c>
      <c r="BC39" s="60">
        <f t="shared" ref="BC39:BE40" si="80">2/2</f>
        <v>1</v>
      </c>
      <c r="BD39" s="60">
        <f t="shared" si="80"/>
        <v>1</v>
      </c>
      <c r="BE39" s="60">
        <f t="shared" si="80"/>
        <v>1</v>
      </c>
      <c r="BF39" s="56"/>
      <c r="BG39" s="56"/>
      <c r="BH39" s="60">
        <f>2/2</f>
        <v>1</v>
      </c>
      <c r="BI39" s="60">
        <f t="shared" ref="BI39:BL39" si="81">2/2</f>
        <v>1</v>
      </c>
      <c r="BJ39" s="60">
        <f t="shared" si="81"/>
        <v>1</v>
      </c>
      <c r="BK39" s="60">
        <f t="shared" si="81"/>
        <v>1</v>
      </c>
      <c r="BL39" s="60">
        <f t="shared" si="81"/>
        <v>1</v>
      </c>
      <c r="BM39" s="56"/>
      <c r="BN39" s="56"/>
      <c r="BO39" s="60">
        <f>2/2</f>
        <v>1</v>
      </c>
      <c r="BP39" s="60">
        <f t="shared" ref="BP39:BS40" si="82">2/2</f>
        <v>1</v>
      </c>
      <c r="BQ39" s="60">
        <f t="shared" si="82"/>
        <v>1</v>
      </c>
      <c r="BR39" s="60">
        <f t="shared" si="82"/>
        <v>1</v>
      </c>
      <c r="BS39" s="60">
        <f t="shared" si="82"/>
        <v>1</v>
      </c>
      <c r="BT39" s="56"/>
      <c r="BU39" s="56"/>
      <c r="BV39" s="48"/>
      <c r="BW39" s="60">
        <f>2/2</f>
        <v>1</v>
      </c>
      <c r="BX39" s="60">
        <f>2/2</f>
        <v>1</v>
      </c>
      <c r="BY39" s="60">
        <f t="shared" ref="BY39" si="83">2/2</f>
        <v>1</v>
      </c>
      <c r="BZ39" s="60">
        <f>2/2</f>
        <v>1</v>
      </c>
      <c r="CA39" s="56"/>
      <c r="CB39" s="56"/>
      <c r="CC39" s="60">
        <f t="shared" ref="CC39:CE39" si="84">2/2</f>
        <v>1</v>
      </c>
      <c r="CD39" s="60">
        <f t="shared" si="84"/>
        <v>1</v>
      </c>
      <c r="CE39" s="60">
        <f t="shared" si="84"/>
        <v>1</v>
      </c>
      <c r="CF39" s="60">
        <f>2/2</f>
        <v>1</v>
      </c>
      <c r="CG39" s="60">
        <f>2/2</f>
        <v>1</v>
      </c>
      <c r="CH39" s="56"/>
      <c r="CI39" s="56"/>
      <c r="CJ39" s="60">
        <f>1/2</f>
        <v>0.5</v>
      </c>
      <c r="CK39" s="60">
        <f>1/2</f>
        <v>0.5</v>
      </c>
      <c r="CL39" s="60">
        <f t="shared" ref="CL39:CM39" si="85">2/2</f>
        <v>1</v>
      </c>
      <c r="CM39" s="60">
        <f t="shared" si="85"/>
        <v>1</v>
      </c>
      <c r="CN39" s="60">
        <f>1/2</f>
        <v>0.5</v>
      </c>
      <c r="CO39" s="24"/>
      <c r="CP39" s="24"/>
      <c r="CQ39" s="24"/>
      <c r="CR39" s="60">
        <f>0/2</f>
        <v>0</v>
      </c>
      <c r="CS39" s="60">
        <f t="shared" ref="CS39:CU40" si="86">1/2</f>
        <v>0.5</v>
      </c>
      <c r="CT39" s="60">
        <f t="shared" si="86"/>
        <v>0.5</v>
      </c>
      <c r="CU39" s="60">
        <f>2/2</f>
        <v>1</v>
      </c>
      <c r="CV39" s="60"/>
      <c r="CW39" s="60"/>
      <c r="CX39" s="60">
        <f>1/2</f>
        <v>0.5</v>
      </c>
      <c r="CY39" s="60">
        <f>1/2</f>
        <v>0.5</v>
      </c>
      <c r="CZ39" s="60">
        <f t="shared" ref="CZ39:DB39" si="87">2/2</f>
        <v>1</v>
      </c>
      <c r="DA39" s="60">
        <f t="shared" si="87"/>
        <v>1</v>
      </c>
      <c r="DB39" s="60">
        <f t="shared" si="87"/>
        <v>1</v>
      </c>
      <c r="DC39" s="60"/>
      <c r="DD39" s="60"/>
      <c r="DE39" s="60">
        <f>1/2</f>
        <v>0.5</v>
      </c>
      <c r="DF39" s="60">
        <f t="shared" ref="DF39:DG40" si="88">2/2</f>
        <v>1</v>
      </c>
      <c r="DG39" s="60">
        <f>0/2</f>
        <v>0</v>
      </c>
      <c r="DH39" s="60">
        <f>1/2</f>
        <v>0.5</v>
      </c>
      <c r="DI39" s="60">
        <f>1/2</f>
        <v>0.5</v>
      </c>
      <c r="DJ39" s="60"/>
      <c r="DK39" s="60"/>
      <c r="DL39" s="60">
        <f>2/2</f>
        <v>1</v>
      </c>
      <c r="DM39" s="60">
        <f t="shared" ref="DM39:DP40" si="89">2/2</f>
        <v>1</v>
      </c>
      <c r="DN39" s="60">
        <f t="shared" si="89"/>
        <v>1</v>
      </c>
      <c r="DO39" s="60">
        <f>1/2</f>
        <v>0.5</v>
      </c>
      <c r="DP39" s="60">
        <f t="shared" si="89"/>
        <v>1</v>
      </c>
      <c r="DQ39" s="60"/>
      <c r="DR39" s="60"/>
      <c r="DS39" s="60">
        <f>2/2</f>
        <v>1</v>
      </c>
      <c r="DT39" s="60">
        <f t="shared" ref="DT39:DW40" si="90">2/2</f>
        <v>1</v>
      </c>
      <c r="DU39" s="60">
        <f>2/2</f>
        <v>1</v>
      </c>
      <c r="DV39" s="60">
        <f>1/2</f>
        <v>0.5</v>
      </c>
      <c r="DW39" s="60">
        <f>3/2</f>
        <v>1.5</v>
      </c>
      <c r="DX39" s="60"/>
      <c r="DY39" s="60"/>
      <c r="DZ39" s="60">
        <f>2/2</f>
        <v>1</v>
      </c>
      <c r="EA39" s="60">
        <f t="shared" ref="EA39:ED40" si="91">2/2</f>
        <v>1</v>
      </c>
      <c r="EB39" s="60">
        <f>2/2</f>
        <v>1</v>
      </c>
      <c r="EC39" s="60">
        <f>2/2</f>
        <v>1</v>
      </c>
      <c r="ED39" s="60">
        <f t="shared" si="91"/>
        <v>1</v>
      </c>
      <c r="EG39" s="60">
        <f>2/2</f>
        <v>1</v>
      </c>
      <c r="EH39" s="60">
        <f t="shared" ref="EH39:EK40" si="92">2/2</f>
        <v>1</v>
      </c>
      <c r="EI39" s="60">
        <f t="shared" si="92"/>
        <v>1</v>
      </c>
      <c r="EJ39" s="60">
        <f t="shared" si="92"/>
        <v>1</v>
      </c>
      <c r="EK39" s="60">
        <f t="shared" si="92"/>
        <v>1</v>
      </c>
      <c r="EN39" s="60">
        <f>2/2</f>
        <v>1</v>
      </c>
      <c r="EO39" s="60">
        <f t="shared" ref="EO39:ER40" si="93">2/2</f>
        <v>1</v>
      </c>
      <c r="EP39" s="60">
        <f t="shared" si="93"/>
        <v>1</v>
      </c>
      <c r="EQ39" s="60">
        <f t="shared" si="93"/>
        <v>1</v>
      </c>
      <c r="ER39" s="60">
        <f t="shared" si="93"/>
        <v>1</v>
      </c>
      <c r="EU39" s="60">
        <f>2/2</f>
        <v>1</v>
      </c>
      <c r="EV39" s="60">
        <f t="shared" ref="EV39:EX40" si="94">2/2</f>
        <v>1</v>
      </c>
      <c r="EW39" s="60">
        <f t="shared" si="94"/>
        <v>1</v>
      </c>
      <c r="EX39" s="60">
        <f t="shared" si="94"/>
        <v>1</v>
      </c>
      <c r="EY39" s="60">
        <f>2/2</f>
        <v>1</v>
      </c>
      <c r="FB39" s="60">
        <f>2/2</f>
        <v>1</v>
      </c>
      <c r="FC39" s="60">
        <f t="shared" ref="FC39:FE40" si="95">2/2</f>
        <v>1</v>
      </c>
      <c r="FD39" s="60">
        <f t="shared" si="95"/>
        <v>1</v>
      </c>
      <c r="FE39" s="60">
        <f t="shared" si="95"/>
        <v>1</v>
      </c>
      <c r="FF39" s="60">
        <f>2/2</f>
        <v>1</v>
      </c>
      <c r="FG39" s="24"/>
      <c r="FH39" s="24"/>
      <c r="FI39" s="60">
        <f>0/2</f>
        <v>0</v>
      </c>
      <c r="FJ39" s="60">
        <f>2/2</f>
        <v>1</v>
      </c>
      <c r="FK39" s="60">
        <f t="shared" ref="FK39:FM39" si="96">2/2</f>
        <v>1</v>
      </c>
      <c r="FL39" s="60">
        <f t="shared" si="96"/>
        <v>1</v>
      </c>
      <c r="FM39" s="60">
        <f t="shared" si="96"/>
        <v>1</v>
      </c>
      <c r="FP39" s="60">
        <f>2/2</f>
        <v>1</v>
      </c>
      <c r="FQ39" s="60">
        <f t="shared" ref="FQ39:FT39" si="97">2/2</f>
        <v>1</v>
      </c>
      <c r="FR39" s="60">
        <f>3/2</f>
        <v>1.5</v>
      </c>
      <c r="FS39" s="60">
        <f t="shared" si="97"/>
        <v>1</v>
      </c>
      <c r="FT39" s="60">
        <f t="shared" si="97"/>
        <v>1</v>
      </c>
      <c r="FW39" s="60">
        <f t="shared" ref="FW39:GH40" si="98">2/2</f>
        <v>1</v>
      </c>
      <c r="FX39" s="60">
        <f t="shared" si="98"/>
        <v>1</v>
      </c>
      <c r="FY39" s="60">
        <f t="shared" si="98"/>
        <v>1</v>
      </c>
      <c r="FZ39" s="60">
        <f t="shared" si="98"/>
        <v>1</v>
      </c>
      <c r="GA39" s="60">
        <f t="shared" si="98"/>
        <v>1</v>
      </c>
      <c r="GB39" s="60"/>
      <c r="GC39" s="60"/>
      <c r="GD39" s="60"/>
      <c r="GE39" s="60">
        <f t="shared" si="98"/>
        <v>1</v>
      </c>
      <c r="GF39" s="60">
        <f>1/2</f>
        <v>0.5</v>
      </c>
      <c r="GG39" s="60">
        <f t="shared" si="98"/>
        <v>1</v>
      </c>
      <c r="GH39" s="60">
        <f t="shared" si="98"/>
        <v>1</v>
      </c>
      <c r="GI39" s="60"/>
      <c r="GJ39" s="60"/>
      <c r="GK39" s="60">
        <f>0/2</f>
        <v>0</v>
      </c>
      <c r="GL39" s="60">
        <f>1/2</f>
        <v>0.5</v>
      </c>
      <c r="GM39" s="60">
        <f>1/2</f>
        <v>0.5</v>
      </c>
      <c r="GN39" s="60">
        <f t="shared" ref="GE39:GO40" si="99">2/2</f>
        <v>1</v>
      </c>
      <c r="GO39" s="60">
        <f t="shared" si="99"/>
        <v>1</v>
      </c>
      <c r="GP39" s="60"/>
      <c r="GQ39" s="60"/>
      <c r="GR39" s="60">
        <f t="shared" ref="GR39:HC40" si="100">2/2</f>
        <v>1</v>
      </c>
      <c r="GS39" s="60">
        <f t="shared" si="100"/>
        <v>1</v>
      </c>
      <c r="GT39" s="60">
        <f t="shared" si="100"/>
        <v>1</v>
      </c>
      <c r="GU39" s="60">
        <f t="shared" si="100"/>
        <v>1</v>
      </c>
      <c r="GV39" s="60">
        <f t="shared" si="100"/>
        <v>1</v>
      </c>
      <c r="GW39" s="60"/>
      <c r="GX39" s="60"/>
      <c r="GY39" s="60">
        <f>1/2</f>
        <v>0.5</v>
      </c>
      <c r="GZ39" s="60">
        <f>0/2</f>
        <v>0</v>
      </c>
      <c r="HA39" s="60">
        <f t="shared" ref="HA39:HC39" si="101">1/2</f>
        <v>0.5</v>
      </c>
      <c r="HB39" s="60">
        <f t="shared" si="101"/>
        <v>0.5</v>
      </c>
      <c r="HC39" s="60">
        <f t="shared" si="101"/>
        <v>0.5</v>
      </c>
      <c r="HD39" s="60"/>
      <c r="HE39" s="60"/>
      <c r="HF39" s="60">
        <f>1/2</f>
        <v>0.5</v>
      </c>
      <c r="HG39" s="60">
        <f t="shared" ref="HG39:HJ39" si="102">1/2</f>
        <v>0.5</v>
      </c>
      <c r="HH39" s="60">
        <f t="shared" si="102"/>
        <v>0.5</v>
      </c>
      <c r="HI39" s="60">
        <f t="shared" si="102"/>
        <v>0.5</v>
      </c>
      <c r="HJ39" s="60">
        <f t="shared" si="102"/>
        <v>0.5</v>
      </c>
      <c r="HK39" s="60"/>
      <c r="HL39" s="60"/>
      <c r="HM39" s="60">
        <f>2/2</f>
        <v>1</v>
      </c>
      <c r="HN39" s="60">
        <f t="shared" ref="HF39:HX40" si="103">2/2</f>
        <v>1</v>
      </c>
      <c r="HO39" s="60">
        <f t="shared" si="103"/>
        <v>1</v>
      </c>
      <c r="HP39" s="60">
        <f t="shared" si="103"/>
        <v>1</v>
      </c>
      <c r="HQ39" s="60">
        <f t="shared" si="103"/>
        <v>1</v>
      </c>
      <c r="HR39" s="60"/>
      <c r="HS39" s="60"/>
      <c r="HT39" s="60">
        <f t="shared" si="103"/>
        <v>1</v>
      </c>
      <c r="HU39" s="60">
        <f t="shared" si="103"/>
        <v>1</v>
      </c>
      <c r="HV39" s="60">
        <f t="shared" si="103"/>
        <v>1</v>
      </c>
      <c r="HW39" s="60">
        <f t="shared" si="103"/>
        <v>1</v>
      </c>
      <c r="HX39" s="60">
        <f t="shared" si="103"/>
        <v>1</v>
      </c>
      <c r="HY39" s="60"/>
      <c r="HZ39" s="60"/>
      <c r="IA39" s="60">
        <f t="shared" ref="IA39:IL40" si="104">2/2</f>
        <v>1</v>
      </c>
      <c r="IB39" s="60">
        <f t="shared" si="104"/>
        <v>1</v>
      </c>
      <c r="IC39" s="60">
        <f t="shared" si="104"/>
        <v>1</v>
      </c>
      <c r="ID39" s="60">
        <f t="shared" si="104"/>
        <v>1</v>
      </c>
      <c r="IE39" s="60">
        <f t="shared" si="104"/>
        <v>1</v>
      </c>
      <c r="IF39" s="60"/>
      <c r="IG39" s="60"/>
      <c r="IH39" s="60">
        <f t="shared" si="104"/>
        <v>1</v>
      </c>
      <c r="II39" s="60">
        <f t="shared" si="104"/>
        <v>1</v>
      </c>
      <c r="IJ39" s="60">
        <f t="shared" si="104"/>
        <v>1</v>
      </c>
      <c r="IK39" s="60">
        <f t="shared" si="104"/>
        <v>1</v>
      </c>
      <c r="IL39" s="60">
        <f t="shared" si="104"/>
        <v>1</v>
      </c>
      <c r="IM39" s="60"/>
      <c r="IN39" s="60"/>
      <c r="IO39" s="60">
        <f t="shared" ref="IO39:IV39" si="105">2/2</f>
        <v>1</v>
      </c>
      <c r="IP39" s="60">
        <f t="shared" si="105"/>
        <v>1</v>
      </c>
      <c r="IQ39" s="60">
        <f t="shared" si="105"/>
        <v>1</v>
      </c>
      <c r="IR39" s="60">
        <f t="shared" si="105"/>
        <v>1</v>
      </c>
      <c r="IS39" s="60">
        <f t="shared" si="105"/>
        <v>1</v>
      </c>
      <c r="IT39" s="60"/>
      <c r="IU39" s="60"/>
      <c r="IV39" s="60">
        <f t="shared" si="105"/>
        <v>1</v>
      </c>
      <c r="IW39" s="60">
        <f>2/2</f>
        <v>1</v>
      </c>
      <c r="IX39" s="60">
        <f t="shared" ref="IX39:IZ39" si="106">2/2</f>
        <v>1</v>
      </c>
      <c r="IY39" s="60">
        <f t="shared" si="106"/>
        <v>1</v>
      </c>
      <c r="IZ39" s="60">
        <f t="shared" si="106"/>
        <v>1</v>
      </c>
      <c r="JA39" s="60"/>
      <c r="JB39" s="60"/>
      <c r="JC39" s="60">
        <f>2/2</f>
        <v>1</v>
      </c>
      <c r="JD39" s="60">
        <f t="shared" ref="JD39:JG40" si="107">2/2</f>
        <v>1</v>
      </c>
      <c r="JE39" s="60">
        <f>4/2</f>
        <v>2</v>
      </c>
      <c r="JF39" s="60">
        <f>4/2</f>
        <v>2</v>
      </c>
      <c r="JG39" s="60">
        <f>4/2</f>
        <v>2</v>
      </c>
      <c r="JH39" s="60"/>
      <c r="JI39" s="60"/>
      <c r="JJ39" s="60">
        <f>2/2</f>
        <v>1</v>
      </c>
      <c r="JK39" s="60">
        <f>3/2</f>
        <v>1.5</v>
      </c>
      <c r="JL39" s="60">
        <f>3/2</f>
        <v>1.5</v>
      </c>
      <c r="JM39" s="60">
        <f>3/2</f>
        <v>1.5</v>
      </c>
      <c r="JN39" s="60">
        <f>3/2</f>
        <v>1.5</v>
      </c>
      <c r="JO39" s="60"/>
      <c r="JP39" s="60"/>
      <c r="JQ39" s="60">
        <f>3/2</f>
        <v>1.5</v>
      </c>
      <c r="JR39" s="60">
        <f>3/2</f>
        <v>1.5</v>
      </c>
      <c r="JS39" s="60">
        <f>3/2</f>
        <v>1.5</v>
      </c>
      <c r="JT39" s="60">
        <f>3/2</f>
        <v>1.5</v>
      </c>
      <c r="JU39" s="60">
        <f>3/2</f>
        <v>1.5</v>
      </c>
      <c r="JV39" s="60"/>
      <c r="JW39" s="60"/>
      <c r="JX39" s="60">
        <f>4/2</f>
        <v>2</v>
      </c>
      <c r="JY39" s="60">
        <f>4/2</f>
        <v>2</v>
      </c>
      <c r="JZ39" s="60">
        <f>4/2</f>
        <v>2</v>
      </c>
      <c r="KA39" s="60">
        <f>5/2</f>
        <v>2.5</v>
      </c>
      <c r="KB39" s="60">
        <f>5/2</f>
        <v>2.5</v>
      </c>
      <c r="KC39" s="60"/>
      <c r="KD39" s="60"/>
      <c r="KE39" s="60">
        <f>3/2</f>
        <v>1.5</v>
      </c>
      <c r="KF39" s="60">
        <f>4/2</f>
        <v>2</v>
      </c>
      <c r="KG39" s="60">
        <f>6/2</f>
        <v>3</v>
      </c>
      <c r="KH39" s="60">
        <f>5/2</f>
        <v>2.5</v>
      </c>
      <c r="KI39" s="60">
        <f t="shared" ref="KI39" si="108">5/2</f>
        <v>2.5</v>
      </c>
      <c r="KJ39" s="60"/>
      <c r="KK39" s="60"/>
      <c r="KL39" s="60">
        <f>4/2</f>
        <v>2</v>
      </c>
      <c r="KM39" s="60">
        <f t="shared" ref="KM39:KP39" si="109">4/2</f>
        <v>2</v>
      </c>
      <c r="KN39" s="60">
        <f t="shared" si="109"/>
        <v>2</v>
      </c>
      <c r="KO39" s="60">
        <f t="shared" si="109"/>
        <v>2</v>
      </c>
      <c r="KP39" s="60">
        <f t="shared" si="109"/>
        <v>2</v>
      </c>
      <c r="KQ39" s="60"/>
      <c r="KR39" s="60"/>
      <c r="KS39" s="60">
        <f>3/2</f>
        <v>1.5</v>
      </c>
      <c r="KT39" s="60">
        <f>3/2</f>
        <v>1.5</v>
      </c>
      <c r="KU39" s="60"/>
      <c r="KV39" s="60"/>
      <c r="KW39" s="60">
        <f>2/2</f>
        <v>1</v>
      </c>
      <c r="KX39" s="60"/>
      <c r="KY39" s="60"/>
      <c r="KZ39" s="60">
        <f>3/2</f>
        <v>1.5</v>
      </c>
      <c r="LA39" s="60">
        <f>2/2</f>
        <v>1</v>
      </c>
    </row>
    <row r="40" spans="1:313">
      <c r="A40" s="30"/>
      <c r="B40" s="24" t="s">
        <v>22</v>
      </c>
      <c r="C40" s="24"/>
      <c r="D40" s="59">
        <f>2/2</f>
        <v>1</v>
      </c>
      <c r="E40" s="60">
        <f t="shared" ref="E40:H40" si="110">2/2</f>
        <v>1</v>
      </c>
      <c r="F40" s="60">
        <f t="shared" si="110"/>
        <v>1</v>
      </c>
      <c r="G40" s="60">
        <f t="shared" si="110"/>
        <v>1</v>
      </c>
      <c r="H40" s="60">
        <f t="shared" si="110"/>
        <v>1</v>
      </c>
      <c r="I40" s="56"/>
      <c r="J40" s="56"/>
      <c r="K40" s="60">
        <f>2/2</f>
        <v>1</v>
      </c>
      <c r="L40" s="60">
        <f t="shared" ref="L40:O40" si="111">2/2</f>
        <v>1</v>
      </c>
      <c r="M40" s="60">
        <f t="shared" si="111"/>
        <v>1</v>
      </c>
      <c r="N40" s="60">
        <f t="shared" si="111"/>
        <v>1</v>
      </c>
      <c r="O40" s="60">
        <f t="shared" si="111"/>
        <v>1</v>
      </c>
      <c r="P40" s="56"/>
      <c r="Q40" s="56"/>
      <c r="R40" s="60">
        <f>2/2</f>
        <v>1</v>
      </c>
      <c r="S40" s="60">
        <f t="shared" ref="S40:V40" si="112">2/2</f>
        <v>1</v>
      </c>
      <c r="T40" s="60">
        <f t="shared" si="112"/>
        <v>1</v>
      </c>
      <c r="U40" s="60">
        <f t="shared" si="112"/>
        <v>1</v>
      </c>
      <c r="V40" s="60">
        <f t="shared" si="112"/>
        <v>1</v>
      </c>
      <c r="W40" s="56"/>
      <c r="X40" s="56"/>
      <c r="Y40" s="60">
        <f>2/2</f>
        <v>1</v>
      </c>
      <c r="Z40" s="60">
        <f t="shared" ref="Z40:AC40" si="113">2/2</f>
        <v>1</v>
      </c>
      <c r="AA40" s="60">
        <f t="shared" si="113"/>
        <v>1</v>
      </c>
      <c r="AB40" s="60">
        <f t="shared" si="113"/>
        <v>1</v>
      </c>
      <c r="AC40" s="60">
        <f t="shared" si="113"/>
        <v>1</v>
      </c>
      <c r="AD40" s="56"/>
      <c r="AE40" s="56"/>
      <c r="AF40" s="60">
        <f>1/2</f>
        <v>0.5</v>
      </c>
      <c r="AG40" s="60">
        <f>1/2</f>
        <v>0.5</v>
      </c>
      <c r="AH40" s="60">
        <f>2/2</f>
        <v>1</v>
      </c>
      <c r="AI40" s="60">
        <f>2/2</f>
        <v>1</v>
      </c>
      <c r="AJ40" s="48"/>
      <c r="AK40" s="48"/>
      <c r="AL40" s="48"/>
      <c r="AM40" s="48"/>
      <c r="AN40" s="60">
        <f>2/2</f>
        <v>1</v>
      </c>
      <c r="AO40" s="60">
        <f t="shared" ref="AO40:AQ40" si="114">2/2</f>
        <v>1</v>
      </c>
      <c r="AP40" s="60">
        <f t="shared" si="114"/>
        <v>1</v>
      </c>
      <c r="AQ40" s="60">
        <f t="shared" si="114"/>
        <v>1</v>
      </c>
      <c r="AR40" s="56"/>
      <c r="AS40" s="56"/>
      <c r="AT40" s="60">
        <f>2/2</f>
        <v>1</v>
      </c>
      <c r="AU40" s="60">
        <f t="shared" ref="AU40:AX40" si="115">2/2</f>
        <v>1</v>
      </c>
      <c r="AV40" s="60">
        <f t="shared" si="115"/>
        <v>1</v>
      </c>
      <c r="AW40" s="60">
        <f t="shared" si="115"/>
        <v>1</v>
      </c>
      <c r="AX40" s="60">
        <f t="shared" si="115"/>
        <v>1</v>
      </c>
      <c r="AY40" s="56"/>
      <c r="AZ40" s="56"/>
      <c r="BA40" s="60">
        <f>2/2</f>
        <v>1</v>
      </c>
      <c r="BB40" s="60">
        <f>2/2</f>
        <v>1</v>
      </c>
      <c r="BC40" s="60">
        <f t="shared" si="80"/>
        <v>1</v>
      </c>
      <c r="BD40" s="60">
        <f t="shared" si="80"/>
        <v>1</v>
      </c>
      <c r="BE40" s="60">
        <f t="shared" si="80"/>
        <v>1</v>
      </c>
      <c r="BF40" s="56"/>
      <c r="BG40" s="56"/>
      <c r="BH40" s="60">
        <f>2/2</f>
        <v>1</v>
      </c>
      <c r="BI40" s="60">
        <f t="shared" ref="BI40:BL40" si="116">2/2</f>
        <v>1</v>
      </c>
      <c r="BJ40" s="60">
        <f t="shared" si="116"/>
        <v>1</v>
      </c>
      <c r="BK40" s="60">
        <f t="shared" si="116"/>
        <v>1</v>
      </c>
      <c r="BL40" s="60">
        <f t="shared" si="116"/>
        <v>1</v>
      </c>
      <c r="BM40" s="56"/>
      <c r="BN40" s="56"/>
      <c r="BO40" s="60">
        <f>2/2</f>
        <v>1</v>
      </c>
      <c r="BP40" s="60">
        <f t="shared" si="82"/>
        <v>1</v>
      </c>
      <c r="BQ40" s="60">
        <f t="shared" si="82"/>
        <v>1</v>
      </c>
      <c r="BR40" s="60">
        <f t="shared" si="82"/>
        <v>1</v>
      </c>
      <c r="BS40" s="60">
        <f t="shared" si="82"/>
        <v>1</v>
      </c>
      <c r="BT40" s="56"/>
      <c r="BU40" s="56"/>
      <c r="BV40" s="48"/>
      <c r="BW40" s="60">
        <f>1/2</f>
        <v>0.5</v>
      </c>
      <c r="BX40" s="60">
        <f>1/2</f>
        <v>0.5</v>
      </c>
      <c r="BY40" s="60">
        <f>1/2</f>
        <v>0.5</v>
      </c>
      <c r="BZ40" s="60">
        <f>1/2</f>
        <v>0.5</v>
      </c>
      <c r="CA40" s="56"/>
      <c r="CB40" s="56"/>
      <c r="CC40" s="60">
        <f t="shared" ref="CC40:CD40" si="117">1/2</f>
        <v>0.5</v>
      </c>
      <c r="CD40" s="60">
        <f t="shared" si="117"/>
        <v>0.5</v>
      </c>
      <c r="CE40" s="60">
        <f>1/2</f>
        <v>0.5</v>
      </c>
      <c r="CF40" s="60">
        <f>1/2</f>
        <v>0.5</v>
      </c>
      <c r="CG40" s="60">
        <f>1/2</f>
        <v>0.5</v>
      </c>
      <c r="CH40" s="56"/>
      <c r="CI40" s="56"/>
      <c r="CJ40" s="60">
        <f>1/2</f>
        <v>0.5</v>
      </c>
      <c r="CK40" s="60">
        <f>1/2</f>
        <v>0.5</v>
      </c>
      <c r="CL40" s="60">
        <f t="shared" ref="CL40:CN40" si="118">2/2</f>
        <v>1</v>
      </c>
      <c r="CM40" s="60">
        <f t="shared" si="118"/>
        <v>1</v>
      </c>
      <c r="CN40" s="60">
        <f t="shared" si="118"/>
        <v>1</v>
      </c>
      <c r="CO40" s="24"/>
      <c r="CP40" s="24"/>
      <c r="CQ40" s="24"/>
      <c r="CR40" s="60">
        <f>1/2</f>
        <v>0.5</v>
      </c>
      <c r="CS40" s="60">
        <f>2/2</f>
        <v>1</v>
      </c>
      <c r="CT40" s="60">
        <f t="shared" si="86"/>
        <v>0.5</v>
      </c>
      <c r="CU40" s="60">
        <f t="shared" si="86"/>
        <v>0.5</v>
      </c>
      <c r="CV40" s="60"/>
      <c r="CW40" s="60"/>
      <c r="CX40" s="60">
        <f>1/2</f>
        <v>0.5</v>
      </c>
      <c r="CY40" s="60">
        <f>1/2</f>
        <v>0.5</v>
      </c>
      <c r="CZ40" s="60">
        <f>1/2</f>
        <v>0.5</v>
      </c>
      <c r="DA40" s="60">
        <f>1/2</f>
        <v>0.5</v>
      </c>
      <c r="DB40" s="60">
        <f>1/2</f>
        <v>0.5</v>
      </c>
      <c r="DC40" s="60"/>
      <c r="DD40" s="60"/>
      <c r="DE40" s="60">
        <f>1/2</f>
        <v>0.5</v>
      </c>
      <c r="DF40" s="60">
        <f t="shared" si="88"/>
        <v>1</v>
      </c>
      <c r="DG40" s="60">
        <f t="shared" si="88"/>
        <v>1</v>
      </c>
      <c r="DH40" s="60">
        <f>1/2</f>
        <v>0.5</v>
      </c>
      <c r="DI40" s="60">
        <f>2/2</f>
        <v>1</v>
      </c>
      <c r="DJ40" s="60"/>
      <c r="DK40" s="60"/>
      <c r="DL40" s="60">
        <f>1/2</f>
        <v>0.5</v>
      </c>
      <c r="DM40" s="60">
        <f t="shared" si="89"/>
        <v>1</v>
      </c>
      <c r="DN40" s="60">
        <f t="shared" si="89"/>
        <v>1</v>
      </c>
      <c r="DO40" s="60">
        <f t="shared" si="89"/>
        <v>1</v>
      </c>
      <c r="DP40" s="60">
        <f>1/2</f>
        <v>0.5</v>
      </c>
      <c r="DQ40" s="60"/>
      <c r="DR40" s="60"/>
      <c r="DS40" s="60">
        <f>2/2</f>
        <v>1</v>
      </c>
      <c r="DT40" s="60">
        <f t="shared" si="90"/>
        <v>1</v>
      </c>
      <c r="DU40" s="60">
        <f>1/2</f>
        <v>0.5</v>
      </c>
      <c r="DV40" s="60">
        <f t="shared" si="90"/>
        <v>1</v>
      </c>
      <c r="DW40" s="60">
        <f t="shared" si="90"/>
        <v>1</v>
      </c>
      <c r="DX40" s="60"/>
      <c r="DY40" s="60"/>
      <c r="DZ40" s="60">
        <f>1/2</f>
        <v>0.5</v>
      </c>
      <c r="EA40" s="60">
        <f t="shared" si="91"/>
        <v>1</v>
      </c>
      <c r="EB40" s="60">
        <f>1/2</f>
        <v>0.5</v>
      </c>
      <c r="EC40" s="60">
        <f t="shared" si="91"/>
        <v>1</v>
      </c>
      <c r="ED40" s="60">
        <f t="shared" si="91"/>
        <v>1</v>
      </c>
      <c r="EG40" s="60">
        <f>2/2</f>
        <v>1</v>
      </c>
      <c r="EH40" s="60">
        <f t="shared" si="92"/>
        <v>1</v>
      </c>
      <c r="EI40" s="60">
        <f t="shared" si="92"/>
        <v>1</v>
      </c>
      <c r="EJ40" s="60">
        <f>1/2</f>
        <v>0.5</v>
      </c>
      <c r="EK40" s="60">
        <f>1/2</f>
        <v>0.5</v>
      </c>
      <c r="EN40" s="60">
        <f>1/2</f>
        <v>0.5</v>
      </c>
      <c r="EO40" s="60">
        <f t="shared" si="93"/>
        <v>1</v>
      </c>
      <c r="EP40" s="60">
        <f t="shared" si="93"/>
        <v>1</v>
      </c>
      <c r="EQ40" s="60">
        <f>2/2</f>
        <v>1</v>
      </c>
      <c r="ER40" s="60">
        <f>2/2</f>
        <v>1</v>
      </c>
      <c r="EU40" s="60">
        <f>2/2</f>
        <v>1</v>
      </c>
      <c r="EV40" s="60">
        <f t="shared" si="94"/>
        <v>1</v>
      </c>
      <c r="EW40" s="60">
        <f t="shared" si="94"/>
        <v>1</v>
      </c>
      <c r="EX40" s="60">
        <f>1/2</f>
        <v>0.5</v>
      </c>
      <c r="EY40" s="60">
        <f>1/2</f>
        <v>0.5</v>
      </c>
      <c r="FB40" s="60">
        <f>2/2</f>
        <v>1</v>
      </c>
      <c r="FC40" s="60">
        <f t="shared" si="95"/>
        <v>1</v>
      </c>
      <c r="FD40" s="60">
        <f t="shared" si="95"/>
        <v>1</v>
      </c>
      <c r="FE40" s="60">
        <f>2/2</f>
        <v>1</v>
      </c>
      <c r="FF40" s="60">
        <f>1/2</f>
        <v>0.5</v>
      </c>
      <c r="FG40" s="24"/>
      <c r="FH40" s="24"/>
      <c r="FI40" s="60">
        <f>2/2</f>
        <v>1</v>
      </c>
      <c r="FJ40" s="60">
        <f>1/2</f>
        <v>0.5</v>
      </c>
      <c r="FK40" s="60">
        <f>1/2</f>
        <v>0.5</v>
      </c>
      <c r="FL40" s="60">
        <f>1/2</f>
        <v>0.5</v>
      </c>
      <c r="FM40" s="60">
        <f>1/2</f>
        <v>0.5</v>
      </c>
      <c r="FP40" s="60">
        <f>1/2</f>
        <v>0.5</v>
      </c>
      <c r="FQ40" s="60">
        <f>2/2</f>
        <v>1</v>
      </c>
      <c r="FR40" s="60">
        <f>2/2</f>
        <v>1</v>
      </c>
      <c r="FS40" s="60">
        <f>2/2</f>
        <v>1</v>
      </c>
      <c r="FT40" s="60">
        <f>2/2</f>
        <v>1</v>
      </c>
      <c r="FW40" s="60">
        <f t="shared" si="98"/>
        <v>1</v>
      </c>
      <c r="FX40" s="60">
        <f t="shared" si="98"/>
        <v>1</v>
      </c>
      <c r="FY40" s="60">
        <f t="shared" si="98"/>
        <v>1</v>
      </c>
      <c r="FZ40" s="60">
        <f t="shared" si="98"/>
        <v>1</v>
      </c>
      <c r="GA40" s="60">
        <f t="shared" si="98"/>
        <v>1</v>
      </c>
      <c r="GB40" s="60"/>
      <c r="GC40" s="60"/>
      <c r="GD40" s="60"/>
      <c r="GE40" s="60">
        <f t="shared" si="99"/>
        <v>1</v>
      </c>
      <c r="GF40" s="60">
        <f>2/2</f>
        <v>1</v>
      </c>
      <c r="GG40" s="60">
        <f t="shared" si="99"/>
        <v>1</v>
      </c>
      <c r="GH40" s="60">
        <f t="shared" si="99"/>
        <v>1</v>
      </c>
      <c r="GI40" s="60"/>
      <c r="GJ40" s="60"/>
      <c r="GK40" s="60">
        <f t="shared" si="99"/>
        <v>1</v>
      </c>
      <c r="GL40" s="60">
        <f>1/2</f>
        <v>0.5</v>
      </c>
      <c r="GM40" s="60">
        <f>1/2</f>
        <v>0.5</v>
      </c>
      <c r="GN40" s="60">
        <f t="shared" si="99"/>
        <v>1</v>
      </c>
      <c r="GO40" s="60">
        <f t="shared" si="99"/>
        <v>1</v>
      </c>
      <c r="GP40" s="60"/>
      <c r="GQ40" s="60"/>
      <c r="GR40" s="60">
        <f t="shared" si="100"/>
        <v>1</v>
      </c>
      <c r="GS40" s="60">
        <f t="shared" si="100"/>
        <v>1</v>
      </c>
      <c r="GT40" s="60">
        <f t="shared" si="100"/>
        <v>1</v>
      </c>
      <c r="GU40" s="60">
        <f t="shared" si="100"/>
        <v>1</v>
      </c>
      <c r="GV40" s="60">
        <f t="shared" si="100"/>
        <v>1</v>
      </c>
      <c r="GW40" s="60"/>
      <c r="GX40" s="60"/>
      <c r="GY40" s="60">
        <f t="shared" si="100"/>
        <v>1</v>
      </c>
      <c r="GZ40" s="60">
        <f t="shared" si="100"/>
        <v>1</v>
      </c>
      <c r="HA40" s="60">
        <f t="shared" si="100"/>
        <v>1</v>
      </c>
      <c r="HB40" s="60">
        <f t="shared" si="100"/>
        <v>1</v>
      </c>
      <c r="HC40" s="60">
        <f t="shared" si="100"/>
        <v>1</v>
      </c>
      <c r="HD40" s="60"/>
      <c r="HE40" s="60"/>
      <c r="HF40" s="60">
        <f t="shared" si="103"/>
        <v>1</v>
      </c>
      <c r="HG40" s="60">
        <f t="shared" si="103"/>
        <v>1</v>
      </c>
      <c r="HH40" s="60">
        <f t="shared" si="103"/>
        <v>1</v>
      </c>
      <c r="HI40" s="60">
        <f t="shared" si="103"/>
        <v>1</v>
      </c>
      <c r="HJ40" s="60">
        <f>1/2</f>
        <v>0.5</v>
      </c>
      <c r="HK40" s="60"/>
      <c r="HL40" s="60"/>
      <c r="HM40" s="60">
        <f>1/2</f>
        <v>0.5</v>
      </c>
      <c r="HN40" s="60">
        <f t="shared" si="103"/>
        <v>1</v>
      </c>
      <c r="HO40" s="60">
        <f t="shared" si="103"/>
        <v>1</v>
      </c>
      <c r="HP40" s="60">
        <f t="shared" si="103"/>
        <v>1</v>
      </c>
      <c r="HQ40" s="60">
        <f t="shared" si="103"/>
        <v>1</v>
      </c>
      <c r="HR40" s="60"/>
      <c r="HS40" s="60"/>
      <c r="HT40" s="60">
        <f>1/2</f>
        <v>0.5</v>
      </c>
      <c r="HU40" s="60">
        <f t="shared" si="103"/>
        <v>1</v>
      </c>
      <c r="HV40" s="60">
        <f t="shared" si="103"/>
        <v>1</v>
      </c>
      <c r="HW40" s="60">
        <f t="shared" si="103"/>
        <v>1</v>
      </c>
      <c r="HX40" s="60">
        <f t="shared" si="103"/>
        <v>1</v>
      </c>
      <c r="HY40" s="60"/>
      <c r="HZ40" s="60"/>
      <c r="IA40" s="60">
        <f t="shared" si="104"/>
        <v>1</v>
      </c>
      <c r="IB40" s="60">
        <f t="shared" si="104"/>
        <v>1</v>
      </c>
      <c r="IC40" s="60">
        <f t="shared" si="104"/>
        <v>1</v>
      </c>
      <c r="ID40" s="60">
        <f t="shared" si="104"/>
        <v>1</v>
      </c>
      <c r="IE40" s="60">
        <f t="shared" si="104"/>
        <v>1</v>
      </c>
      <c r="IF40" s="60"/>
      <c r="IG40" s="60"/>
      <c r="IH40" s="60">
        <f t="shared" si="104"/>
        <v>1</v>
      </c>
      <c r="II40" s="60">
        <f t="shared" si="104"/>
        <v>1</v>
      </c>
      <c r="IJ40" s="60">
        <f t="shared" si="104"/>
        <v>1</v>
      </c>
      <c r="IK40" s="60">
        <f t="shared" si="104"/>
        <v>1</v>
      </c>
      <c r="IL40" s="60">
        <f t="shared" si="104"/>
        <v>1</v>
      </c>
      <c r="IM40" s="60"/>
      <c r="IN40" s="60"/>
      <c r="IO40" s="60">
        <f>1/2</f>
        <v>0.5</v>
      </c>
      <c r="IP40" s="60">
        <f t="shared" ref="IP40:IV40" si="119">1/2</f>
        <v>0.5</v>
      </c>
      <c r="IQ40" s="60">
        <f t="shared" si="119"/>
        <v>0.5</v>
      </c>
      <c r="IR40" s="60">
        <f t="shared" si="119"/>
        <v>0.5</v>
      </c>
      <c r="IS40" s="60">
        <f t="shared" si="119"/>
        <v>0.5</v>
      </c>
      <c r="IT40" s="60"/>
      <c r="IU40" s="60"/>
      <c r="IV40" s="60">
        <f t="shared" si="119"/>
        <v>0.5</v>
      </c>
      <c r="IW40" s="60">
        <f>1/2</f>
        <v>0.5</v>
      </c>
      <c r="IX40" s="60">
        <f t="shared" ref="IX40:IZ40" si="120">1/2</f>
        <v>0.5</v>
      </c>
      <c r="IY40" s="60">
        <f t="shared" si="120"/>
        <v>0.5</v>
      </c>
      <c r="IZ40" s="60">
        <f t="shared" si="120"/>
        <v>0.5</v>
      </c>
      <c r="JA40" s="60"/>
      <c r="JB40" s="60"/>
      <c r="JC40" s="60">
        <f>2/2</f>
        <v>1</v>
      </c>
      <c r="JD40" s="60">
        <f t="shared" si="107"/>
        <v>1</v>
      </c>
      <c r="JE40" s="60">
        <f t="shared" si="107"/>
        <v>1</v>
      </c>
      <c r="JF40" s="60">
        <f t="shared" si="107"/>
        <v>1</v>
      </c>
      <c r="JG40" s="60">
        <f t="shared" si="107"/>
        <v>1</v>
      </c>
      <c r="JH40" s="60"/>
      <c r="JI40" s="60"/>
      <c r="JJ40" s="60">
        <f t="shared" ref="JJ40:JX40" si="121">2/2</f>
        <v>1</v>
      </c>
      <c r="JK40" s="60">
        <f t="shared" si="121"/>
        <v>1</v>
      </c>
      <c r="JL40" s="60">
        <f t="shared" si="121"/>
        <v>1</v>
      </c>
      <c r="JM40" s="60">
        <f t="shared" si="121"/>
        <v>1</v>
      </c>
      <c r="JN40" s="60">
        <f>1/2</f>
        <v>0.5</v>
      </c>
      <c r="JO40" s="60"/>
      <c r="JP40" s="60"/>
      <c r="JQ40" s="60">
        <f>2/2</f>
        <v>1</v>
      </c>
      <c r="JR40" s="60">
        <f>2/2</f>
        <v>1</v>
      </c>
      <c r="JS40" s="60">
        <f>2/2</f>
        <v>1</v>
      </c>
      <c r="JT40" s="60">
        <f t="shared" si="121"/>
        <v>1</v>
      </c>
      <c r="JU40" s="60">
        <f t="shared" si="121"/>
        <v>1</v>
      </c>
      <c r="JV40" s="60"/>
      <c r="JW40" s="60"/>
      <c r="JX40" s="60">
        <f t="shared" si="121"/>
        <v>1</v>
      </c>
      <c r="JY40" s="60">
        <f t="shared" ref="JY40:KA40" si="122">2/2</f>
        <v>1</v>
      </c>
      <c r="JZ40" s="60">
        <f>2/2</f>
        <v>1</v>
      </c>
      <c r="KA40" s="60">
        <f t="shared" si="122"/>
        <v>1</v>
      </c>
      <c r="KB40" s="60">
        <f>1/2</f>
        <v>0.5</v>
      </c>
      <c r="KC40" s="60"/>
      <c r="KD40" s="60"/>
      <c r="KE40" s="60">
        <f>1/2</f>
        <v>0.5</v>
      </c>
      <c r="KF40" s="60">
        <f>2/2</f>
        <v>1</v>
      </c>
      <c r="KG40" s="60">
        <f>1/2</f>
        <v>0.5</v>
      </c>
      <c r="KH40" s="60">
        <f>2/2</f>
        <v>1</v>
      </c>
      <c r="KI40" s="60">
        <f t="shared" ref="KI40:KW40" si="123">1/2</f>
        <v>0.5</v>
      </c>
      <c r="KJ40" s="60"/>
      <c r="KK40" s="60"/>
      <c r="KL40" s="60">
        <f>1/2</f>
        <v>0.5</v>
      </c>
      <c r="KM40" s="60">
        <f t="shared" ref="KM40:KP40" si="124">2/2</f>
        <v>1</v>
      </c>
      <c r="KN40" s="60">
        <f t="shared" si="124"/>
        <v>1</v>
      </c>
      <c r="KO40" s="60">
        <f t="shared" si="124"/>
        <v>1</v>
      </c>
      <c r="KP40" s="60">
        <f t="shared" si="124"/>
        <v>1</v>
      </c>
      <c r="KQ40" s="60"/>
      <c r="KR40" s="60"/>
      <c r="KS40" s="60">
        <f t="shared" si="123"/>
        <v>0.5</v>
      </c>
      <c r="KT40" s="60">
        <f t="shared" si="123"/>
        <v>0.5</v>
      </c>
      <c r="KU40" s="60"/>
      <c r="KV40" s="60"/>
      <c r="KW40" s="60">
        <f t="shared" si="123"/>
        <v>0.5</v>
      </c>
      <c r="KX40" s="60"/>
      <c r="KY40" s="60"/>
      <c r="KZ40" s="60">
        <f>2/2</f>
        <v>1</v>
      </c>
      <c r="LA40" s="60">
        <f>2/2</f>
        <v>1</v>
      </c>
    </row>
    <row r="41" spans="1:313">
      <c r="A41" s="24"/>
      <c r="B41" s="24" t="s">
        <v>215</v>
      </c>
      <c r="C41" s="24"/>
      <c r="D41" s="61">
        <f>2/4</f>
        <v>0.5</v>
      </c>
      <c r="E41" s="61">
        <f t="shared" ref="E41:H41" si="125">2/4</f>
        <v>0.5</v>
      </c>
      <c r="F41" s="61">
        <f t="shared" si="125"/>
        <v>0.5</v>
      </c>
      <c r="G41" s="61">
        <f t="shared" si="125"/>
        <v>0.5</v>
      </c>
      <c r="H41" s="61">
        <f t="shared" si="125"/>
        <v>0.5</v>
      </c>
      <c r="I41" s="63"/>
      <c r="J41" s="63"/>
      <c r="K41" s="62">
        <f>2/4</f>
        <v>0.5</v>
      </c>
      <c r="L41" s="62">
        <f t="shared" ref="L41:O41" si="126">2/4</f>
        <v>0.5</v>
      </c>
      <c r="M41" s="62">
        <f t="shared" si="126"/>
        <v>0.5</v>
      </c>
      <c r="N41" s="62">
        <f t="shared" si="126"/>
        <v>0.5</v>
      </c>
      <c r="O41" s="62">
        <f t="shared" si="126"/>
        <v>0.5</v>
      </c>
      <c r="P41" s="63"/>
      <c r="Q41" s="63"/>
      <c r="R41" s="62">
        <f>3/2</f>
        <v>1.5</v>
      </c>
      <c r="S41" s="62">
        <f>2/4</f>
        <v>0.5</v>
      </c>
      <c r="T41" s="62">
        <f t="shared" ref="T41:V41" si="127">2/4</f>
        <v>0.5</v>
      </c>
      <c r="U41" s="62">
        <f t="shared" si="127"/>
        <v>0.5</v>
      </c>
      <c r="V41" s="62">
        <f t="shared" si="127"/>
        <v>0.5</v>
      </c>
      <c r="W41" s="63"/>
      <c r="X41" s="63"/>
      <c r="Y41" s="62">
        <f>3/2</f>
        <v>1.5</v>
      </c>
      <c r="Z41" s="62">
        <f>3/2</f>
        <v>1.5</v>
      </c>
      <c r="AA41" s="62">
        <f>3/2</f>
        <v>1.5</v>
      </c>
      <c r="AB41" s="62">
        <f>4/2</f>
        <v>2</v>
      </c>
      <c r="AC41" s="62">
        <f>5/2</f>
        <v>2.5</v>
      </c>
      <c r="AD41" s="63"/>
      <c r="AE41" s="63"/>
      <c r="AF41" s="62">
        <f>4/2</f>
        <v>2</v>
      </c>
      <c r="AG41" s="62">
        <f>3/2</f>
        <v>1.5</v>
      </c>
      <c r="AH41" s="62">
        <f>3/2</f>
        <v>1.5</v>
      </c>
      <c r="AI41" s="62">
        <f>3/2</f>
        <v>1.5</v>
      </c>
      <c r="AJ41" s="64"/>
      <c r="AK41" s="64"/>
      <c r="AL41" s="64"/>
      <c r="AM41" s="64"/>
      <c r="AN41" s="62">
        <f>2/4</f>
        <v>0.5</v>
      </c>
      <c r="AO41" s="62">
        <f>3/4</f>
        <v>0.75</v>
      </c>
      <c r="AP41" s="62">
        <f>2/4</f>
        <v>0.5</v>
      </c>
      <c r="AQ41" s="62">
        <f>2/4</f>
        <v>0.5</v>
      </c>
      <c r="AR41" s="63"/>
      <c r="AS41" s="63"/>
      <c r="AT41" s="62">
        <f>6/4</f>
        <v>1.5</v>
      </c>
      <c r="AU41" s="62">
        <f>6/4</f>
        <v>1.5</v>
      </c>
      <c r="AV41" s="62">
        <f>4/4</f>
        <v>1</v>
      </c>
      <c r="AW41" s="62">
        <f>3/4</f>
        <v>0.75</v>
      </c>
      <c r="AX41" s="62">
        <f>3/4</f>
        <v>0.75</v>
      </c>
      <c r="AY41" s="63"/>
      <c r="AZ41" s="63"/>
      <c r="BA41" s="62">
        <f>3/4</f>
        <v>0.75</v>
      </c>
      <c r="BB41" s="62">
        <f>3/4</f>
        <v>0.75</v>
      </c>
      <c r="BC41" s="62">
        <f>3/4</f>
        <v>0.75</v>
      </c>
      <c r="BD41" s="62">
        <f>3/4</f>
        <v>0.75</v>
      </c>
      <c r="BE41" s="62">
        <f>3/4</f>
        <v>0.75</v>
      </c>
      <c r="BF41" s="63"/>
      <c r="BG41" s="63"/>
      <c r="BH41" s="62">
        <f>4/4</f>
        <v>1</v>
      </c>
      <c r="BI41" s="62">
        <f>4/4</f>
        <v>1</v>
      </c>
      <c r="BJ41" s="62">
        <f>4/4</f>
        <v>1</v>
      </c>
      <c r="BK41" s="62">
        <f>2/4</f>
        <v>0.5</v>
      </c>
      <c r="BL41" s="62">
        <f>2/4</f>
        <v>0.5</v>
      </c>
      <c r="BM41" s="63"/>
      <c r="BN41" s="63"/>
      <c r="BO41" s="62">
        <f>3/4</f>
        <v>0.75</v>
      </c>
      <c r="BP41" s="62">
        <f t="shared" ref="BP41:BS41" si="128">3/4</f>
        <v>0.75</v>
      </c>
      <c r="BQ41" s="62">
        <f t="shared" si="128"/>
        <v>0.75</v>
      </c>
      <c r="BR41" s="62">
        <f t="shared" si="128"/>
        <v>0.75</v>
      </c>
      <c r="BS41" s="62">
        <f t="shared" si="128"/>
        <v>0.75</v>
      </c>
      <c r="BT41" s="62"/>
      <c r="BU41" s="62"/>
      <c r="BV41" s="62"/>
      <c r="BW41" s="62">
        <f>3/4</f>
        <v>0.75</v>
      </c>
      <c r="BX41" s="62">
        <f t="shared" ref="BX41:BZ41" si="129">3/4</f>
        <v>0.75</v>
      </c>
      <c r="BY41" s="62">
        <f t="shared" si="129"/>
        <v>0.75</v>
      </c>
      <c r="BZ41" s="62">
        <f t="shared" si="129"/>
        <v>0.75</v>
      </c>
      <c r="CA41" s="62"/>
      <c r="CB41" s="62"/>
      <c r="CC41" s="62">
        <f>3/4</f>
        <v>0.75</v>
      </c>
      <c r="CD41" s="62">
        <f t="shared" ref="CD41:CG41" si="130">3/4</f>
        <v>0.75</v>
      </c>
      <c r="CE41" s="62">
        <f t="shared" si="130"/>
        <v>0.75</v>
      </c>
      <c r="CF41" s="62">
        <f t="shared" si="130"/>
        <v>0.75</v>
      </c>
      <c r="CG41" s="62">
        <f t="shared" si="130"/>
        <v>0.75</v>
      </c>
      <c r="CH41" s="56"/>
      <c r="CI41" s="56"/>
      <c r="CJ41" s="62">
        <f>3/4</f>
        <v>0.75</v>
      </c>
      <c r="CK41" s="62">
        <f t="shared" ref="CK41:CN41" si="131">3/4</f>
        <v>0.75</v>
      </c>
      <c r="CL41" s="62">
        <f t="shared" si="131"/>
        <v>0.75</v>
      </c>
      <c r="CM41" s="62">
        <f t="shared" si="131"/>
        <v>0.75</v>
      </c>
      <c r="CN41" s="62">
        <f t="shared" si="131"/>
        <v>0.75</v>
      </c>
      <c r="CO41" s="24"/>
      <c r="CP41" s="24"/>
      <c r="CQ41" s="24"/>
      <c r="CR41" s="62">
        <f>3/4</f>
        <v>0.75</v>
      </c>
      <c r="CS41" s="62">
        <f>4/3</f>
        <v>1.3333333333333333</v>
      </c>
      <c r="CT41" s="62">
        <f t="shared" ref="CT41:CU41" si="132">3/3</f>
        <v>1</v>
      </c>
      <c r="CU41" s="62">
        <f t="shared" si="132"/>
        <v>1</v>
      </c>
      <c r="CV41" s="62"/>
      <c r="CW41" s="62"/>
      <c r="CX41" s="62">
        <f>3/4</f>
        <v>0.75</v>
      </c>
      <c r="CY41" s="62">
        <f t="shared" ref="CY41:DB41" si="133">3/4</f>
        <v>0.75</v>
      </c>
      <c r="CZ41" s="62">
        <f t="shared" si="133"/>
        <v>0.75</v>
      </c>
      <c r="DA41" s="62">
        <f t="shared" si="133"/>
        <v>0.75</v>
      </c>
      <c r="DB41" s="62">
        <f t="shared" si="133"/>
        <v>0.75</v>
      </c>
      <c r="DC41" s="62"/>
      <c r="DD41" s="62"/>
      <c r="DE41" s="62">
        <f>3/4</f>
        <v>0.75</v>
      </c>
      <c r="DF41" s="62">
        <f>3/4</f>
        <v>0.75</v>
      </c>
      <c r="DG41" s="62">
        <f>5/4</f>
        <v>1.25</v>
      </c>
      <c r="DH41" s="62">
        <f>5/4</f>
        <v>1.25</v>
      </c>
      <c r="DI41" s="62">
        <f>3/4</f>
        <v>0.75</v>
      </c>
      <c r="DJ41" s="62"/>
      <c r="DK41" s="62"/>
      <c r="DL41" s="62">
        <f>3/4</f>
        <v>0.75</v>
      </c>
      <c r="DM41" s="62">
        <f>3/4</f>
        <v>0.75</v>
      </c>
      <c r="DN41" s="62">
        <f>3/4</f>
        <v>0.75</v>
      </c>
      <c r="DO41" s="62">
        <f>4/4</f>
        <v>1</v>
      </c>
      <c r="DP41" s="62">
        <f>3/4</f>
        <v>0.75</v>
      </c>
      <c r="DQ41" s="62"/>
      <c r="DR41" s="62"/>
      <c r="DS41" s="62">
        <f>3/4</f>
        <v>0.75</v>
      </c>
      <c r="DT41" s="62">
        <f t="shared" ref="DT41:DU41" si="134">3/4</f>
        <v>0.75</v>
      </c>
      <c r="DU41" s="62">
        <f t="shared" si="134"/>
        <v>0.75</v>
      </c>
      <c r="DV41" s="62">
        <f>4/4</f>
        <v>1</v>
      </c>
      <c r="DW41" s="62">
        <f>2/4</f>
        <v>0.5</v>
      </c>
      <c r="DX41" s="62"/>
      <c r="DY41" s="62"/>
      <c r="DZ41" s="62">
        <f>2/4</f>
        <v>0.5</v>
      </c>
      <c r="EA41" s="62">
        <f>2/4</f>
        <v>0.5</v>
      </c>
      <c r="EB41" s="62">
        <f>2/4</f>
        <v>0.5</v>
      </c>
      <c r="EC41" s="62">
        <f>2/4</f>
        <v>0.5</v>
      </c>
      <c r="ED41" s="62">
        <f>2/4</f>
        <v>0.5</v>
      </c>
      <c r="EG41" s="62">
        <f>3/4</f>
        <v>0.75</v>
      </c>
      <c r="EH41" s="62">
        <f>3/4</f>
        <v>0.75</v>
      </c>
      <c r="EI41" s="62">
        <f>3/4</f>
        <v>0.75</v>
      </c>
      <c r="EJ41" s="62">
        <f>3/4</f>
        <v>0.75</v>
      </c>
      <c r="EK41" s="62">
        <f>2/4</f>
        <v>0.5</v>
      </c>
      <c r="EN41" s="62">
        <f>3/4</f>
        <v>0.75</v>
      </c>
      <c r="EO41" s="62">
        <f>4/4</f>
        <v>1</v>
      </c>
      <c r="EP41" s="62">
        <f>4/4</f>
        <v>1</v>
      </c>
      <c r="EQ41" s="62">
        <f>3/4</f>
        <v>0.75</v>
      </c>
      <c r="ER41" s="62">
        <f>3/4</f>
        <v>0.75</v>
      </c>
      <c r="EU41" s="62">
        <f>2/4</f>
        <v>0.5</v>
      </c>
      <c r="EV41" s="62">
        <f>3/4</f>
        <v>0.75</v>
      </c>
      <c r="EW41" s="62">
        <f>3/4</f>
        <v>0.75</v>
      </c>
      <c r="EX41" s="62">
        <f>2/4</f>
        <v>0.5</v>
      </c>
      <c r="EY41" s="62">
        <f>2/4</f>
        <v>0.5</v>
      </c>
      <c r="FB41" s="62">
        <f>2/4</f>
        <v>0.5</v>
      </c>
      <c r="FC41" s="62">
        <f>3/4</f>
        <v>0.75</v>
      </c>
      <c r="FD41" s="62">
        <f>3/4</f>
        <v>0.75</v>
      </c>
      <c r="FE41" s="62">
        <f>3/4</f>
        <v>0.75</v>
      </c>
      <c r="FF41" s="62">
        <f>3/4</f>
        <v>0.75</v>
      </c>
      <c r="FG41" s="24"/>
      <c r="FH41" s="24"/>
      <c r="FI41" s="62">
        <f>3/4</f>
        <v>0.75</v>
      </c>
      <c r="FJ41" s="62">
        <f>2/4</f>
        <v>0.5</v>
      </c>
      <c r="FK41" s="62">
        <f>2/4</f>
        <v>0.5</v>
      </c>
      <c r="FL41" s="62">
        <f>2/4</f>
        <v>0.5</v>
      </c>
      <c r="FM41" s="62">
        <f>2/4</f>
        <v>0.5</v>
      </c>
      <c r="FP41" s="62">
        <f>2/4</f>
        <v>0.5</v>
      </c>
      <c r="FQ41" s="62">
        <f t="shared" ref="FQ41:FT41" si="135">2/4</f>
        <v>0.5</v>
      </c>
      <c r="FR41" s="62">
        <f t="shared" si="135"/>
        <v>0.5</v>
      </c>
      <c r="FS41" s="62">
        <f t="shared" si="135"/>
        <v>0.5</v>
      </c>
      <c r="FT41" s="62">
        <f t="shared" si="135"/>
        <v>0.5</v>
      </c>
      <c r="FW41" s="62">
        <f t="shared" ref="FW41:GH41" si="136">2/4</f>
        <v>0.5</v>
      </c>
      <c r="FX41" s="62">
        <f t="shared" si="136"/>
        <v>0.5</v>
      </c>
      <c r="FY41" s="62">
        <f t="shared" si="136"/>
        <v>0.5</v>
      </c>
      <c r="FZ41" s="62">
        <f t="shared" si="136"/>
        <v>0.5</v>
      </c>
      <c r="GA41" s="62">
        <f t="shared" si="136"/>
        <v>0.5</v>
      </c>
      <c r="GB41" s="62"/>
      <c r="GC41" s="62"/>
      <c r="GD41" s="62"/>
      <c r="GE41" s="62">
        <f>2/4</f>
        <v>0.5</v>
      </c>
      <c r="GF41" s="62">
        <f t="shared" si="136"/>
        <v>0.5</v>
      </c>
      <c r="GG41" s="62">
        <f t="shared" si="136"/>
        <v>0.5</v>
      </c>
      <c r="GH41" s="62">
        <f t="shared" si="136"/>
        <v>0.5</v>
      </c>
      <c r="GI41" s="62"/>
      <c r="GJ41" s="62"/>
      <c r="GK41" s="62">
        <f>4/3</f>
        <v>1.3333333333333333</v>
      </c>
      <c r="GL41" s="62">
        <f>3/3</f>
        <v>1</v>
      </c>
      <c r="GM41" s="62">
        <f>3/3</f>
        <v>1</v>
      </c>
      <c r="GN41" s="62">
        <f>2/3</f>
        <v>0.66666666666666663</v>
      </c>
      <c r="GO41" s="62">
        <f>2/3</f>
        <v>0.66666666666666663</v>
      </c>
      <c r="GP41" s="62"/>
      <c r="GQ41" s="62"/>
      <c r="GR41" s="62">
        <f>2/3</f>
        <v>0.66666666666666663</v>
      </c>
      <c r="GS41" s="62">
        <f>2/3</f>
        <v>0.66666666666666663</v>
      </c>
      <c r="GT41" s="62">
        <f>2/3</f>
        <v>0.66666666666666663</v>
      </c>
      <c r="GU41" s="62">
        <f>2/3</f>
        <v>0.66666666666666663</v>
      </c>
      <c r="GV41" s="62">
        <f>2/3</f>
        <v>0.66666666666666663</v>
      </c>
      <c r="GW41" s="62"/>
      <c r="GX41" s="62"/>
      <c r="GY41" s="62">
        <f>2/3</f>
        <v>0.66666666666666663</v>
      </c>
      <c r="GZ41" s="62">
        <f>2/3</f>
        <v>0.66666666666666663</v>
      </c>
      <c r="HA41" s="62">
        <f>2/3</f>
        <v>0.66666666666666663</v>
      </c>
      <c r="HB41" s="62">
        <f>2/3</f>
        <v>0.66666666666666663</v>
      </c>
      <c r="HC41" s="62">
        <f>2/3</f>
        <v>0.66666666666666663</v>
      </c>
      <c r="HD41" s="62"/>
      <c r="HE41" s="62"/>
      <c r="HF41" s="62">
        <f>2/3</f>
        <v>0.66666666666666663</v>
      </c>
      <c r="HG41" s="62">
        <f>2/3</f>
        <v>0.66666666666666663</v>
      </c>
      <c r="HH41" s="62">
        <f>2/3</f>
        <v>0.66666666666666663</v>
      </c>
      <c r="HI41" s="62">
        <f>2/3</f>
        <v>0.66666666666666663</v>
      </c>
      <c r="HJ41" s="62">
        <f>2/3</f>
        <v>0.66666666666666663</v>
      </c>
      <c r="HK41" s="62"/>
      <c r="HL41" s="62"/>
      <c r="HM41" s="62">
        <f>2/3</f>
        <v>0.66666666666666663</v>
      </c>
      <c r="HN41" s="62">
        <f>2/3</f>
        <v>0.66666666666666663</v>
      </c>
      <c r="HO41" s="62">
        <f>2/3</f>
        <v>0.66666666666666663</v>
      </c>
      <c r="HP41" s="62">
        <f>2/3</f>
        <v>0.66666666666666663</v>
      </c>
      <c r="HQ41" s="62">
        <f>2/3</f>
        <v>0.66666666666666663</v>
      </c>
      <c r="HR41" s="62"/>
      <c r="HS41" s="62"/>
      <c r="HT41" s="62">
        <f>2/3</f>
        <v>0.66666666666666663</v>
      </c>
      <c r="HU41" s="62">
        <f>2/3</f>
        <v>0.66666666666666663</v>
      </c>
      <c r="HV41" s="62">
        <f>2/3</f>
        <v>0.66666666666666663</v>
      </c>
      <c r="HW41" s="62">
        <f>2/3</f>
        <v>0.66666666666666663</v>
      </c>
      <c r="HX41" s="62">
        <f>2/3</f>
        <v>0.66666666666666663</v>
      </c>
      <c r="HY41" s="62"/>
      <c r="HZ41" s="62"/>
      <c r="IA41" s="62">
        <f>2/3</f>
        <v>0.66666666666666663</v>
      </c>
      <c r="IB41" s="62">
        <f>2/3</f>
        <v>0.66666666666666663</v>
      </c>
      <c r="IC41" s="62">
        <f>2/3</f>
        <v>0.66666666666666663</v>
      </c>
      <c r="ID41" s="62">
        <f>2/3</f>
        <v>0.66666666666666663</v>
      </c>
      <c r="IE41" s="62">
        <f>2/3</f>
        <v>0.66666666666666663</v>
      </c>
      <c r="IF41" s="62"/>
      <c r="IG41" s="62"/>
      <c r="IH41" s="62">
        <f>2/3</f>
        <v>0.66666666666666663</v>
      </c>
      <c r="II41" s="62">
        <f>2/3</f>
        <v>0.66666666666666663</v>
      </c>
      <c r="IJ41" s="62">
        <f>2/3</f>
        <v>0.66666666666666663</v>
      </c>
      <c r="IK41" s="62">
        <f>2/3</f>
        <v>0.66666666666666663</v>
      </c>
      <c r="IL41" s="62">
        <f>2/3</f>
        <v>0.66666666666666663</v>
      </c>
      <c r="IM41" s="62"/>
      <c r="IN41" s="62"/>
      <c r="IO41" s="62">
        <f>2/3</f>
        <v>0.66666666666666663</v>
      </c>
      <c r="IP41" s="62">
        <f>2/3</f>
        <v>0.66666666666666663</v>
      </c>
      <c r="IQ41" s="62">
        <f>2/3</f>
        <v>0.66666666666666663</v>
      </c>
      <c r="IR41" s="62">
        <f>2/3</f>
        <v>0.66666666666666663</v>
      </c>
      <c r="IS41" s="62">
        <f>2/3</f>
        <v>0.66666666666666663</v>
      </c>
      <c r="IT41" s="62"/>
      <c r="IU41" s="62"/>
      <c r="IV41" s="62">
        <f>2/3</f>
        <v>0.66666666666666663</v>
      </c>
      <c r="IW41" s="62">
        <f>2/3</f>
        <v>0.66666666666666663</v>
      </c>
      <c r="IX41" s="62">
        <f t="shared" ref="IX41:IZ41" si="137">2/3</f>
        <v>0.66666666666666663</v>
      </c>
      <c r="IY41" s="62">
        <f t="shared" si="137"/>
        <v>0.66666666666666663</v>
      </c>
      <c r="IZ41" s="62">
        <f t="shared" si="137"/>
        <v>0.66666666666666663</v>
      </c>
      <c r="JA41" s="62"/>
      <c r="JB41" s="62"/>
      <c r="JC41" s="62">
        <f>1/3</f>
        <v>0.33333333333333331</v>
      </c>
      <c r="JD41" s="62">
        <f>2/3</f>
        <v>0.66666666666666663</v>
      </c>
      <c r="JE41" s="62">
        <f>2/3</f>
        <v>0.66666666666666663</v>
      </c>
      <c r="JF41" s="62">
        <f>2/3</f>
        <v>0.66666666666666663</v>
      </c>
      <c r="JG41" s="62">
        <f>2/3</f>
        <v>0.66666666666666663</v>
      </c>
      <c r="JH41" s="62"/>
      <c r="JI41" s="62"/>
      <c r="JJ41" s="62">
        <f>3/3</f>
        <v>1</v>
      </c>
      <c r="JK41" s="62">
        <f>2/3</f>
        <v>0.66666666666666663</v>
      </c>
      <c r="JL41" s="62">
        <f>3/3</f>
        <v>1</v>
      </c>
      <c r="JM41" s="62">
        <f>3/3</f>
        <v>1</v>
      </c>
      <c r="JN41" s="62">
        <f>3/3</f>
        <v>1</v>
      </c>
      <c r="JO41" s="62"/>
      <c r="JP41" s="62"/>
      <c r="JQ41" s="62">
        <f t="shared" ref="JQ41:JS41" si="138">3/3</f>
        <v>1</v>
      </c>
      <c r="JR41" s="62">
        <f t="shared" si="138"/>
        <v>1</v>
      </c>
      <c r="JS41" s="62">
        <f t="shared" si="138"/>
        <v>1</v>
      </c>
      <c r="JT41" s="62">
        <f>2/3</f>
        <v>0.66666666666666663</v>
      </c>
      <c r="JU41" s="62">
        <f>2/3</f>
        <v>0.66666666666666663</v>
      </c>
      <c r="JV41" s="62"/>
      <c r="JW41" s="62"/>
      <c r="JX41" s="62">
        <f>2/3</f>
        <v>0.66666666666666663</v>
      </c>
      <c r="JY41" s="62">
        <f t="shared" ref="JY41:KA41" si="139">2/3</f>
        <v>0.66666666666666663</v>
      </c>
      <c r="JZ41" s="62">
        <f>2/3</f>
        <v>0.66666666666666663</v>
      </c>
      <c r="KA41" s="62">
        <f t="shared" si="139"/>
        <v>0.66666666666666663</v>
      </c>
      <c r="KB41" s="62">
        <f>2/3</f>
        <v>0.66666666666666663</v>
      </c>
      <c r="KC41" s="62"/>
      <c r="KD41" s="62"/>
      <c r="KE41" s="62">
        <f t="shared" ref="KE41:KF41" si="140">2/3</f>
        <v>0.66666666666666663</v>
      </c>
      <c r="KF41" s="62">
        <f t="shared" si="140"/>
        <v>0.66666666666666663</v>
      </c>
      <c r="KG41" s="62">
        <f>2/3</f>
        <v>0.66666666666666663</v>
      </c>
      <c r="KH41" s="62">
        <f>2/3</f>
        <v>0.66666666666666663</v>
      </c>
      <c r="KI41" s="62">
        <f>3/3</f>
        <v>1</v>
      </c>
      <c r="KJ41" s="62"/>
      <c r="KK41" s="62"/>
      <c r="KL41" s="62">
        <f t="shared" ref="KL41:KP41" si="141">3/3</f>
        <v>1</v>
      </c>
      <c r="KM41" s="62">
        <f t="shared" si="141"/>
        <v>1</v>
      </c>
      <c r="KN41" s="62">
        <f t="shared" si="141"/>
        <v>1</v>
      </c>
      <c r="KO41" s="62">
        <f t="shared" si="141"/>
        <v>1</v>
      </c>
      <c r="KP41" s="62">
        <f t="shared" si="141"/>
        <v>1</v>
      </c>
      <c r="KQ41" s="62"/>
      <c r="KR41" s="62"/>
      <c r="KS41" s="62">
        <f>1/3</f>
        <v>0.33333333333333331</v>
      </c>
      <c r="KT41" s="62">
        <f>1/3</f>
        <v>0.33333333333333331</v>
      </c>
      <c r="KU41" s="62"/>
      <c r="KV41" s="62"/>
      <c r="KW41" s="62">
        <f>1/3</f>
        <v>0.33333333333333331</v>
      </c>
      <c r="KX41" s="62"/>
      <c r="KY41" s="62"/>
      <c r="KZ41" s="62">
        <f>2/3</f>
        <v>0.66666666666666663</v>
      </c>
      <c r="LA41" s="62">
        <f>2/3</f>
        <v>0.66666666666666663</v>
      </c>
    </row>
    <row r="42" spans="1:31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5"/>
      <c r="AK42" s="25"/>
      <c r="AL42" s="25"/>
      <c r="AM42" s="25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5" t="s">
        <v>142</v>
      </c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</row>
    <row r="43" spans="1:31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5"/>
      <c r="AK43" s="25"/>
      <c r="AL43" s="25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5" t="s">
        <v>142</v>
      </c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</row>
    <row r="44" spans="1:313">
      <c r="A44" s="65" t="s">
        <v>216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5"/>
      <c r="AK44" s="25"/>
      <c r="AL44" s="25"/>
      <c r="AM44" s="25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5" t="s">
        <v>142</v>
      </c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</row>
    <row r="45" spans="1:313">
      <c r="A45" s="24" t="s">
        <v>217</v>
      </c>
      <c r="B45" s="2" t="s">
        <v>218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5"/>
      <c r="AK45" s="25"/>
      <c r="AL45" s="25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5" t="s">
        <v>142</v>
      </c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</row>
    <row r="46" spans="1:313">
      <c r="A46" s="24" t="s">
        <v>219</v>
      </c>
      <c r="B46" s="79" t="s">
        <v>140</v>
      </c>
      <c r="C46" s="24"/>
      <c r="D46" s="16"/>
      <c r="E46" s="17" t="s">
        <v>220</v>
      </c>
      <c r="F46" s="17" t="s">
        <v>3</v>
      </c>
      <c r="G46" s="17" t="s">
        <v>221</v>
      </c>
      <c r="H46" s="17" t="s">
        <v>222</v>
      </c>
      <c r="I46" s="17" t="s">
        <v>6</v>
      </c>
      <c r="J46" s="18" t="s">
        <v>7</v>
      </c>
      <c r="K46" s="18" t="s">
        <v>8</v>
      </c>
      <c r="L46" s="18" t="s">
        <v>9</v>
      </c>
      <c r="M46" s="18" t="s">
        <v>10</v>
      </c>
      <c r="N46" s="18" t="s">
        <v>11</v>
      </c>
      <c r="O46" s="18" t="s">
        <v>12</v>
      </c>
      <c r="P46" s="23" t="s">
        <v>13</v>
      </c>
      <c r="Q46" s="18" t="s">
        <v>223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</row>
    <row r="47" spans="1:313">
      <c r="A47" s="24" t="s">
        <v>224</v>
      </c>
      <c r="B47" s="80" t="s">
        <v>225</v>
      </c>
      <c r="C47" s="24"/>
      <c r="D47" s="340" t="s">
        <v>226</v>
      </c>
      <c r="E47" s="338">
        <v>0.45</v>
      </c>
      <c r="F47" s="338">
        <v>0.45</v>
      </c>
      <c r="G47" s="338">
        <f>AVERAGE(D38:U38,V38,Y38:AC38,AF38:AI38)</f>
        <v>0.59027777777777779</v>
      </c>
      <c r="H47" s="338">
        <f>AVERAGE(AN38:BP38)</f>
        <v>0.81746031746031755</v>
      </c>
      <c r="I47" s="338">
        <f>AVERAGE(BQ38:CU38)</f>
        <v>0.76984126984126988</v>
      </c>
      <c r="J47" s="338">
        <f>AVERAGE(CX38:DW38)</f>
        <v>0.78333333333333344</v>
      </c>
      <c r="K47" s="338">
        <f>AVERAGE(DZ38:EY38)</f>
        <v>0.72499999999999987</v>
      </c>
      <c r="L47" s="338">
        <f>AVERAGE(FE38:GI38)</f>
        <v>0.64625850340136048</v>
      </c>
      <c r="M47" s="338">
        <f>AVERAGE(GJ38:HM38)</f>
        <v>0.74829931972789099</v>
      </c>
      <c r="N47" s="338">
        <f>AVERAGE(HN38:IR38)</f>
        <v>0.80745341614906851</v>
      </c>
      <c r="O47" s="338">
        <f>AVERAGE(IS38:JV38)</f>
        <v>0.7321428571428571</v>
      </c>
      <c r="P47" s="338">
        <f>AVERAGE(JW38:LA38)</f>
        <v>0.53125</v>
      </c>
      <c r="Q47" s="342">
        <f>AVERAGE(E47:P48)</f>
        <v>0.67094306623615607</v>
      </c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</row>
    <row r="48" spans="1:313">
      <c r="A48" s="24" t="s">
        <v>227</v>
      </c>
      <c r="B48" s="81" t="s">
        <v>228</v>
      </c>
      <c r="C48" s="24"/>
      <c r="D48" s="341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42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</row>
    <row r="49" spans="1:108">
      <c r="A49" s="24"/>
      <c r="B49" s="24"/>
      <c r="C49" s="24"/>
      <c r="D49" s="15" t="s">
        <v>20</v>
      </c>
      <c r="E49" s="20">
        <v>1.25</v>
      </c>
      <c r="F49" s="20">
        <v>1.25</v>
      </c>
      <c r="G49" s="20">
        <f>AVERAGE(H39:AI39)</f>
        <v>1.125</v>
      </c>
      <c r="H49" s="20">
        <f>AVERAGE(AN39:BP39)</f>
        <v>0.9285714285714286</v>
      </c>
      <c r="I49" s="21">
        <f>AVERAGE(BQ38:CU39)</f>
        <v>0.80158730158730174</v>
      </c>
      <c r="J49" s="20">
        <f>AVERAGE(CX39:DW39)</f>
        <v>0.8</v>
      </c>
      <c r="K49" s="20">
        <f>AVERAGE(DZ39:EY39)</f>
        <v>1</v>
      </c>
      <c r="L49" s="20">
        <f>AVERAGE(FE39:GI39)</f>
        <v>0.95238095238095233</v>
      </c>
      <c r="M49" s="20">
        <f>AVERAGE(GJ39:HM39)</f>
        <v>0.6428571428571429</v>
      </c>
      <c r="N49" s="20">
        <f>AVERAGE(HN39:IR39)</f>
        <v>1</v>
      </c>
      <c r="O49" s="20">
        <f>AVERAGE(IS39:JV39)</f>
        <v>1.3571428571428572</v>
      </c>
      <c r="P49" s="20">
        <f>AVERAGE(JW39:LA39)</f>
        <v>1.95</v>
      </c>
      <c r="Q49" s="22">
        <f>AVERAGE(E49:P49)</f>
        <v>1.0881283068783068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</row>
    <row r="50" spans="1:108">
      <c r="A50" s="24" t="s">
        <v>229</v>
      </c>
      <c r="B50" s="24"/>
      <c r="C50" s="24"/>
      <c r="D50" s="15" t="s">
        <v>22</v>
      </c>
      <c r="E50" s="20">
        <v>0.75</v>
      </c>
      <c r="F50" s="20">
        <v>0.75</v>
      </c>
      <c r="G50" s="20">
        <f>AVERAGE(H40:AL40)</f>
        <v>0.95</v>
      </c>
      <c r="H50" s="20">
        <f>AVERAGE(AM40:BP40)</f>
        <v>1</v>
      </c>
      <c r="I50" s="20">
        <f>AVERAGE(BQ40:CU40)</f>
        <v>0.66666666666666663</v>
      </c>
      <c r="J50" s="20">
        <f>AVERAGE(CX40:DW40)</f>
        <v>0.75</v>
      </c>
      <c r="K50" s="20">
        <f>AVERAGE(DZ40:EY40)</f>
        <v>0.82499999999999996</v>
      </c>
      <c r="L50" s="20">
        <f>AVERAGE(FE40:GI40)</f>
        <v>0.8571428571428571</v>
      </c>
      <c r="M50" s="20">
        <f>AVERAGE(GJ40:HM40)</f>
        <v>0.90476190476190477</v>
      </c>
      <c r="N50" s="20">
        <f>AVERAGE(HN40:IR40)</f>
        <v>0.89130434782608692</v>
      </c>
      <c r="O50" s="20">
        <f>AVERAGE(IS40:JV40)</f>
        <v>0.83333333333333337</v>
      </c>
      <c r="P50" s="20">
        <f>AVERAGE(JW40:LA40)</f>
        <v>0.8</v>
      </c>
      <c r="Q50" s="22">
        <f t="shared" ref="Q50" si="142">AVERAGE(E50:P51)</f>
        <v>0.84480963883137805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</row>
    <row r="51" spans="1:108">
      <c r="A51" s="24"/>
      <c r="B51" s="24"/>
      <c r="C51" s="24"/>
      <c r="D51" s="78" t="s">
        <v>38</v>
      </c>
      <c r="E51" s="66">
        <v>1.35</v>
      </c>
      <c r="F51" s="66">
        <v>1.35</v>
      </c>
      <c r="G51" s="66">
        <f>AVERAGE(H41:AK41)</f>
        <v>1.1000000000000001</v>
      </c>
      <c r="H51" s="66">
        <f>AVERAGE(AM41:BP41)</f>
        <v>0.80952380952380953</v>
      </c>
      <c r="I51" s="66">
        <f>AVERAGE(BQ41:CU41)</f>
        <v>0.80158730158730174</v>
      </c>
      <c r="J51" s="66">
        <f>AVERAGE(CX41:DW41)</f>
        <v>0.8125</v>
      </c>
      <c r="K51" s="66">
        <f>AVERAGE(DZ41:EY41)</f>
        <v>0.66249999999999998</v>
      </c>
      <c r="L51" s="66">
        <f>AVERAGE(FE41:GI41)</f>
        <v>0.5357142857142857</v>
      </c>
      <c r="M51" s="66">
        <f>AVERAGE(GJ41:HM41)</f>
        <v>0.7301587301587299</v>
      </c>
      <c r="N51" s="66">
        <f>AVERAGE(HN41:IR41)</f>
        <v>0.66666666666666641</v>
      </c>
      <c r="O51" s="66">
        <f>AVERAGE(IS41:JV41)</f>
        <v>0.76190476190476186</v>
      </c>
      <c r="P51" s="66">
        <f>AVERAGE(JW41:LA41)</f>
        <v>0.71666666666666667</v>
      </c>
      <c r="Q51" s="19">
        <f>AVERAGE(E51:P53)</f>
        <v>0.83409538392651739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</row>
    <row r="52" spans="1:108">
      <c r="A52" s="24"/>
      <c r="B52" s="24"/>
      <c r="C52" s="24"/>
      <c r="D52" s="15" t="s">
        <v>15</v>
      </c>
      <c r="E52" s="20">
        <v>0.5</v>
      </c>
      <c r="F52" s="20">
        <v>0.5</v>
      </c>
      <c r="G52" s="20">
        <f>AVERAGE(H37:AL37)</f>
        <v>0.9</v>
      </c>
      <c r="H52" s="20">
        <f>AVERAGE(AM37:BP37)</f>
        <v>0.8928571428571429</v>
      </c>
      <c r="I52" s="20">
        <f>AVERAGE(BQ37:CU37)</f>
        <v>0.8928571428571429</v>
      </c>
      <c r="J52" s="20">
        <f>AVERAGE(CX37:DY37)</f>
        <v>0.96250000000000002</v>
      </c>
      <c r="K52" s="20">
        <f>AVERAGE(DY37:EY37)</f>
        <v>0.96250000000000002</v>
      </c>
      <c r="L52" s="20">
        <f>AVERAGE(FE37:GI37)</f>
        <v>0.80952380952380953</v>
      </c>
      <c r="M52" s="20">
        <f>AVERAGE(GJ37:HM37)</f>
        <v>0.79761904761904767</v>
      </c>
      <c r="N52" s="20">
        <f>AVERAGE(HN37:IR37)</f>
        <v>0.69565217391304346</v>
      </c>
      <c r="O52" s="20">
        <f>AVERAGE(IS37:JV37)</f>
        <v>0.88095238095238093</v>
      </c>
      <c r="P52" s="20">
        <f>AVERAGE(JW37:LA37)</f>
        <v>0.75</v>
      </c>
      <c r="Q52" s="19">
        <f>AVERAGE(E52:P52)</f>
        <v>0.79537180814354735</v>
      </c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</row>
    <row r="53" spans="1:108">
      <c r="A53" s="24"/>
      <c r="B53" s="24"/>
      <c r="C53" s="24"/>
      <c r="D53" s="30" t="s">
        <v>230</v>
      </c>
      <c r="E53" s="29">
        <f>AVERAGE(E47:E52)</f>
        <v>0.8600000000000001</v>
      </c>
      <c r="F53" s="29">
        <f t="shared" ref="F53:P53" si="143">AVERAGE(F47:F52)</f>
        <v>0.8600000000000001</v>
      </c>
      <c r="G53" s="29">
        <f t="shared" si="143"/>
        <v>0.93305555555555553</v>
      </c>
      <c r="H53" s="29">
        <f t="shared" si="143"/>
        <v>0.88968253968253974</v>
      </c>
      <c r="I53" s="29">
        <f t="shared" si="143"/>
        <v>0.7865079365079366</v>
      </c>
      <c r="J53" s="29">
        <f t="shared" si="143"/>
        <v>0.82166666666666666</v>
      </c>
      <c r="K53" s="29">
        <f t="shared" si="143"/>
        <v>0.83499999999999996</v>
      </c>
      <c r="L53" s="29">
        <f t="shared" si="143"/>
        <v>0.76020408163265307</v>
      </c>
      <c r="M53" s="29">
        <f t="shared" si="143"/>
        <v>0.76473922902494318</v>
      </c>
      <c r="N53" s="29">
        <f t="shared" si="143"/>
        <v>0.81221532091097315</v>
      </c>
      <c r="O53" s="29">
        <f t="shared" si="143"/>
        <v>0.91309523809523818</v>
      </c>
      <c r="P53" s="29">
        <f t="shared" si="143"/>
        <v>0.94958333333333333</v>
      </c>
      <c r="Q53" s="28">
        <f>AVERAGE(Q47:Q52)</f>
        <v>0.84666964080318119</v>
      </c>
      <c r="R53" s="30" t="s">
        <v>231</v>
      </c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</row>
    <row r="54" spans="1:108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</sheetData>
  <mergeCells count="14">
    <mergeCell ref="Q47:Q48"/>
    <mergeCell ref="J47:J48"/>
    <mergeCell ref="K47:K48"/>
    <mergeCell ref="L47:L48"/>
    <mergeCell ref="M47:M48"/>
    <mergeCell ref="N47:N48"/>
    <mergeCell ref="O47:O48"/>
    <mergeCell ref="P47:P48"/>
    <mergeCell ref="I47:I48"/>
    <mergeCell ref="D47:D48"/>
    <mergeCell ref="E47:E48"/>
    <mergeCell ref="F47:F48"/>
    <mergeCell ref="G47:G48"/>
    <mergeCell ref="H47:H48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FF33-616F-4841-8A21-4C232EF76A28}">
  <dimension ref="A1:NI54"/>
  <sheetViews>
    <sheetView tabSelected="1" workbookViewId="0">
      <pane xSplit="3" ySplit="1" topLeftCell="BZ2" activePane="bottomRight" state="frozen"/>
      <selection pane="bottomRight" activeCell="CN7" sqref="CN7"/>
      <selection pane="bottomLeft"/>
      <selection pane="topRight"/>
    </sheetView>
  </sheetViews>
  <sheetFormatPr defaultColWidth="9.140625" defaultRowHeight="14.45"/>
  <cols>
    <col min="1" max="1" width="19.28515625" style="235" bestFit="1" customWidth="1"/>
    <col min="2" max="2" width="25.28515625" style="235" customWidth="1"/>
    <col min="3" max="3" width="15.7109375" style="235" hidden="1" customWidth="1"/>
    <col min="4" max="4" width="15.140625" style="235" customWidth="1"/>
    <col min="5" max="5" width="16.7109375" style="235" customWidth="1"/>
    <col min="6" max="7" width="11.7109375" style="235" customWidth="1"/>
    <col min="8" max="10" width="14.28515625" style="235" customWidth="1"/>
    <col min="11" max="11" width="13.28515625" style="235" customWidth="1"/>
    <col min="12" max="12" width="14.28515625" style="235" customWidth="1"/>
    <col min="13" max="14" width="11.7109375" style="235" customWidth="1"/>
    <col min="15" max="19" width="14.28515625" style="235" customWidth="1"/>
    <col min="20" max="21" width="11.7109375" style="235" customWidth="1"/>
    <col min="22" max="26" width="14.28515625" style="235" customWidth="1"/>
    <col min="27" max="28" width="11.7109375" style="235" customWidth="1"/>
    <col min="29" max="33" width="14.28515625" style="235" customWidth="1"/>
    <col min="34" max="35" width="11.7109375" style="235" customWidth="1"/>
    <col min="36" max="40" width="14.28515625" style="235" customWidth="1"/>
    <col min="41" max="42" width="11.7109375" style="235" customWidth="1"/>
    <col min="43" max="45" width="14.28515625" style="235" customWidth="1"/>
    <col min="46" max="46" width="14.85546875" style="235" customWidth="1"/>
    <col min="47" max="47" width="14.28515625" style="235" customWidth="1"/>
    <col min="48" max="49" width="11.7109375" style="235" customWidth="1"/>
    <col min="50" max="54" width="14.28515625" style="235" customWidth="1"/>
    <col min="55" max="55" width="11.7109375" style="235" customWidth="1"/>
    <col min="56" max="56" width="15.85546875" style="235" customWidth="1"/>
    <col min="57" max="57" width="13.140625" style="235" customWidth="1"/>
    <col min="58" max="58" width="12.42578125" style="235" customWidth="1"/>
    <col min="59" max="59" width="12.85546875" style="235" bestFit="1" customWidth="1"/>
    <col min="60" max="60" width="14.140625" style="235" customWidth="1"/>
    <col min="61" max="61" width="12.85546875" style="235" bestFit="1" customWidth="1"/>
    <col min="62" max="63" width="11.7109375" style="235" customWidth="1"/>
    <col min="64" max="68" width="14.28515625" style="235" customWidth="1"/>
    <col min="69" max="70" width="11.7109375" style="235" customWidth="1"/>
    <col min="71" max="75" width="14.28515625" style="235" customWidth="1"/>
    <col min="76" max="77" width="11.7109375" style="235" customWidth="1"/>
    <col min="78" max="82" width="15.7109375" style="235" customWidth="1"/>
    <col min="83" max="84" width="11.7109375" style="235" customWidth="1"/>
    <col min="85" max="89" width="14.28515625" style="235" customWidth="1"/>
    <col min="90" max="91" width="11.7109375" style="235" customWidth="1"/>
    <col min="92" max="96" width="14.28515625" style="235" customWidth="1"/>
    <col min="97" max="98" width="11.7109375" style="235" customWidth="1"/>
    <col min="99" max="103" width="14.28515625" style="235" customWidth="1"/>
    <col min="104" max="105" width="11.7109375" style="235" customWidth="1"/>
    <col min="106" max="109" width="14.28515625" style="235" customWidth="1"/>
    <col min="110" max="113" width="11.7109375" style="235" customWidth="1"/>
    <col min="114" max="117" width="14.28515625" style="235" customWidth="1"/>
    <col min="118" max="119" width="12.42578125" style="235" customWidth="1"/>
    <col min="120" max="124" width="14.28515625" style="235" customWidth="1"/>
    <col min="125" max="126" width="11.7109375" style="235" customWidth="1"/>
    <col min="127" max="135" width="12.28515625" style="235" customWidth="1"/>
    <col min="136" max="154" width="11.7109375" style="235" customWidth="1"/>
    <col min="155" max="159" width="12.28515625" style="235" customWidth="1"/>
    <col min="160" max="161" width="11.7109375" style="235" customWidth="1"/>
    <col min="162" max="162" width="12.28515625" style="235" customWidth="1"/>
    <col min="163" max="193" width="11.7109375" style="235" customWidth="1"/>
    <col min="194" max="194" width="12.28515625" style="235" customWidth="1"/>
    <col min="195" max="195" width="11.7109375" style="235" customWidth="1"/>
    <col min="196" max="196" width="12" style="235" customWidth="1"/>
    <col min="197" max="197" width="13" style="235" customWidth="1"/>
    <col min="198" max="198" width="13.5703125" style="235" customWidth="1"/>
    <col min="199" max="199" width="14" style="235" customWidth="1"/>
    <col min="200" max="200" width="15.140625" style="235" customWidth="1"/>
    <col min="201" max="201" width="14.7109375" style="235" customWidth="1"/>
    <col min="202" max="203" width="11.7109375" style="235" customWidth="1"/>
    <col min="204" max="205" width="14" style="235" customWidth="1"/>
    <col min="206" max="206" width="11.7109375" style="235" customWidth="1"/>
    <col min="207" max="207" width="17.85546875" style="235" customWidth="1"/>
    <col min="208" max="208" width="18.140625" style="235" customWidth="1"/>
    <col min="209" max="217" width="11.7109375" style="235" customWidth="1"/>
    <col min="218" max="218" width="12.28515625" style="235" customWidth="1"/>
    <col min="219" max="239" width="11.7109375" style="235" customWidth="1"/>
    <col min="240" max="240" width="15.28515625" style="235" customWidth="1"/>
    <col min="241" max="241" width="13.42578125" style="235" customWidth="1"/>
    <col min="242" max="245" width="11.7109375" style="235" customWidth="1"/>
    <col min="246" max="246" width="11.7109375" style="235" bestFit="1" customWidth="1"/>
    <col min="247" max="247" width="12.7109375" style="235" customWidth="1"/>
    <col min="248" max="280" width="11.7109375" style="235" bestFit="1" customWidth="1"/>
    <col min="281" max="281" width="12.28515625" style="235" bestFit="1" customWidth="1"/>
    <col min="282" max="289" width="11.7109375" style="235" bestFit="1" customWidth="1"/>
    <col min="290" max="290" width="12.5703125" style="235" customWidth="1"/>
    <col min="291" max="291" width="11.7109375" style="235" bestFit="1" customWidth="1"/>
    <col min="292" max="292" width="13.140625" style="235" customWidth="1"/>
    <col min="293" max="302" width="11.7109375" style="235" bestFit="1" customWidth="1"/>
    <col min="303" max="304" width="13.5703125" style="235" customWidth="1"/>
    <col min="305" max="317" width="11.7109375" style="235" bestFit="1" customWidth="1"/>
    <col min="318" max="318" width="12" style="235" customWidth="1"/>
    <col min="319" max="319" width="11.42578125" style="235" customWidth="1"/>
    <col min="320" max="320" width="15" style="235" customWidth="1"/>
    <col min="321" max="322" width="11.7109375" style="235" bestFit="1" customWidth="1"/>
    <col min="323" max="323" width="13.85546875" style="235" customWidth="1"/>
    <col min="324" max="325" width="11.7109375" style="235" bestFit="1" customWidth="1"/>
    <col min="326" max="326" width="12.140625" style="235" bestFit="1" customWidth="1"/>
    <col min="327" max="327" width="13.28515625" style="235" customWidth="1"/>
    <col min="328" max="367" width="11.7109375" style="235" bestFit="1" customWidth="1"/>
    <col min="368" max="368" width="12" style="235" bestFit="1" customWidth="1"/>
    <col min="369" max="369" width="11.28515625" style="235" bestFit="1" customWidth="1"/>
    <col min="370" max="16384" width="9.140625" style="235"/>
  </cols>
  <sheetData>
    <row r="1" spans="1:373" s="236" customFormat="1">
      <c r="A1" s="231" t="s">
        <v>52</v>
      </c>
      <c r="B1" s="232" t="s">
        <v>232</v>
      </c>
      <c r="C1" s="233" t="s">
        <v>54</v>
      </c>
      <c r="D1" s="234">
        <v>45658</v>
      </c>
      <c r="E1" s="234">
        <v>46024</v>
      </c>
      <c r="F1" s="234">
        <v>46025</v>
      </c>
      <c r="G1" s="234">
        <v>46026</v>
      </c>
      <c r="H1" s="234">
        <v>46027</v>
      </c>
      <c r="I1" s="234">
        <v>46028</v>
      </c>
      <c r="J1" s="234">
        <v>46029</v>
      </c>
      <c r="K1" s="234">
        <v>46030</v>
      </c>
      <c r="L1" s="234">
        <v>46031</v>
      </c>
      <c r="M1" s="234">
        <v>46032</v>
      </c>
      <c r="N1" s="234">
        <v>46033</v>
      </c>
      <c r="O1" s="234">
        <v>46034</v>
      </c>
      <c r="P1" s="234">
        <v>46035</v>
      </c>
      <c r="Q1" s="234">
        <v>46036</v>
      </c>
      <c r="R1" s="234">
        <v>46037</v>
      </c>
      <c r="S1" s="234">
        <v>46038</v>
      </c>
      <c r="T1" s="234">
        <v>46039</v>
      </c>
      <c r="U1" s="234">
        <v>46040</v>
      </c>
      <c r="V1" s="234">
        <v>46041</v>
      </c>
      <c r="W1" s="234">
        <v>46042</v>
      </c>
      <c r="X1" s="234">
        <v>46043</v>
      </c>
      <c r="Y1" s="234">
        <v>46044</v>
      </c>
      <c r="Z1" s="234">
        <v>46045</v>
      </c>
      <c r="AA1" s="234">
        <v>46046</v>
      </c>
      <c r="AB1" s="234">
        <v>46047</v>
      </c>
      <c r="AC1" s="234">
        <v>46048</v>
      </c>
      <c r="AD1" s="234">
        <v>46049</v>
      </c>
      <c r="AE1" s="234">
        <v>46050</v>
      </c>
      <c r="AF1" s="234">
        <v>46051</v>
      </c>
      <c r="AG1" s="234">
        <v>46052</v>
      </c>
      <c r="AH1" s="234">
        <v>46053</v>
      </c>
      <c r="AI1" s="234">
        <v>46054</v>
      </c>
      <c r="AJ1" s="234">
        <v>46055</v>
      </c>
      <c r="AK1" s="234">
        <v>46056</v>
      </c>
      <c r="AL1" s="234">
        <v>46057</v>
      </c>
      <c r="AM1" s="234">
        <v>46058</v>
      </c>
      <c r="AN1" s="234">
        <v>46059</v>
      </c>
      <c r="AO1" s="234">
        <v>46060</v>
      </c>
      <c r="AP1" s="234">
        <v>46061</v>
      </c>
      <c r="AQ1" s="234">
        <v>46062</v>
      </c>
      <c r="AR1" s="234">
        <v>46063</v>
      </c>
      <c r="AS1" s="234">
        <v>46064</v>
      </c>
      <c r="AT1" s="234">
        <v>46065</v>
      </c>
      <c r="AU1" s="234">
        <v>46066</v>
      </c>
      <c r="AV1" s="234">
        <v>46067</v>
      </c>
      <c r="AW1" s="234">
        <v>46068</v>
      </c>
      <c r="AX1" s="234">
        <v>46069</v>
      </c>
      <c r="AY1" s="234">
        <v>46070</v>
      </c>
      <c r="AZ1" s="234">
        <v>46071</v>
      </c>
      <c r="BA1" s="234">
        <v>46072</v>
      </c>
      <c r="BB1" s="234">
        <v>46073</v>
      </c>
      <c r="BC1" s="234">
        <v>46074</v>
      </c>
      <c r="BD1" s="234">
        <v>46075</v>
      </c>
      <c r="BE1" s="234">
        <v>46076</v>
      </c>
      <c r="BF1" s="234">
        <v>46077</v>
      </c>
      <c r="BG1" s="234">
        <v>46078</v>
      </c>
      <c r="BH1" s="234">
        <v>46079</v>
      </c>
      <c r="BI1" s="234">
        <v>46080</v>
      </c>
      <c r="BJ1" s="234">
        <v>46081</v>
      </c>
      <c r="BK1" s="234">
        <v>46082</v>
      </c>
      <c r="BL1" s="234">
        <v>46083</v>
      </c>
      <c r="BM1" s="234">
        <v>46084</v>
      </c>
      <c r="BN1" s="234">
        <v>46085</v>
      </c>
      <c r="BO1" s="234">
        <v>46086</v>
      </c>
      <c r="BP1" s="234">
        <v>46087</v>
      </c>
      <c r="BQ1" s="234">
        <v>46088</v>
      </c>
      <c r="BR1" s="234">
        <v>46089</v>
      </c>
      <c r="BS1" s="234">
        <v>46090</v>
      </c>
      <c r="BT1" s="234">
        <v>46091</v>
      </c>
      <c r="BU1" s="234">
        <v>46092</v>
      </c>
      <c r="BV1" s="234">
        <v>46093</v>
      </c>
      <c r="BW1" s="234">
        <v>46094</v>
      </c>
      <c r="BX1" s="234">
        <v>46095</v>
      </c>
      <c r="BY1" s="234">
        <v>46096</v>
      </c>
      <c r="BZ1" s="234">
        <v>46097</v>
      </c>
      <c r="CA1" s="234">
        <v>46098</v>
      </c>
      <c r="CB1" s="234">
        <v>46099</v>
      </c>
      <c r="CC1" s="234">
        <v>46100</v>
      </c>
      <c r="CD1" s="234">
        <v>46101</v>
      </c>
      <c r="CE1" s="234">
        <v>46102</v>
      </c>
      <c r="CF1" s="234">
        <v>46103</v>
      </c>
      <c r="CG1" s="234">
        <v>46104</v>
      </c>
      <c r="CH1" s="234">
        <v>46105</v>
      </c>
      <c r="CI1" s="234">
        <v>46106</v>
      </c>
      <c r="CJ1" s="234">
        <v>46107</v>
      </c>
      <c r="CK1" s="234">
        <v>46108</v>
      </c>
      <c r="CL1" s="234">
        <v>46109</v>
      </c>
      <c r="CM1" s="234">
        <v>46110</v>
      </c>
      <c r="CN1" s="234">
        <v>46111</v>
      </c>
      <c r="CO1" s="234">
        <v>46112</v>
      </c>
      <c r="CP1" s="234">
        <v>46113</v>
      </c>
      <c r="CQ1" s="234">
        <v>46114</v>
      </c>
      <c r="CR1" s="234">
        <v>46115</v>
      </c>
      <c r="CS1" s="234">
        <v>46116</v>
      </c>
      <c r="CT1" s="234">
        <v>46117</v>
      </c>
      <c r="CU1" s="234">
        <v>46118</v>
      </c>
      <c r="CV1" s="234">
        <v>46119</v>
      </c>
      <c r="CW1" s="234">
        <v>46120</v>
      </c>
      <c r="CX1" s="234">
        <v>46121</v>
      </c>
      <c r="CY1" s="234">
        <v>46122</v>
      </c>
      <c r="CZ1" s="234">
        <v>46123</v>
      </c>
      <c r="DA1" s="234">
        <v>46124</v>
      </c>
      <c r="DB1" s="234">
        <v>46125</v>
      </c>
      <c r="DC1" s="234">
        <v>46126</v>
      </c>
      <c r="DD1" s="234">
        <v>46127</v>
      </c>
      <c r="DE1" s="234">
        <v>46128</v>
      </c>
      <c r="DF1" s="234">
        <v>46129</v>
      </c>
      <c r="DG1" s="234">
        <v>46130</v>
      </c>
      <c r="DH1" s="234">
        <v>46131</v>
      </c>
      <c r="DI1" s="234">
        <v>46132</v>
      </c>
      <c r="DJ1" s="234">
        <v>46133</v>
      </c>
      <c r="DK1" s="234">
        <v>46134</v>
      </c>
      <c r="DL1" s="234">
        <v>46135</v>
      </c>
      <c r="DM1" s="234">
        <v>46136</v>
      </c>
      <c r="DN1" s="234">
        <v>46137</v>
      </c>
      <c r="DO1" s="234">
        <v>46138</v>
      </c>
      <c r="DP1" s="234">
        <v>46139</v>
      </c>
      <c r="DQ1" s="234">
        <v>46140</v>
      </c>
      <c r="DR1" s="234">
        <v>46141</v>
      </c>
      <c r="DS1" s="234">
        <v>46142</v>
      </c>
      <c r="DT1" s="234">
        <v>46143</v>
      </c>
      <c r="DU1" s="234">
        <v>46144</v>
      </c>
      <c r="DV1" s="234">
        <v>46145</v>
      </c>
      <c r="DW1" s="234">
        <v>46146</v>
      </c>
      <c r="DX1" s="234">
        <v>46147</v>
      </c>
      <c r="DY1" s="234">
        <v>46148</v>
      </c>
      <c r="DZ1" s="234">
        <v>46149</v>
      </c>
      <c r="EA1" s="234">
        <v>46150</v>
      </c>
      <c r="EB1" s="234">
        <v>46151</v>
      </c>
      <c r="EC1" s="234">
        <v>46152</v>
      </c>
      <c r="ED1" s="234">
        <v>46153</v>
      </c>
      <c r="EE1" s="234">
        <v>46154</v>
      </c>
      <c r="EF1" s="234">
        <v>46155</v>
      </c>
      <c r="EG1" s="234">
        <v>46156</v>
      </c>
      <c r="EH1" s="234">
        <v>46157</v>
      </c>
      <c r="EI1" s="234">
        <v>46158</v>
      </c>
      <c r="EJ1" s="234">
        <v>46159</v>
      </c>
      <c r="EK1" s="234">
        <v>46160</v>
      </c>
      <c r="EL1" s="234">
        <v>46161</v>
      </c>
      <c r="EM1" s="234">
        <v>46162</v>
      </c>
      <c r="EN1" s="234">
        <v>46163</v>
      </c>
      <c r="EO1" s="234">
        <v>46164</v>
      </c>
      <c r="EP1" s="234">
        <v>46165</v>
      </c>
      <c r="EQ1" s="234">
        <v>46166</v>
      </c>
      <c r="ER1" s="234">
        <v>46167</v>
      </c>
      <c r="ES1" s="234">
        <v>46168</v>
      </c>
      <c r="ET1" s="234">
        <v>46169</v>
      </c>
      <c r="EU1" s="234">
        <v>46170</v>
      </c>
      <c r="EV1" s="234">
        <v>46171</v>
      </c>
      <c r="EW1" s="234">
        <v>46172</v>
      </c>
      <c r="EX1" s="234">
        <v>46173</v>
      </c>
      <c r="EY1" s="234">
        <v>46174</v>
      </c>
      <c r="EZ1" s="234">
        <v>46175</v>
      </c>
      <c r="FA1" s="234">
        <v>46176</v>
      </c>
      <c r="FB1" s="234">
        <v>46177</v>
      </c>
      <c r="FC1" s="234">
        <v>46178</v>
      </c>
      <c r="FD1" s="234">
        <v>46179</v>
      </c>
      <c r="FE1" s="234">
        <v>46180</v>
      </c>
      <c r="FF1" s="234">
        <v>46181</v>
      </c>
      <c r="FG1" s="234">
        <v>46182</v>
      </c>
      <c r="FH1" s="234">
        <v>46183</v>
      </c>
      <c r="FI1" s="234">
        <v>46184</v>
      </c>
      <c r="FJ1" s="234">
        <v>46185</v>
      </c>
      <c r="FK1" s="234">
        <v>46186</v>
      </c>
      <c r="FL1" s="234">
        <v>46187</v>
      </c>
      <c r="FM1" s="234">
        <v>46188</v>
      </c>
      <c r="FN1" s="234">
        <v>46189</v>
      </c>
      <c r="FO1" s="234">
        <v>46190</v>
      </c>
      <c r="FP1" s="234">
        <v>46191</v>
      </c>
      <c r="FQ1" s="234">
        <v>46192</v>
      </c>
      <c r="FR1" s="234">
        <v>46193</v>
      </c>
      <c r="FS1" s="234">
        <v>46194</v>
      </c>
      <c r="FT1" s="234">
        <v>46195</v>
      </c>
      <c r="FU1" s="234">
        <v>46196</v>
      </c>
      <c r="FV1" s="234">
        <v>46197</v>
      </c>
      <c r="FW1" s="234">
        <v>46198</v>
      </c>
      <c r="FX1" s="234">
        <v>46199</v>
      </c>
      <c r="FY1" s="234">
        <v>46200</v>
      </c>
      <c r="FZ1" s="234">
        <v>46201</v>
      </c>
      <c r="GA1" s="234">
        <v>46202</v>
      </c>
      <c r="GB1" s="234">
        <v>46203</v>
      </c>
      <c r="GC1" s="234">
        <v>46204</v>
      </c>
      <c r="GD1" s="234">
        <v>46205</v>
      </c>
      <c r="GE1" s="234">
        <v>46206</v>
      </c>
      <c r="GF1" s="234">
        <v>46207</v>
      </c>
      <c r="GG1" s="234">
        <v>46208</v>
      </c>
      <c r="GH1" s="234">
        <v>46209</v>
      </c>
      <c r="GI1" s="234">
        <v>46210</v>
      </c>
      <c r="GJ1" s="234">
        <v>46211</v>
      </c>
      <c r="GK1" s="234">
        <v>46212</v>
      </c>
      <c r="GL1" s="234">
        <v>46213</v>
      </c>
      <c r="GM1" s="234">
        <v>46214</v>
      </c>
      <c r="GN1" s="234">
        <v>46215</v>
      </c>
      <c r="GO1" s="234">
        <v>46216</v>
      </c>
      <c r="GP1" s="234">
        <v>46217</v>
      </c>
      <c r="GQ1" s="234">
        <v>46218</v>
      </c>
      <c r="GR1" s="234">
        <v>46219</v>
      </c>
      <c r="GS1" s="234">
        <v>46220</v>
      </c>
      <c r="GT1" s="234">
        <v>46221</v>
      </c>
      <c r="GU1" s="234">
        <v>46222</v>
      </c>
      <c r="GV1" s="234">
        <v>46223</v>
      </c>
      <c r="GW1" s="234">
        <v>46224</v>
      </c>
      <c r="GX1" s="234">
        <v>46225</v>
      </c>
      <c r="GY1" s="234">
        <v>46226</v>
      </c>
      <c r="GZ1" s="234">
        <v>46227</v>
      </c>
      <c r="HA1" s="234">
        <v>46228</v>
      </c>
      <c r="HB1" s="234">
        <v>46229</v>
      </c>
      <c r="HC1" s="234">
        <v>46230</v>
      </c>
      <c r="HD1" s="234">
        <v>46231</v>
      </c>
      <c r="HE1" s="234">
        <v>46232</v>
      </c>
      <c r="HF1" s="234">
        <v>46233</v>
      </c>
      <c r="HG1" s="234">
        <v>46234</v>
      </c>
      <c r="HH1" s="234">
        <v>46235</v>
      </c>
      <c r="HI1" s="234">
        <v>46236</v>
      </c>
      <c r="HJ1" s="234">
        <v>46237</v>
      </c>
      <c r="HK1" s="234">
        <v>46238</v>
      </c>
      <c r="HL1" s="234">
        <v>46239</v>
      </c>
      <c r="HM1" s="234">
        <v>46240</v>
      </c>
      <c r="HN1" s="234">
        <v>46241</v>
      </c>
      <c r="HO1" s="234">
        <v>46242</v>
      </c>
      <c r="HP1" s="234">
        <v>46243</v>
      </c>
      <c r="HQ1" s="234">
        <v>46244</v>
      </c>
      <c r="HR1" s="234">
        <v>46245</v>
      </c>
      <c r="HS1" s="234">
        <v>46246</v>
      </c>
      <c r="HT1" s="234">
        <v>46247</v>
      </c>
      <c r="HU1" s="234">
        <v>46248</v>
      </c>
      <c r="HV1" s="234">
        <v>46249</v>
      </c>
      <c r="HW1" s="234">
        <v>46250</v>
      </c>
      <c r="HX1" s="234">
        <v>46251</v>
      </c>
      <c r="HY1" s="234">
        <v>46252</v>
      </c>
      <c r="HZ1" s="234">
        <v>46253</v>
      </c>
      <c r="IA1" s="234">
        <v>46254</v>
      </c>
      <c r="IB1" s="234">
        <v>46255</v>
      </c>
      <c r="IC1" s="234">
        <v>46256</v>
      </c>
      <c r="ID1" s="234">
        <v>46257</v>
      </c>
      <c r="IE1" s="234">
        <v>46258</v>
      </c>
      <c r="IF1" s="234">
        <v>46259</v>
      </c>
      <c r="IG1" s="234">
        <v>46260</v>
      </c>
      <c r="IH1" s="234">
        <v>46261</v>
      </c>
      <c r="II1" s="234">
        <v>46262</v>
      </c>
      <c r="IJ1" s="234">
        <v>46263</v>
      </c>
      <c r="IK1" s="234">
        <v>46264</v>
      </c>
      <c r="IL1" s="234">
        <v>46265</v>
      </c>
      <c r="IM1" s="234">
        <v>46266</v>
      </c>
      <c r="IN1" s="234">
        <v>46267</v>
      </c>
      <c r="IO1" s="234">
        <v>46268</v>
      </c>
      <c r="IP1" s="234">
        <v>46269</v>
      </c>
      <c r="IQ1" s="234">
        <v>46270</v>
      </c>
      <c r="IR1" s="234">
        <v>46271</v>
      </c>
      <c r="IS1" s="234">
        <v>46272</v>
      </c>
      <c r="IT1" s="234">
        <v>46273</v>
      </c>
      <c r="IU1" s="234">
        <v>46274</v>
      </c>
      <c r="IV1" s="234">
        <v>46275</v>
      </c>
      <c r="IW1" s="234">
        <v>46276</v>
      </c>
      <c r="IX1" s="234">
        <v>46277</v>
      </c>
      <c r="IY1" s="234">
        <v>46278</v>
      </c>
      <c r="IZ1" s="234">
        <v>46279</v>
      </c>
      <c r="JA1" s="234">
        <v>46280</v>
      </c>
      <c r="JB1" s="234">
        <v>46281</v>
      </c>
      <c r="JC1" s="234">
        <v>46282</v>
      </c>
      <c r="JD1" s="234">
        <v>46283</v>
      </c>
      <c r="JE1" s="234">
        <v>46284</v>
      </c>
      <c r="JF1" s="234">
        <v>46285</v>
      </c>
      <c r="JG1" s="234">
        <v>46286</v>
      </c>
      <c r="JH1" s="234">
        <v>46287</v>
      </c>
      <c r="JI1" s="234">
        <v>46288</v>
      </c>
      <c r="JJ1" s="234">
        <v>46289</v>
      </c>
      <c r="JK1" s="234">
        <v>46290</v>
      </c>
      <c r="JL1" s="234">
        <v>46291</v>
      </c>
      <c r="JM1" s="234">
        <v>46292</v>
      </c>
      <c r="JN1" s="234">
        <v>46293</v>
      </c>
      <c r="JO1" s="234">
        <v>46294</v>
      </c>
      <c r="JP1" s="234">
        <v>46295</v>
      </c>
      <c r="JQ1" s="234">
        <v>46296</v>
      </c>
      <c r="JR1" s="234">
        <v>46297</v>
      </c>
      <c r="JS1" s="234">
        <v>46298</v>
      </c>
      <c r="JT1" s="234">
        <v>46299</v>
      </c>
      <c r="JU1" s="234">
        <v>46300</v>
      </c>
      <c r="JV1" s="234">
        <v>46301</v>
      </c>
      <c r="JW1" s="234">
        <v>46302</v>
      </c>
      <c r="JX1" s="234">
        <v>46303</v>
      </c>
      <c r="JY1" s="234">
        <v>46304</v>
      </c>
      <c r="JZ1" s="234">
        <v>46305</v>
      </c>
      <c r="KA1" s="234">
        <v>46306</v>
      </c>
      <c r="KB1" s="234">
        <v>46307</v>
      </c>
      <c r="KC1" s="234">
        <v>46308</v>
      </c>
      <c r="KD1" s="234">
        <v>46309</v>
      </c>
      <c r="KE1" s="234">
        <v>46310</v>
      </c>
      <c r="KF1" s="234">
        <v>46311</v>
      </c>
      <c r="KG1" s="234">
        <v>46312</v>
      </c>
      <c r="KH1" s="234">
        <v>46313</v>
      </c>
      <c r="KI1" s="234">
        <v>46314</v>
      </c>
      <c r="KJ1" s="234">
        <v>46315</v>
      </c>
      <c r="KK1" s="234">
        <v>46316</v>
      </c>
      <c r="KL1" s="234">
        <v>46317</v>
      </c>
      <c r="KM1" s="234">
        <v>46318</v>
      </c>
      <c r="KN1" s="234">
        <v>46319</v>
      </c>
      <c r="KO1" s="234">
        <v>46320</v>
      </c>
      <c r="KP1" s="234">
        <v>46321</v>
      </c>
      <c r="KQ1" s="234">
        <v>46322</v>
      </c>
      <c r="KR1" s="234">
        <v>46323</v>
      </c>
      <c r="KS1" s="234">
        <v>46324</v>
      </c>
      <c r="KT1" s="234">
        <v>46325</v>
      </c>
      <c r="KU1" s="234">
        <v>46326</v>
      </c>
      <c r="KV1" s="234">
        <v>46327</v>
      </c>
      <c r="KW1" s="234">
        <v>46328</v>
      </c>
      <c r="KX1" s="234">
        <v>46329</v>
      </c>
      <c r="KY1" s="234">
        <v>46330</v>
      </c>
      <c r="KZ1" s="234">
        <v>46331</v>
      </c>
      <c r="LA1" s="234">
        <v>46332</v>
      </c>
      <c r="LB1" s="234">
        <v>46333</v>
      </c>
      <c r="LC1" s="234">
        <v>46334</v>
      </c>
      <c r="LD1" s="234">
        <v>46335</v>
      </c>
      <c r="LE1" s="234">
        <v>46336</v>
      </c>
      <c r="LF1" s="234">
        <v>46337</v>
      </c>
      <c r="LG1" s="234">
        <v>46338</v>
      </c>
      <c r="LH1" s="234">
        <v>46339</v>
      </c>
      <c r="LI1" s="234">
        <v>46340</v>
      </c>
      <c r="LJ1" s="234">
        <v>46341</v>
      </c>
      <c r="LK1" s="234">
        <v>46342</v>
      </c>
      <c r="LL1" s="234">
        <v>46343</v>
      </c>
      <c r="LM1" s="234">
        <v>46344</v>
      </c>
      <c r="LN1" s="234">
        <v>46345</v>
      </c>
      <c r="LO1" s="234">
        <v>46346</v>
      </c>
      <c r="LP1" s="234">
        <v>46347</v>
      </c>
      <c r="LQ1" s="234">
        <v>46348</v>
      </c>
      <c r="LR1" s="234">
        <v>46349</v>
      </c>
      <c r="LS1" s="234">
        <v>46350</v>
      </c>
      <c r="LT1" s="234">
        <v>46351</v>
      </c>
      <c r="LU1" s="234">
        <v>46352</v>
      </c>
      <c r="LV1" s="234">
        <v>46353</v>
      </c>
      <c r="LW1" s="234">
        <v>46354</v>
      </c>
      <c r="LX1" s="234">
        <v>46355</v>
      </c>
      <c r="LY1" s="234">
        <v>46356</v>
      </c>
      <c r="LZ1" s="234">
        <v>46357</v>
      </c>
      <c r="MA1" s="234">
        <v>46358</v>
      </c>
      <c r="MB1" s="234">
        <v>46359</v>
      </c>
      <c r="MC1" s="234">
        <v>46360</v>
      </c>
      <c r="MD1" s="234">
        <v>46361</v>
      </c>
      <c r="ME1" s="234">
        <v>46362</v>
      </c>
      <c r="MF1" s="234">
        <v>46363</v>
      </c>
      <c r="MG1" s="234">
        <v>46364</v>
      </c>
      <c r="MH1" s="234">
        <v>46365</v>
      </c>
      <c r="MI1" s="234">
        <v>46366</v>
      </c>
      <c r="MJ1" s="234">
        <v>46367</v>
      </c>
      <c r="MK1" s="234">
        <v>46368</v>
      </c>
      <c r="ML1" s="234">
        <v>46369</v>
      </c>
      <c r="MM1" s="234">
        <v>46370</v>
      </c>
      <c r="MN1" s="234">
        <v>46371</v>
      </c>
      <c r="MO1" s="234">
        <v>46372</v>
      </c>
      <c r="MP1" s="234">
        <v>46373</v>
      </c>
      <c r="MQ1" s="234">
        <v>46374</v>
      </c>
      <c r="MR1" s="234">
        <v>46375</v>
      </c>
      <c r="MS1" s="234">
        <v>46376</v>
      </c>
      <c r="MT1" s="234">
        <v>46377</v>
      </c>
      <c r="MU1" s="234">
        <v>46378</v>
      </c>
      <c r="MV1" s="234">
        <v>46379</v>
      </c>
      <c r="MW1" s="234">
        <v>46380</v>
      </c>
      <c r="MX1" s="234">
        <v>46381</v>
      </c>
      <c r="MY1" s="234">
        <v>46382</v>
      </c>
      <c r="MZ1" s="234">
        <v>46383</v>
      </c>
      <c r="NA1" s="234">
        <v>46384</v>
      </c>
      <c r="NB1" s="234">
        <v>46385</v>
      </c>
      <c r="NC1" s="234">
        <v>46386</v>
      </c>
      <c r="ND1" s="234">
        <v>46387</v>
      </c>
      <c r="NE1" s="234">
        <v>46388</v>
      </c>
      <c r="NF1" s="235"/>
      <c r="NG1" s="235"/>
      <c r="NH1" s="235"/>
      <c r="NI1" s="235"/>
    </row>
    <row r="2" spans="1:373" s="236" customFormat="1">
      <c r="A2" s="237" t="s">
        <v>137</v>
      </c>
      <c r="B2" s="238"/>
      <c r="C2" s="239"/>
      <c r="D2" s="295" t="s">
        <v>233</v>
      </c>
      <c r="E2" s="238"/>
      <c r="F2" s="241"/>
      <c r="G2" s="241"/>
      <c r="H2" s="238"/>
      <c r="I2" s="238"/>
      <c r="J2" s="238"/>
      <c r="K2" s="238"/>
      <c r="L2" s="238"/>
      <c r="M2" s="241"/>
      <c r="N2" s="241"/>
      <c r="O2" s="238"/>
      <c r="P2" s="238"/>
      <c r="Q2" s="238"/>
      <c r="R2" s="238"/>
      <c r="S2" s="238"/>
      <c r="T2" s="241"/>
      <c r="U2" s="241"/>
      <c r="V2" s="238"/>
      <c r="W2" s="238"/>
      <c r="X2" s="238"/>
      <c r="Y2" s="238"/>
      <c r="Z2" s="238"/>
      <c r="AA2" s="241"/>
      <c r="AB2" s="241"/>
      <c r="AC2" s="238"/>
      <c r="AD2" s="238"/>
      <c r="AE2" s="238"/>
      <c r="AF2" s="238"/>
      <c r="AG2" s="238"/>
      <c r="AH2" s="241"/>
      <c r="AI2" s="241"/>
      <c r="AJ2" s="238"/>
      <c r="AK2" s="238"/>
      <c r="AL2" s="238"/>
      <c r="AM2" s="238"/>
      <c r="AN2" s="238"/>
      <c r="AO2" s="241"/>
      <c r="AP2" s="241"/>
      <c r="AQ2" s="238"/>
      <c r="AR2" s="238"/>
      <c r="AS2" s="238"/>
      <c r="AT2" s="238"/>
      <c r="AU2" s="238"/>
      <c r="AV2" s="241"/>
      <c r="AW2" s="241"/>
      <c r="AX2" s="238"/>
      <c r="AY2" s="238"/>
      <c r="AZ2" s="238"/>
      <c r="BA2" s="238"/>
      <c r="BB2" s="238"/>
      <c r="BC2" s="241"/>
      <c r="BD2" s="241"/>
      <c r="BE2" s="238"/>
      <c r="BF2" s="238"/>
      <c r="BG2" s="238"/>
      <c r="BH2" s="238"/>
      <c r="BI2" s="238"/>
      <c r="BJ2" s="241"/>
      <c r="BK2" s="241"/>
      <c r="BL2" s="238"/>
      <c r="BM2" s="238"/>
      <c r="BN2" s="238"/>
      <c r="BO2" s="238"/>
      <c r="BP2" s="238"/>
      <c r="BQ2" s="241"/>
      <c r="BR2" s="241"/>
      <c r="BS2" s="238"/>
      <c r="BT2" s="238"/>
      <c r="BU2" s="238"/>
      <c r="BV2" s="238"/>
      <c r="BW2" s="238"/>
      <c r="BX2" s="241"/>
      <c r="BY2" s="241"/>
      <c r="BZ2" s="238"/>
      <c r="CA2" s="238"/>
      <c r="CB2" s="238"/>
      <c r="CC2" s="238"/>
      <c r="CD2" s="238"/>
      <c r="CE2" s="241"/>
      <c r="CF2" s="241"/>
      <c r="CG2" s="238"/>
      <c r="CH2" s="238"/>
      <c r="CI2" s="238"/>
      <c r="CJ2" s="238"/>
      <c r="CK2" s="238"/>
      <c r="CL2" s="241"/>
      <c r="CM2" s="241"/>
      <c r="CN2" s="238"/>
      <c r="CO2" s="238"/>
      <c r="CP2" s="238"/>
      <c r="CQ2" s="238"/>
      <c r="CR2" s="262" t="s">
        <v>233</v>
      </c>
      <c r="CS2" s="241"/>
      <c r="CT2" s="241"/>
      <c r="CU2" s="262" t="s">
        <v>233</v>
      </c>
      <c r="CV2" s="238"/>
      <c r="CW2" s="238"/>
      <c r="CX2" s="238"/>
      <c r="CY2" s="238"/>
      <c r="CZ2" s="241"/>
      <c r="DA2" s="241"/>
      <c r="DB2" s="238"/>
      <c r="DC2" s="238"/>
      <c r="DD2" s="238"/>
      <c r="DE2" s="238"/>
      <c r="DF2" s="238"/>
      <c r="DG2" s="241"/>
      <c r="DH2" s="241"/>
      <c r="DI2" s="238"/>
      <c r="DJ2" s="238"/>
      <c r="DK2" s="238"/>
      <c r="DL2" s="238"/>
      <c r="DM2" s="238"/>
      <c r="DN2" s="241"/>
      <c r="DO2" s="241"/>
      <c r="DP2" s="238"/>
      <c r="DQ2" s="238"/>
      <c r="DR2" s="238"/>
      <c r="DS2" s="238"/>
      <c r="DT2" s="238"/>
      <c r="DU2" s="241"/>
      <c r="DV2" s="241"/>
      <c r="DW2" s="262" t="s">
        <v>233</v>
      </c>
      <c r="DX2" s="238"/>
      <c r="DY2" s="238"/>
      <c r="DZ2" s="238"/>
      <c r="EA2" s="238"/>
      <c r="EB2" s="241"/>
      <c r="EC2" s="241"/>
      <c r="ED2" s="238"/>
      <c r="EE2" s="238"/>
      <c r="EF2" s="238"/>
      <c r="EG2" s="238"/>
      <c r="EH2" s="238"/>
      <c r="EI2" s="241"/>
      <c r="EJ2" s="241"/>
      <c r="EK2" s="238"/>
      <c r="EL2" s="238"/>
      <c r="EM2" s="238"/>
      <c r="EN2" s="238"/>
      <c r="EO2" s="238"/>
      <c r="EP2" s="241"/>
      <c r="EQ2" s="241"/>
      <c r="ER2" s="262" t="s">
        <v>233</v>
      </c>
      <c r="ES2" s="238"/>
      <c r="ET2" s="238"/>
      <c r="EU2" s="238"/>
      <c r="EV2" s="238"/>
      <c r="EW2" s="241"/>
      <c r="EX2" s="241"/>
      <c r="EY2" s="238"/>
      <c r="EZ2" s="238"/>
      <c r="FA2" s="238"/>
      <c r="FB2" s="238"/>
      <c r="FC2" s="238"/>
      <c r="FD2" s="241"/>
      <c r="FE2" s="241"/>
      <c r="FF2" s="238"/>
      <c r="FG2" s="238"/>
      <c r="FH2" s="238"/>
      <c r="FI2" s="238"/>
      <c r="FJ2" s="238"/>
      <c r="FK2" s="241"/>
      <c r="FL2" s="241"/>
      <c r="FM2" s="238"/>
      <c r="FN2" s="238"/>
      <c r="FO2" s="238"/>
      <c r="FP2" s="238"/>
      <c r="FQ2" s="238"/>
      <c r="FR2" s="241"/>
      <c r="FS2" s="241"/>
      <c r="FT2" s="238"/>
      <c r="FU2" s="238"/>
      <c r="FV2" s="238"/>
      <c r="FW2" s="238"/>
      <c r="FX2" s="238"/>
      <c r="FY2" s="241"/>
      <c r="FZ2" s="241"/>
      <c r="GA2" s="238"/>
      <c r="GB2" s="238"/>
      <c r="GC2" s="238"/>
      <c r="GD2" s="238"/>
      <c r="GE2" s="238"/>
      <c r="GF2" s="241"/>
      <c r="GG2" s="241"/>
      <c r="GH2" s="238"/>
      <c r="GI2" s="238"/>
      <c r="GJ2" s="238"/>
      <c r="GK2" s="238"/>
      <c r="GL2" s="238"/>
      <c r="GM2" s="241"/>
      <c r="GN2" s="241"/>
      <c r="GO2" s="238"/>
      <c r="GP2" s="238"/>
      <c r="GQ2" s="238"/>
      <c r="GR2" s="238"/>
      <c r="GS2" s="238"/>
      <c r="GT2" s="241"/>
      <c r="GU2" s="241"/>
      <c r="GV2" s="238"/>
      <c r="GW2" s="238"/>
      <c r="GX2" s="238"/>
      <c r="GY2" s="238"/>
      <c r="GZ2" s="238"/>
      <c r="HA2" s="241"/>
      <c r="HB2" s="241"/>
      <c r="HC2" s="238"/>
      <c r="HD2" s="238"/>
      <c r="HE2" s="238"/>
      <c r="HF2" s="238"/>
      <c r="HG2" s="238"/>
      <c r="HH2" s="241"/>
      <c r="HI2" s="241"/>
      <c r="HJ2" s="238"/>
      <c r="HK2" s="238"/>
      <c r="HL2" s="238"/>
      <c r="HM2" s="238"/>
      <c r="HN2" s="238"/>
      <c r="HO2" s="241"/>
      <c r="HP2" s="241"/>
      <c r="HQ2" s="238"/>
      <c r="HR2" s="238"/>
      <c r="HS2" s="238"/>
      <c r="HT2" s="238"/>
      <c r="HU2" s="238"/>
      <c r="HV2" s="241"/>
      <c r="HW2" s="241"/>
      <c r="HX2" s="238"/>
      <c r="HY2" s="238"/>
      <c r="HZ2" s="238"/>
      <c r="IA2" s="238"/>
      <c r="IB2" s="238"/>
      <c r="IC2" s="241"/>
      <c r="ID2" s="241"/>
      <c r="IE2" s="238"/>
      <c r="IF2" s="238"/>
      <c r="IG2" s="238"/>
      <c r="IH2" s="238"/>
      <c r="II2" s="238"/>
      <c r="IJ2" s="241"/>
      <c r="IK2" s="241"/>
      <c r="IL2" s="262" t="s">
        <v>233</v>
      </c>
      <c r="IM2" s="238"/>
      <c r="IN2" s="238"/>
      <c r="IO2" s="238"/>
      <c r="IP2" s="238"/>
      <c r="IQ2" s="241"/>
      <c r="IR2" s="241"/>
      <c r="IS2" s="238"/>
      <c r="IT2" s="238"/>
      <c r="IU2" s="238"/>
      <c r="IV2" s="238"/>
      <c r="IW2" s="238"/>
      <c r="IX2" s="241"/>
      <c r="IY2" s="241"/>
      <c r="IZ2" s="238"/>
      <c r="JA2" s="238"/>
      <c r="JB2" s="238"/>
      <c r="JC2" s="238"/>
      <c r="JD2" s="238"/>
      <c r="JE2" s="241"/>
      <c r="JF2" s="241"/>
      <c r="JG2" s="238"/>
      <c r="JH2" s="238"/>
      <c r="JI2" s="238"/>
      <c r="JJ2" s="238"/>
      <c r="JK2" s="238"/>
      <c r="JL2" s="241"/>
      <c r="JM2" s="241"/>
      <c r="JN2" s="238"/>
      <c r="JO2" s="238"/>
      <c r="JP2" s="238"/>
      <c r="JQ2" s="238"/>
      <c r="JR2" s="238"/>
      <c r="JS2" s="241"/>
      <c r="JT2" s="241"/>
      <c r="JU2" s="238"/>
      <c r="JV2" s="238"/>
      <c r="JW2" s="238"/>
      <c r="JX2" s="238"/>
      <c r="JY2" s="238"/>
      <c r="JZ2" s="241"/>
      <c r="KA2" s="241"/>
      <c r="KB2" s="238"/>
      <c r="KC2" s="238"/>
      <c r="KD2" s="238"/>
      <c r="KE2" s="238"/>
      <c r="KF2" s="238"/>
      <c r="KG2" s="241"/>
      <c r="KH2" s="241"/>
      <c r="KI2" s="238"/>
      <c r="KJ2" s="238"/>
      <c r="KK2" s="238"/>
      <c r="KL2" s="238"/>
      <c r="KM2" s="238"/>
      <c r="KN2" s="241"/>
      <c r="KO2" s="241"/>
      <c r="KP2" s="238"/>
      <c r="KQ2" s="238"/>
      <c r="KR2" s="238"/>
      <c r="KS2" s="238"/>
      <c r="KT2" s="238"/>
      <c r="KU2" s="241"/>
      <c r="KV2" s="241"/>
      <c r="KW2" s="238"/>
      <c r="KX2" s="238"/>
      <c r="KY2" s="238"/>
      <c r="KZ2" s="238"/>
      <c r="LA2" s="238"/>
      <c r="LB2" s="241"/>
      <c r="LC2" s="241"/>
      <c r="LD2" s="238"/>
      <c r="LE2" s="238"/>
      <c r="LF2" s="238"/>
      <c r="LG2" s="238"/>
      <c r="LH2" s="238"/>
      <c r="LI2" s="241"/>
      <c r="LJ2" s="241"/>
      <c r="LK2" s="238"/>
      <c r="LL2" s="238"/>
      <c r="LM2" s="238"/>
      <c r="LN2" s="238"/>
      <c r="LO2" s="238"/>
      <c r="LP2" s="241"/>
      <c r="LQ2" s="241"/>
      <c r="LR2" s="238"/>
      <c r="LS2" s="238"/>
      <c r="LT2" s="238"/>
      <c r="LU2" s="238"/>
      <c r="LV2" s="238"/>
      <c r="LW2" s="241"/>
      <c r="LX2" s="241"/>
      <c r="LY2" s="238"/>
      <c r="LZ2" s="238"/>
      <c r="MA2" s="238"/>
      <c r="MB2" s="238"/>
      <c r="MC2" s="238"/>
      <c r="MD2" s="241"/>
      <c r="ME2" s="241"/>
      <c r="MF2" s="238"/>
      <c r="MG2" s="238"/>
      <c r="MH2" s="238"/>
      <c r="MI2" s="238"/>
      <c r="MJ2" s="238"/>
      <c r="MK2" s="241"/>
      <c r="ML2" s="241"/>
      <c r="MM2" s="238"/>
      <c r="MN2" s="238"/>
      <c r="MO2" s="238"/>
      <c r="MP2" s="238"/>
      <c r="MQ2" s="238"/>
      <c r="MR2" s="241"/>
      <c r="MS2" s="241"/>
      <c r="MT2" s="238"/>
      <c r="MU2" s="238"/>
      <c r="MV2" s="238"/>
      <c r="MW2" s="238"/>
      <c r="MX2" s="262" t="s">
        <v>233</v>
      </c>
      <c r="MY2" s="241"/>
      <c r="MZ2" s="241"/>
      <c r="NA2" s="262" t="s">
        <v>233</v>
      </c>
      <c r="NB2" s="238"/>
      <c r="NC2" s="238"/>
      <c r="ND2" s="238"/>
      <c r="NE2" s="262" t="s">
        <v>233</v>
      </c>
      <c r="NF2" s="241"/>
      <c r="NG2" s="241"/>
    </row>
    <row r="3" spans="1:373" ht="15">
      <c r="A3" s="48" t="s">
        <v>138</v>
      </c>
      <c r="B3" s="48" t="s">
        <v>18</v>
      </c>
      <c r="C3" s="242" t="s">
        <v>234</v>
      </c>
      <c r="D3" s="295" t="s">
        <v>235</v>
      </c>
      <c r="E3" s="243" t="s">
        <v>141</v>
      </c>
      <c r="F3" s="240"/>
      <c r="G3" s="240"/>
      <c r="H3" s="286" t="s">
        <v>143</v>
      </c>
      <c r="I3" s="286" t="s">
        <v>143</v>
      </c>
      <c r="J3" s="286" t="s">
        <v>143</v>
      </c>
      <c r="K3" s="286" t="s">
        <v>143</v>
      </c>
      <c r="L3" s="286" t="s">
        <v>143</v>
      </c>
      <c r="M3" s="240"/>
      <c r="N3" s="240"/>
      <c r="O3" s="214" t="s">
        <v>143</v>
      </c>
      <c r="P3" s="286" t="s">
        <v>143</v>
      </c>
      <c r="Q3" s="286" t="s">
        <v>143</v>
      </c>
      <c r="R3" s="286" t="s">
        <v>143</v>
      </c>
      <c r="S3" s="286" t="s">
        <v>143</v>
      </c>
      <c r="T3" s="240"/>
      <c r="U3" s="240"/>
      <c r="V3" s="214" t="s">
        <v>143</v>
      </c>
      <c r="W3" s="214" t="s">
        <v>143</v>
      </c>
      <c r="X3" s="214" t="s">
        <v>143</v>
      </c>
      <c r="Y3" s="214" t="s">
        <v>143</v>
      </c>
      <c r="Z3" s="214" t="s">
        <v>143</v>
      </c>
      <c r="AA3" s="240"/>
      <c r="AB3" s="240"/>
      <c r="AC3" s="214" t="s">
        <v>143</v>
      </c>
      <c r="AD3" s="214" t="s">
        <v>143</v>
      </c>
      <c r="AE3" s="214" t="s">
        <v>143</v>
      </c>
      <c r="AF3" s="214" t="s">
        <v>143</v>
      </c>
      <c r="AG3" s="243" t="s">
        <v>236</v>
      </c>
      <c r="AH3" s="240"/>
      <c r="AI3" s="240"/>
      <c r="AJ3" s="214" t="s">
        <v>143</v>
      </c>
      <c r="AK3" s="214" t="s">
        <v>143</v>
      </c>
      <c r="AL3" s="214" t="s">
        <v>143</v>
      </c>
      <c r="AM3" s="214" t="s">
        <v>143</v>
      </c>
      <c r="AN3" s="214" t="s">
        <v>143</v>
      </c>
      <c r="AO3" s="240"/>
      <c r="AP3" s="240"/>
      <c r="AQ3" s="214" t="s">
        <v>143</v>
      </c>
      <c r="AR3" s="214" t="s">
        <v>143</v>
      </c>
      <c r="AS3" s="214" t="s">
        <v>237</v>
      </c>
      <c r="AT3" s="214" t="s">
        <v>143</v>
      </c>
      <c r="AU3" s="214" t="s">
        <v>143</v>
      </c>
      <c r="AV3" s="240"/>
      <c r="AW3" s="240"/>
      <c r="AX3" s="244" t="s">
        <v>141</v>
      </c>
      <c r="AY3" s="244" t="s">
        <v>141</v>
      </c>
      <c r="AZ3" s="244" t="s">
        <v>141</v>
      </c>
      <c r="BA3" s="244" t="s">
        <v>141</v>
      </c>
      <c r="BB3" s="244" t="s">
        <v>141</v>
      </c>
      <c r="BC3" s="240"/>
      <c r="BD3" s="240"/>
      <c r="BE3" s="214" t="s">
        <v>143</v>
      </c>
      <c r="BF3" s="214" t="s">
        <v>143</v>
      </c>
      <c r="BG3" s="214" t="s">
        <v>143</v>
      </c>
      <c r="BH3" s="214" t="s">
        <v>143</v>
      </c>
      <c r="BI3" s="214" t="s">
        <v>143</v>
      </c>
      <c r="BJ3" s="240"/>
      <c r="BK3" s="240"/>
      <c r="BL3" s="214" t="s">
        <v>143</v>
      </c>
      <c r="BM3" s="214" t="s">
        <v>143</v>
      </c>
      <c r="BN3" s="214" t="s">
        <v>143</v>
      </c>
      <c r="BO3" s="214" t="s">
        <v>143</v>
      </c>
      <c r="BP3" s="214" t="s">
        <v>237</v>
      </c>
      <c r="BQ3" s="240"/>
      <c r="BR3" s="240"/>
      <c r="BS3" s="214" t="s">
        <v>143</v>
      </c>
      <c r="BT3" s="214" t="s">
        <v>143</v>
      </c>
      <c r="BU3" s="214" t="s">
        <v>143</v>
      </c>
      <c r="BV3" s="214" t="s">
        <v>143</v>
      </c>
      <c r="BW3" s="214" t="s">
        <v>143</v>
      </c>
      <c r="BX3" s="240"/>
      <c r="BY3" s="240"/>
      <c r="BZ3" s="214" t="s">
        <v>143</v>
      </c>
      <c r="CA3" s="214" t="s">
        <v>143</v>
      </c>
      <c r="CB3" s="214" t="s">
        <v>143</v>
      </c>
      <c r="CC3" s="214" t="s">
        <v>143</v>
      </c>
      <c r="CD3" s="214" t="s">
        <v>143</v>
      </c>
      <c r="CE3" s="240"/>
      <c r="CF3" s="240"/>
      <c r="CG3" s="214" t="s">
        <v>143</v>
      </c>
      <c r="CH3" s="214" t="s">
        <v>143</v>
      </c>
      <c r="CI3" s="214" t="s">
        <v>143</v>
      </c>
      <c r="CJ3" s="214" t="s">
        <v>143</v>
      </c>
      <c r="CK3" s="214" t="s">
        <v>143</v>
      </c>
      <c r="CL3" s="240"/>
      <c r="CM3" s="240"/>
      <c r="CN3" s="243" t="s">
        <v>141</v>
      </c>
      <c r="CO3" s="243" t="s">
        <v>238</v>
      </c>
      <c r="CP3" s="243" t="s">
        <v>238</v>
      </c>
      <c r="CR3" s="295" t="s">
        <v>235</v>
      </c>
      <c r="CS3" s="240"/>
      <c r="CT3" s="240"/>
      <c r="CU3" s="295" t="s">
        <v>235</v>
      </c>
      <c r="CW3" s="243" t="s">
        <v>238</v>
      </c>
      <c r="CY3" s="243" t="s">
        <v>238</v>
      </c>
      <c r="CZ3" s="240"/>
      <c r="DA3" s="240"/>
      <c r="DG3" s="240"/>
      <c r="DH3" s="240"/>
      <c r="DM3" s="215" t="s">
        <v>239</v>
      </c>
      <c r="DN3" s="240"/>
      <c r="DO3" s="240"/>
      <c r="DU3" s="240"/>
      <c r="DV3" s="240"/>
      <c r="DW3" s="295" t="s">
        <v>235</v>
      </c>
      <c r="EB3" s="240"/>
      <c r="EC3" s="240"/>
      <c r="EI3" s="240"/>
      <c r="EJ3" s="240"/>
      <c r="EP3" s="240"/>
      <c r="EQ3" s="240"/>
      <c r="ER3" s="295" t="s">
        <v>235</v>
      </c>
      <c r="EW3" s="240"/>
      <c r="EX3" s="240"/>
      <c r="FD3" s="240"/>
      <c r="FE3" s="240"/>
      <c r="FK3" s="240"/>
      <c r="FL3" s="240"/>
      <c r="FR3" s="240"/>
      <c r="FS3" s="240"/>
      <c r="FY3" s="240"/>
      <c r="FZ3" s="240"/>
      <c r="GF3" s="240"/>
      <c r="GG3" s="240"/>
      <c r="GM3" s="240"/>
      <c r="GN3" s="240"/>
      <c r="GT3" s="240"/>
      <c r="GU3" s="240"/>
      <c r="HA3" s="240"/>
      <c r="HB3" s="240"/>
      <c r="HH3" s="240"/>
      <c r="HI3" s="240"/>
      <c r="HO3" s="240"/>
      <c r="HP3" s="240"/>
      <c r="HV3" s="240"/>
      <c r="HW3" s="240"/>
      <c r="IC3" s="240"/>
      <c r="ID3" s="240"/>
      <c r="IJ3" s="240"/>
      <c r="IK3" s="240"/>
      <c r="IL3" s="295" t="s">
        <v>235</v>
      </c>
      <c r="IQ3" s="240"/>
      <c r="IR3" s="240"/>
      <c r="IX3" s="240"/>
      <c r="IY3" s="240"/>
      <c r="JE3" s="240"/>
      <c r="JF3" s="240"/>
      <c r="JL3" s="240"/>
      <c r="JM3" s="240"/>
      <c r="JS3" s="240"/>
      <c r="JT3" s="240"/>
      <c r="JZ3" s="240"/>
      <c r="KA3" s="240"/>
      <c r="KG3" s="240"/>
      <c r="KH3" s="240"/>
      <c r="KN3" s="240"/>
      <c r="KO3" s="240"/>
      <c r="KU3" s="240"/>
      <c r="KV3" s="240"/>
      <c r="LB3" s="240"/>
      <c r="LC3" s="240"/>
      <c r="LI3" s="240"/>
      <c r="LJ3" s="240"/>
      <c r="LP3" s="240"/>
      <c r="LQ3" s="240"/>
      <c r="LW3" s="240"/>
      <c r="LX3" s="240"/>
      <c r="MD3" s="240"/>
      <c r="ME3" s="240"/>
      <c r="MK3" s="240"/>
      <c r="ML3" s="240"/>
      <c r="MR3" s="240"/>
      <c r="MS3" s="240"/>
      <c r="MX3" s="295" t="s">
        <v>235</v>
      </c>
      <c r="MY3" s="240"/>
      <c r="MZ3" s="240"/>
      <c r="NA3" s="295" t="s">
        <v>235</v>
      </c>
      <c r="NE3" s="295" t="s">
        <v>235</v>
      </c>
      <c r="NF3" s="240"/>
      <c r="NG3" s="240"/>
    </row>
    <row r="4" spans="1:373" ht="15" hidden="1">
      <c r="A4" s="48" t="s">
        <v>145</v>
      </c>
      <c r="B4" s="48" t="s">
        <v>18</v>
      </c>
      <c r="C4" s="242" t="s">
        <v>234</v>
      </c>
      <c r="D4" s="295" t="s">
        <v>240</v>
      </c>
      <c r="E4" s="243" t="s">
        <v>141</v>
      </c>
      <c r="F4" s="240"/>
      <c r="G4" s="240"/>
      <c r="H4" s="286" t="s">
        <v>143</v>
      </c>
      <c r="I4" s="213" t="s">
        <v>241</v>
      </c>
      <c r="J4" s="213" t="s">
        <v>241</v>
      </c>
      <c r="K4" s="213" t="s">
        <v>241</v>
      </c>
      <c r="L4" s="213" t="s">
        <v>241</v>
      </c>
      <c r="M4" s="240"/>
      <c r="N4" s="240"/>
      <c r="O4" s="213" t="s">
        <v>140</v>
      </c>
      <c r="P4" s="213" t="s">
        <v>140</v>
      </c>
      <c r="Q4" s="213" t="s">
        <v>140</v>
      </c>
      <c r="R4" s="248" t="s">
        <v>242</v>
      </c>
      <c r="S4" s="244" t="s">
        <v>141</v>
      </c>
      <c r="T4" s="240"/>
      <c r="U4" s="240"/>
      <c r="V4" s="244" t="s">
        <v>141</v>
      </c>
      <c r="W4" s="296" t="s">
        <v>243</v>
      </c>
      <c r="X4" s="296" t="s">
        <v>244</v>
      </c>
      <c r="Y4" s="296" t="s">
        <v>244</v>
      </c>
      <c r="Z4" s="296" t="s">
        <v>245</v>
      </c>
      <c r="AA4" s="240"/>
      <c r="AB4" s="240"/>
      <c r="AC4" s="214" t="s">
        <v>143</v>
      </c>
      <c r="AD4" s="214" t="s">
        <v>143</v>
      </c>
      <c r="AE4" s="214" t="s">
        <v>143</v>
      </c>
      <c r="AF4" s="214" t="s">
        <v>143</v>
      </c>
      <c r="AG4" s="214" t="s">
        <v>143</v>
      </c>
      <c r="AH4" s="240"/>
      <c r="AI4" s="240"/>
      <c r="AJ4" s="214" t="s">
        <v>143</v>
      </c>
      <c r="AK4" s="296" t="s">
        <v>246</v>
      </c>
      <c r="AL4" s="214" t="s">
        <v>143</v>
      </c>
      <c r="AM4" s="243" t="s">
        <v>141</v>
      </c>
      <c r="AN4" s="214" t="s">
        <v>143</v>
      </c>
      <c r="AO4" s="240"/>
      <c r="AP4" s="240"/>
      <c r="AQ4" s="292"/>
      <c r="AR4" s="292"/>
      <c r="AS4" s="292"/>
      <c r="AT4" s="292"/>
      <c r="AU4" s="292"/>
      <c r="AV4" s="240"/>
      <c r="AW4" s="240"/>
      <c r="AX4" s="297"/>
      <c r="AY4" s="297"/>
      <c r="AZ4" s="297"/>
      <c r="BA4" s="297"/>
      <c r="BB4" s="297"/>
      <c r="BC4" s="240"/>
      <c r="BD4" s="240"/>
      <c r="BE4" s="297"/>
      <c r="BF4" s="297"/>
      <c r="BG4" s="297"/>
      <c r="BH4" s="297"/>
      <c r="BI4" s="297"/>
      <c r="BJ4" s="240"/>
      <c r="BK4" s="240"/>
      <c r="BL4" s="297"/>
      <c r="BM4" s="297"/>
      <c r="BN4" s="297"/>
      <c r="BO4" s="297"/>
      <c r="BP4" s="297"/>
      <c r="BQ4" s="240"/>
      <c r="BR4" s="240"/>
      <c r="BS4" s="214" t="s">
        <v>143</v>
      </c>
      <c r="BT4" s="214" t="s">
        <v>143</v>
      </c>
      <c r="BU4" s="214" t="s">
        <v>143</v>
      </c>
      <c r="BV4" s="214" t="s">
        <v>143</v>
      </c>
      <c r="BW4" s="214" t="s">
        <v>143</v>
      </c>
      <c r="BX4" s="240"/>
      <c r="BY4" s="240"/>
      <c r="BZ4" s="297"/>
      <c r="CA4" s="297"/>
      <c r="CB4" s="297"/>
      <c r="CC4" s="297"/>
      <c r="CD4" s="297"/>
      <c r="CE4" s="240"/>
      <c r="CF4" s="240"/>
      <c r="CG4" s="297"/>
      <c r="CH4" s="297"/>
      <c r="CI4" s="297"/>
      <c r="CJ4" s="297"/>
      <c r="CK4" s="297"/>
      <c r="CL4" s="240"/>
      <c r="CM4" s="240"/>
      <c r="CN4" s="297"/>
      <c r="CO4" s="297"/>
      <c r="CP4" s="297"/>
      <c r="CQ4" s="297"/>
      <c r="CR4" s="295" t="s">
        <v>240</v>
      </c>
      <c r="CS4" s="240"/>
      <c r="CT4" s="240"/>
      <c r="CU4" s="295" t="s">
        <v>240</v>
      </c>
      <c r="CZ4" s="240"/>
      <c r="DA4" s="240"/>
      <c r="DG4" s="240"/>
      <c r="DH4" s="240"/>
      <c r="DN4" s="240"/>
      <c r="DO4" s="240"/>
      <c r="DU4" s="240"/>
      <c r="DV4" s="240"/>
      <c r="DW4" s="295" t="s">
        <v>240</v>
      </c>
      <c r="EB4" s="240"/>
      <c r="EC4" s="240"/>
      <c r="EI4" s="240"/>
      <c r="EJ4" s="240"/>
      <c r="EP4" s="240"/>
      <c r="EQ4" s="240"/>
      <c r="ER4" s="295" t="s">
        <v>240</v>
      </c>
      <c r="EW4" s="240"/>
      <c r="EX4" s="240"/>
      <c r="FD4" s="240"/>
      <c r="FE4" s="240"/>
      <c r="FK4" s="240"/>
      <c r="FL4" s="240"/>
      <c r="FR4" s="240"/>
      <c r="FS4" s="240"/>
      <c r="FY4" s="240"/>
      <c r="FZ4" s="240"/>
      <c r="GF4" s="240"/>
      <c r="GG4" s="240"/>
      <c r="GM4" s="240"/>
      <c r="GN4" s="240"/>
      <c r="GT4" s="240"/>
      <c r="GU4" s="240"/>
      <c r="HA4" s="240"/>
      <c r="HB4" s="240"/>
      <c r="HH4" s="240"/>
      <c r="HI4" s="240"/>
      <c r="HO4" s="240"/>
      <c r="HP4" s="240"/>
      <c r="HV4" s="240"/>
      <c r="HW4" s="240"/>
      <c r="IC4" s="240"/>
      <c r="ID4" s="240"/>
      <c r="IJ4" s="240"/>
      <c r="IK4" s="240"/>
      <c r="IL4" s="295" t="s">
        <v>240</v>
      </c>
      <c r="IQ4" s="240"/>
      <c r="IR4" s="240"/>
      <c r="IX4" s="240"/>
      <c r="IY4" s="240"/>
      <c r="JE4" s="240"/>
      <c r="JF4" s="240"/>
      <c r="JL4" s="240"/>
      <c r="JM4" s="240"/>
      <c r="JS4" s="240"/>
      <c r="JT4" s="240"/>
      <c r="JZ4" s="240"/>
      <c r="KA4" s="240"/>
      <c r="KG4" s="240"/>
      <c r="KH4" s="240"/>
      <c r="KN4" s="240"/>
      <c r="KO4" s="240"/>
      <c r="KU4" s="240"/>
      <c r="KV4" s="240"/>
      <c r="LB4" s="240"/>
      <c r="LC4" s="240"/>
      <c r="LI4" s="240"/>
      <c r="LJ4" s="240"/>
      <c r="LP4" s="240"/>
      <c r="LQ4" s="240"/>
      <c r="LW4" s="240"/>
      <c r="LX4" s="240"/>
      <c r="MD4" s="240"/>
      <c r="ME4" s="240"/>
      <c r="MK4" s="240"/>
      <c r="ML4" s="240"/>
      <c r="MR4" s="240"/>
      <c r="MS4" s="240"/>
      <c r="MX4" s="295" t="s">
        <v>240</v>
      </c>
      <c r="MY4" s="240"/>
      <c r="MZ4" s="240"/>
      <c r="NA4" s="295" t="s">
        <v>240</v>
      </c>
      <c r="NE4" s="295" t="s">
        <v>240</v>
      </c>
      <c r="NF4" s="240"/>
      <c r="NG4" s="240"/>
    </row>
    <row r="5" spans="1:373" ht="15">
      <c r="A5" s="48" t="s">
        <v>154</v>
      </c>
      <c r="B5" s="48" t="s">
        <v>18</v>
      </c>
      <c r="C5" s="242" t="s">
        <v>234</v>
      </c>
      <c r="D5" s="295" t="s">
        <v>247</v>
      </c>
      <c r="E5" s="246" t="s">
        <v>143</v>
      </c>
      <c r="F5" s="240"/>
      <c r="G5" s="240"/>
      <c r="H5" s="287" t="s">
        <v>141</v>
      </c>
      <c r="I5" s="287" t="s">
        <v>141</v>
      </c>
      <c r="J5" s="287" t="s">
        <v>141</v>
      </c>
      <c r="K5" s="287" t="s">
        <v>141</v>
      </c>
      <c r="L5" s="287" t="s">
        <v>141</v>
      </c>
      <c r="M5" s="240"/>
      <c r="N5" s="240"/>
      <c r="O5" s="286" t="s">
        <v>143</v>
      </c>
      <c r="P5" s="286" t="s">
        <v>143</v>
      </c>
      <c r="Q5" s="286" t="s">
        <v>143</v>
      </c>
      <c r="R5" s="286" t="s">
        <v>143</v>
      </c>
      <c r="S5" s="286" t="s">
        <v>143</v>
      </c>
      <c r="T5" s="240"/>
      <c r="U5" s="240"/>
      <c r="V5" s="214" t="s">
        <v>237</v>
      </c>
      <c r="W5" s="214" t="s">
        <v>143</v>
      </c>
      <c r="X5" s="214" t="s">
        <v>143</v>
      </c>
      <c r="Y5" s="214" t="s">
        <v>143</v>
      </c>
      <c r="Z5" s="214" t="s">
        <v>143</v>
      </c>
      <c r="AA5" s="240"/>
      <c r="AB5" s="240"/>
      <c r="AC5" s="214" t="s">
        <v>143</v>
      </c>
      <c r="AD5" s="214" t="s">
        <v>143</v>
      </c>
      <c r="AE5" s="214" t="s">
        <v>143</v>
      </c>
      <c r="AF5" s="214" t="s">
        <v>143</v>
      </c>
      <c r="AG5" s="214" t="s">
        <v>143</v>
      </c>
      <c r="AH5" s="240"/>
      <c r="AI5" s="240"/>
      <c r="AJ5" s="214" t="s">
        <v>143</v>
      </c>
      <c r="AK5" s="214" t="s">
        <v>143</v>
      </c>
      <c r="AL5" s="214" t="s">
        <v>143</v>
      </c>
      <c r="AM5" s="214" t="s">
        <v>143</v>
      </c>
      <c r="AN5" s="214" t="s">
        <v>237</v>
      </c>
      <c r="AO5" s="240"/>
      <c r="AP5" s="240"/>
      <c r="AQ5" s="214" t="s">
        <v>143</v>
      </c>
      <c r="AR5" s="214" t="s">
        <v>237</v>
      </c>
      <c r="AS5" s="214" t="s">
        <v>143</v>
      </c>
      <c r="AT5" s="214" t="s">
        <v>143</v>
      </c>
      <c r="AU5" s="214" t="s">
        <v>143</v>
      </c>
      <c r="AV5" s="240"/>
      <c r="AW5" s="240"/>
      <c r="AX5" s="214" t="s">
        <v>143</v>
      </c>
      <c r="AY5" s="214" t="s">
        <v>143</v>
      </c>
      <c r="AZ5" s="214" t="s">
        <v>143</v>
      </c>
      <c r="BA5" s="214" t="s">
        <v>143</v>
      </c>
      <c r="BB5" s="214" t="s">
        <v>143</v>
      </c>
      <c r="BC5" s="240"/>
      <c r="BD5" s="240"/>
      <c r="BE5" s="214" t="s">
        <v>143</v>
      </c>
      <c r="BF5" s="214" t="s">
        <v>143</v>
      </c>
      <c r="BG5" s="214" t="s">
        <v>143</v>
      </c>
      <c r="BH5" s="214" t="s">
        <v>143</v>
      </c>
      <c r="BI5" s="214" t="s">
        <v>143</v>
      </c>
      <c r="BJ5" s="240"/>
      <c r="BK5" s="240"/>
      <c r="BL5" s="214" t="s">
        <v>143</v>
      </c>
      <c r="BM5" s="214" t="s">
        <v>143</v>
      </c>
      <c r="BN5" s="214" t="s">
        <v>143</v>
      </c>
      <c r="BO5" s="214" t="s">
        <v>143</v>
      </c>
      <c r="BP5" s="214" t="s">
        <v>143</v>
      </c>
      <c r="BQ5" s="240"/>
      <c r="BR5" s="240"/>
      <c r="BS5" s="214" t="s">
        <v>143</v>
      </c>
      <c r="BT5" s="243" t="s">
        <v>158</v>
      </c>
      <c r="BU5" s="214" t="s">
        <v>143</v>
      </c>
      <c r="BV5" s="214" t="s">
        <v>143</v>
      </c>
      <c r="BW5" s="214" t="s">
        <v>143</v>
      </c>
      <c r="BX5" s="240"/>
      <c r="BY5" s="240"/>
      <c r="BZ5" s="214" t="s">
        <v>143</v>
      </c>
      <c r="CA5" s="294" t="s">
        <v>141</v>
      </c>
      <c r="CB5" s="294" t="s">
        <v>141</v>
      </c>
      <c r="CC5" s="294" t="s">
        <v>141</v>
      </c>
      <c r="CD5" s="294" t="s">
        <v>141</v>
      </c>
      <c r="CE5" s="240"/>
      <c r="CF5" s="240"/>
      <c r="CG5" s="293" t="s">
        <v>141</v>
      </c>
      <c r="CH5" s="214" t="s">
        <v>237</v>
      </c>
      <c r="CI5" s="214" t="s">
        <v>237</v>
      </c>
      <c r="CJ5" s="214" t="s">
        <v>143</v>
      </c>
      <c r="CK5" s="214" t="s">
        <v>143</v>
      </c>
      <c r="CL5" s="240"/>
      <c r="CM5" s="240"/>
      <c r="CR5" s="295" t="s">
        <v>247</v>
      </c>
      <c r="CS5" s="240"/>
      <c r="CT5" s="240"/>
      <c r="CU5" s="295" t="s">
        <v>247</v>
      </c>
      <c r="CZ5" s="240"/>
      <c r="DA5" s="240"/>
      <c r="DG5" s="240"/>
      <c r="DH5" s="240"/>
      <c r="DM5" s="215" t="s">
        <v>239</v>
      </c>
      <c r="DN5" s="240"/>
      <c r="DO5" s="240"/>
      <c r="DU5" s="240"/>
      <c r="DV5" s="240"/>
      <c r="DW5" s="295" t="s">
        <v>247</v>
      </c>
      <c r="EB5" s="240"/>
      <c r="EC5" s="240"/>
      <c r="EI5" s="240"/>
      <c r="EJ5" s="240"/>
      <c r="EP5" s="240"/>
      <c r="EQ5" s="240"/>
      <c r="ER5" s="295" t="s">
        <v>247</v>
      </c>
      <c r="EW5" s="240"/>
      <c r="EX5" s="240"/>
      <c r="FD5" s="240"/>
      <c r="FE5" s="240"/>
      <c r="FK5" s="240"/>
      <c r="FL5" s="240"/>
      <c r="FR5" s="240"/>
      <c r="FS5" s="240"/>
      <c r="FY5" s="240"/>
      <c r="FZ5" s="240"/>
      <c r="GF5" s="240"/>
      <c r="GG5" s="240"/>
      <c r="GM5" s="240"/>
      <c r="GN5" s="240"/>
      <c r="GT5" s="240"/>
      <c r="GU5" s="240"/>
      <c r="HA5" s="240"/>
      <c r="HB5" s="240"/>
      <c r="HH5" s="240"/>
      <c r="HI5" s="240"/>
      <c r="HO5" s="240"/>
      <c r="HP5" s="240"/>
      <c r="HV5" s="240"/>
      <c r="HW5" s="240"/>
      <c r="IC5" s="240"/>
      <c r="ID5" s="240"/>
      <c r="IJ5" s="240"/>
      <c r="IK5" s="240"/>
      <c r="IL5" s="295" t="s">
        <v>247</v>
      </c>
      <c r="IQ5" s="240"/>
      <c r="IR5" s="240"/>
      <c r="IX5" s="240"/>
      <c r="IY5" s="240"/>
      <c r="JE5" s="240"/>
      <c r="JF5" s="240"/>
      <c r="JL5" s="240"/>
      <c r="JM5" s="240"/>
      <c r="JS5" s="240"/>
      <c r="JT5" s="240"/>
      <c r="JZ5" s="240"/>
      <c r="KA5" s="240"/>
      <c r="KG5" s="240"/>
      <c r="KH5" s="240"/>
      <c r="KN5" s="240"/>
      <c r="KO5" s="240"/>
      <c r="KU5" s="240"/>
      <c r="KV5" s="240"/>
      <c r="LB5" s="240"/>
      <c r="LC5" s="240"/>
      <c r="LI5" s="240"/>
      <c r="LJ5" s="240"/>
      <c r="LP5" s="240"/>
      <c r="LQ5" s="240"/>
      <c r="LW5" s="240"/>
      <c r="LX5" s="240"/>
      <c r="MD5" s="240"/>
      <c r="ME5" s="240"/>
      <c r="MK5" s="240"/>
      <c r="ML5" s="240"/>
      <c r="MR5" s="240"/>
      <c r="MS5" s="240"/>
      <c r="MX5" s="295" t="s">
        <v>247</v>
      </c>
      <c r="MY5" s="240"/>
      <c r="MZ5" s="240"/>
      <c r="NA5" s="295" t="s">
        <v>247</v>
      </c>
      <c r="NE5" s="295" t="s">
        <v>247</v>
      </c>
      <c r="NF5" s="240"/>
      <c r="NG5" s="240"/>
    </row>
    <row r="6" spans="1:373" ht="15">
      <c r="A6" s="48" t="s">
        <v>161</v>
      </c>
      <c r="B6" s="48" t="s">
        <v>18</v>
      </c>
      <c r="C6" s="242" t="s">
        <v>234</v>
      </c>
      <c r="D6" s="295"/>
      <c r="E6" s="243" t="s">
        <v>141</v>
      </c>
      <c r="F6" s="240"/>
      <c r="G6" s="240"/>
      <c r="H6" s="286" t="s">
        <v>143</v>
      </c>
      <c r="I6" s="286" t="s">
        <v>143</v>
      </c>
      <c r="J6" s="286" t="s">
        <v>143</v>
      </c>
      <c r="K6" s="286" t="s">
        <v>143</v>
      </c>
      <c r="L6" s="286" t="s">
        <v>143</v>
      </c>
      <c r="M6" s="240"/>
      <c r="N6" s="240"/>
      <c r="O6" s="286" t="s">
        <v>143</v>
      </c>
      <c r="P6" s="286" t="s">
        <v>143</v>
      </c>
      <c r="Q6" s="286" t="s">
        <v>143</v>
      </c>
      <c r="R6" s="286" t="s">
        <v>143</v>
      </c>
      <c r="S6" s="286" t="s">
        <v>143</v>
      </c>
      <c r="T6" s="240"/>
      <c r="U6" s="240"/>
      <c r="V6" s="214" t="s">
        <v>143</v>
      </c>
      <c r="W6" s="214" t="s">
        <v>143</v>
      </c>
      <c r="X6" s="296" t="s">
        <v>248</v>
      </c>
      <c r="Y6" s="214" t="s">
        <v>143</v>
      </c>
      <c r="Z6" s="296" t="s">
        <v>249</v>
      </c>
      <c r="AA6" s="240"/>
      <c r="AB6" s="240"/>
      <c r="AC6" s="214" t="s">
        <v>143</v>
      </c>
      <c r="AD6" s="214" t="s">
        <v>143</v>
      </c>
      <c r="AE6" s="214" t="s">
        <v>143</v>
      </c>
      <c r="AF6" s="214" t="s">
        <v>143</v>
      </c>
      <c r="AG6" s="214" t="s">
        <v>237</v>
      </c>
      <c r="AH6" s="240"/>
      <c r="AI6" s="240"/>
      <c r="AJ6" s="214" t="s">
        <v>143</v>
      </c>
      <c r="AK6" s="214" t="s">
        <v>143</v>
      </c>
      <c r="AL6" s="214" t="s">
        <v>237</v>
      </c>
      <c r="AM6" s="214" t="s">
        <v>143</v>
      </c>
      <c r="AN6" s="214" t="s">
        <v>143</v>
      </c>
      <c r="AO6" s="240"/>
      <c r="AP6" s="240"/>
      <c r="AQ6" s="214" t="s">
        <v>143</v>
      </c>
      <c r="AR6" s="214" t="s">
        <v>143</v>
      </c>
      <c r="AS6" s="214" t="s">
        <v>237</v>
      </c>
      <c r="AT6" s="214" t="s">
        <v>143</v>
      </c>
      <c r="AU6" s="214" t="s">
        <v>143</v>
      </c>
      <c r="AV6" s="240"/>
      <c r="AW6" s="240"/>
      <c r="AX6" s="214" t="s">
        <v>143</v>
      </c>
      <c r="AY6" s="214" t="s">
        <v>143</v>
      </c>
      <c r="AZ6" s="214" t="s">
        <v>237</v>
      </c>
      <c r="BA6" s="214" t="s">
        <v>143</v>
      </c>
      <c r="BB6" s="214" t="s">
        <v>143</v>
      </c>
      <c r="BC6" s="240"/>
      <c r="BD6" s="240"/>
      <c r="BE6" s="214" t="s">
        <v>143</v>
      </c>
      <c r="BF6" s="214" t="s">
        <v>143</v>
      </c>
      <c r="BG6" s="214" t="s">
        <v>143</v>
      </c>
      <c r="BH6" s="214" t="s">
        <v>143</v>
      </c>
      <c r="BI6" s="214" t="s">
        <v>143</v>
      </c>
      <c r="BJ6" s="240"/>
      <c r="BK6" s="240"/>
      <c r="BL6" s="243" t="s">
        <v>141</v>
      </c>
      <c r="BM6" s="243" t="s">
        <v>141</v>
      </c>
      <c r="BN6" s="243" t="s">
        <v>141</v>
      </c>
      <c r="BO6" s="243" t="s">
        <v>141</v>
      </c>
      <c r="BP6" s="243" t="s">
        <v>141</v>
      </c>
      <c r="BQ6" s="240"/>
      <c r="BR6" s="240"/>
      <c r="BS6" s="214" t="s">
        <v>143</v>
      </c>
      <c r="BT6" s="214" t="s">
        <v>143</v>
      </c>
      <c r="BU6" s="214" t="s">
        <v>143</v>
      </c>
      <c r="BV6" s="214" t="s">
        <v>143</v>
      </c>
      <c r="BW6" s="243" t="s">
        <v>141</v>
      </c>
      <c r="BX6" s="240"/>
      <c r="BY6" s="240"/>
      <c r="BZ6" s="214" t="s">
        <v>143</v>
      </c>
      <c r="CA6" s="214" t="s">
        <v>143</v>
      </c>
      <c r="CB6" s="214" t="s">
        <v>143</v>
      </c>
      <c r="CC6" s="214" t="s">
        <v>143</v>
      </c>
      <c r="CD6" s="214" t="s">
        <v>143</v>
      </c>
      <c r="CE6" s="240"/>
      <c r="CF6" s="240"/>
      <c r="CG6" s="214" t="s">
        <v>143</v>
      </c>
      <c r="CH6" s="214" t="s">
        <v>143</v>
      </c>
      <c r="CI6" s="214" t="s">
        <v>143</v>
      </c>
      <c r="CJ6" s="214" t="s">
        <v>143</v>
      </c>
      <c r="CK6" s="293" t="s">
        <v>141</v>
      </c>
      <c r="CL6" s="240"/>
      <c r="CM6" s="240"/>
      <c r="CN6" s="294" t="s">
        <v>141</v>
      </c>
      <c r="CR6" s="295"/>
      <c r="CS6" s="240"/>
      <c r="CT6" s="240"/>
      <c r="CU6" s="295"/>
      <c r="CZ6" s="240"/>
      <c r="DA6" s="240"/>
      <c r="DG6" s="240"/>
      <c r="DH6" s="240"/>
      <c r="DM6" s="215" t="s">
        <v>239</v>
      </c>
      <c r="DN6" s="240"/>
      <c r="DO6" s="240"/>
      <c r="DU6" s="240"/>
      <c r="DV6" s="240"/>
      <c r="DW6" s="295"/>
      <c r="EB6" s="240"/>
      <c r="EC6" s="240"/>
      <c r="EI6" s="240"/>
      <c r="EJ6" s="240"/>
      <c r="EP6" s="240"/>
      <c r="EQ6" s="240"/>
      <c r="ER6" s="295"/>
      <c r="EW6" s="240"/>
      <c r="EX6" s="240"/>
      <c r="FD6" s="240"/>
      <c r="FE6" s="240"/>
      <c r="FK6" s="240"/>
      <c r="FL6" s="240"/>
      <c r="FR6" s="240"/>
      <c r="FS6" s="240"/>
      <c r="FY6" s="240"/>
      <c r="FZ6" s="240"/>
      <c r="GF6" s="240"/>
      <c r="GG6" s="240"/>
      <c r="GM6" s="240"/>
      <c r="GN6" s="240"/>
      <c r="GT6" s="240"/>
      <c r="GU6" s="240"/>
      <c r="HA6" s="240"/>
      <c r="HB6" s="240"/>
      <c r="HH6" s="240"/>
      <c r="HI6" s="240"/>
      <c r="HO6" s="240"/>
      <c r="HP6" s="240"/>
      <c r="HV6" s="240"/>
      <c r="HW6" s="240"/>
      <c r="IC6" s="240"/>
      <c r="ID6" s="240"/>
      <c r="IJ6" s="240"/>
      <c r="IK6" s="240"/>
      <c r="IL6" s="295"/>
      <c r="IQ6" s="240"/>
      <c r="IR6" s="240"/>
      <c r="IX6" s="240"/>
      <c r="IY6" s="240"/>
      <c r="JE6" s="240"/>
      <c r="JF6" s="240"/>
      <c r="JL6" s="240"/>
      <c r="JM6" s="240"/>
      <c r="JS6" s="240"/>
      <c r="JT6" s="240"/>
      <c r="JZ6" s="240"/>
      <c r="KA6" s="240"/>
      <c r="KG6" s="240"/>
      <c r="KH6" s="240"/>
      <c r="KN6" s="240"/>
      <c r="KO6" s="240"/>
      <c r="KU6" s="240"/>
      <c r="KV6" s="240"/>
      <c r="LB6" s="240"/>
      <c r="LC6" s="240"/>
      <c r="LI6" s="240"/>
      <c r="LJ6" s="240"/>
      <c r="LP6" s="240"/>
      <c r="LQ6" s="240"/>
      <c r="LW6" s="240"/>
      <c r="LX6" s="240"/>
      <c r="MD6" s="240"/>
      <c r="ME6" s="240"/>
      <c r="MK6" s="240"/>
      <c r="ML6" s="240"/>
      <c r="MR6" s="240"/>
      <c r="MS6" s="240"/>
      <c r="MX6" s="295"/>
      <c r="MY6" s="240"/>
      <c r="MZ6" s="240"/>
      <c r="NA6" s="295"/>
      <c r="NE6" s="295"/>
      <c r="NF6" s="240"/>
      <c r="NG6" s="240"/>
    </row>
    <row r="7" spans="1:373" ht="15">
      <c r="A7" s="48" t="s">
        <v>169</v>
      </c>
      <c r="B7" s="48" t="s">
        <v>18</v>
      </c>
      <c r="C7" s="242" t="s">
        <v>234</v>
      </c>
      <c r="D7" s="295" t="s">
        <v>250</v>
      </c>
      <c r="E7" s="246" t="s">
        <v>143</v>
      </c>
      <c r="F7" s="240"/>
      <c r="G7" s="240"/>
      <c r="H7" s="286" t="s">
        <v>143</v>
      </c>
      <c r="I7" s="286" t="s">
        <v>143</v>
      </c>
      <c r="J7" s="286" t="s">
        <v>143</v>
      </c>
      <c r="K7" s="286" t="s">
        <v>143</v>
      </c>
      <c r="L7" s="286" t="s">
        <v>143</v>
      </c>
      <c r="M7" s="240"/>
      <c r="N7" s="240"/>
      <c r="O7" s="247" t="s">
        <v>251</v>
      </c>
      <c r="P7" s="286" t="s">
        <v>143</v>
      </c>
      <c r="Q7" s="286" t="s">
        <v>143</v>
      </c>
      <c r="R7" s="286" t="s">
        <v>143</v>
      </c>
      <c r="S7" s="286" t="s">
        <v>143</v>
      </c>
      <c r="T7" s="240"/>
      <c r="U7" s="240"/>
      <c r="V7" s="214" t="s">
        <v>143</v>
      </c>
      <c r="W7" s="214" t="s">
        <v>143</v>
      </c>
      <c r="X7" s="214" t="s">
        <v>143</v>
      </c>
      <c r="Y7" s="296" t="s">
        <v>252</v>
      </c>
      <c r="Z7" s="214" t="s">
        <v>143</v>
      </c>
      <c r="AA7" s="240"/>
      <c r="AB7" s="240"/>
      <c r="AC7" s="214" t="s">
        <v>143</v>
      </c>
      <c r="AD7" s="289" t="s">
        <v>253</v>
      </c>
      <c r="AE7" s="214" t="s">
        <v>143</v>
      </c>
      <c r="AF7" s="214" t="s">
        <v>143</v>
      </c>
      <c r="AG7" s="214" t="s">
        <v>143</v>
      </c>
      <c r="AH7" s="240"/>
      <c r="AI7" s="240"/>
      <c r="AJ7" s="214" t="s">
        <v>143</v>
      </c>
      <c r="AK7" s="214" t="s">
        <v>143</v>
      </c>
      <c r="AL7" s="214" t="s">
        <v>143</v>
      </c>
      <c r="AM7" s="214" t="s">
        <v>237</v>
      </c>
      <c r="AN7" s="214" t="s">
        <v>143</v>
      </c>
      <c r="AO7" s="240"/>
      <c r="AP7" s="240"/>
      <c r="AQ7" s="214" t="s">
        <v>143</v>
      </c>
      <c r="AR7" s="214" t="s">
        <v>143</v>
      </c>
      <c r="AS7" s="214" t="s">
        <v>143</v>
      </c>
      <c r="AT7" s="243" t="s">
        <v>141</v>
      </c>
      <c r="AU7" s="243" t="s">
        <v>141</v>
      </c>
      <c r="AV7" s="240"/>
      <c r="AW7" s="240"/>
      <c r="AX7" s="244" t="s">
        <v>141</v>
      </c>
      <c r="AY7" s="214" t="s">
        <v>254</v>
      </c>
      <c r="AZ7" s="214" t="s">
        <v>254</v>
      </c>
      <c r="BA7" s="214" t="s">
        <v>254</v>
      </c>
      <c r="BB7" s="214" t="s">
        <v>254</v>
      </c>
      <c r="BC7" s="240"/>
      <c r="BD7" s="240"/>
      <c r="BE7" s="214" t="s">
        <v>255</v>
      </c>
      <c r="BF7" s="214" t="s">
        <v>255</v>
      </c>
      <c r="BG7" s="214" t="s">
        <v>256</v>
      </c>
      <c r="BH7" s="214" t="s">
        <v>255</v>
      </c>
      <c r="BI7" s="214" t="s">
        <v>257</v>
      </c>
      <c r="BJ7" s="240"/>
      <c r="BK7" s="240"/>
      <c r="BL7" s="214" t="s">
        <v>143</v>
      </c>
      <c r="BM7" s="214" t="s">
        <v>258</v>
      </c>
      <c r="BN7" s="214" t="s">
        <v>143</v>
      </c>
      <c r="BO7" s="214" t="s">
        <v>143</v>
      </c>
      <c r="BP7" s="214" t="s">
        <v>143</v>
      </c>
      <c r="BQ7" s="240"/>
      <c r="BR7" s="240"/>
      <c r="BS7" s="243" t="s">
        <v>158</v>
      </c>
      <c r="BT7" s="243" t="s">
        <v>158</v>
      </c>
      <c r="BU7" s="243" t="s">
        <v>158</v>
      </c>
      <c r="BV7" s="214" t="s">
        <v>143</v>
      </c>
      <c r="BW7" s="214" t="s">
        <v>143</v>
      </c>
      <c r="BX7" s="240"/>
      <c r="BY7" s="240"/>
      <c r="BZ7" s="214" t="s">
        <v>143</v>
      </c>
      <c r="CA7" s="214" t="s">
        <v>143</v>
      </c>
      <c r="CB7" s="214" t="s">
        <v>143</v>
      </c>
      <c r="CC7" s="214" t="s">
        <v>143</v>
      </c>
      <c r="CD7" s="214" t="s">
        <v>143</v>
      </c>
      <c r="CE7" s="240"/>
      <c r="CF7" s="240"/>
      <c r="CG7" s="214" t="s">
        <v>143</v>
      </c>
      <c r="CH7" s="214" t="s">
        <v>143</v>
      </c>
      <c r="CI7" s="214" t="s">
        <v>143</v>
      </c>
      <c r="CJ7" s="214" t="s">
        <v>143</v>
      </c>
      <c r="CK7" s="214" t="s">
        <v>259</v>
      </c>
      <c r="CL7" s="240"/>
      <c r="CM7" s="240"/>
      <c r="CO7" s="82" t="s">
        <v>260</v>
      </c>
      <c r="CQ7" s="235" t="s">
        <v>261</v>
      </c>
      <c r="CR7" s="295" t="s">
        <v>250</v>
      </c>
      <c r="CS7" s="240"/>
      <c r="CT7" s="240"/>
      <c r="CU7" s="295" t="s">
        <v>250</v>
      </c>
      <c r="CV7" s="235" t="s">
        <v>261</v>
      </c>
      <c r="CZ7" s="240"/>
      <c r="DA7" s="240"/>
      <c r="DF7" s="294" t="s">
        <v>141</v>
      </c>
      <c r="DG7" s="240"/>
      <c r="DH7" s="240"/>
      <c r="DI7" s="294" t="s">
        <v>141</v>
      </c>
      <c r="DJ7" s="294" t="s">
        <v>141</v>
      </c>
      <c r="DM7" s="215" t="s">
        <v>239</v>
      </c>
      <c r="DN7" s="240"/>
      <c r="DO7" s="240"/>
      <c r="DU7" s="240"/>
      <c r="DV7" s="240"/>
      <c r="DW7" s="295" t="s">
        <v>250</v>
      </c>
      <c r="EB7" s="240"/>
      <c r="EC7" s="240"/>
      <c r="EI7" s="240"/>
      <c r="EJ7" s="240"/>
      <c r="EO7" s="294" t="s">
        <v>141</v>
      </c>
      <c r="EP7" s="240"/>
      <c r="EQ7" s="240"/>
      <c r="ER7" s="295" t="s">
        <v>250</v>
      </c>
      <c r="ES7" s="294" t="s">
        <v>141</v>
      </c>
      <c r="EW7" s="240"/>
      <c r="EX7" s="240"/>
      <c r="FD7" s="240"/>
      <c r="FE7" s="240"/>
      <c r="FK7" s="240"/>
      <c r="FL7" s="240"/>
      <c r="FR7" s="240"/>
      <c r="FS7" s="240"/>
      <c r="FY7" s="240"/>
      <c r="FZ7" s="240"/>
      <c r="GF7" s="240"/>
      <c r="GG7" s="240"/>
      <c r="GM7" s="240"/>
      <c r="GN7" s="240"/>
      <c r="GT7" s="240"/>
      <c r="GU7" s="240"/>
      <c r="HA7" s="240"/>
      <c r="HB7" s="240"/>
      <c r="HH7" s="240"/>
      <c r="HI7" s="240"/>
      <c r="HO7" s="240"/>
      <c r="HP7" s="240"/>
      <c r="HV7" s="240"/>
      <c r="HW7" s="240"/>
      <c r="IC7" s="240"/>
      <c r="ID7" s="240"/>
      <c r="IJ7" s="240"/>
      <c r="IK7" s="240"/>
      <c r="IL7" s="295" t="s">
        <v>250</v>
      </c>
      <c r="IQ7" s="240"/>
      <c r="IR7" s="240"/>
      <c r="IX7" s="240"/>
      <c r="IY7" s="240"/>
      <c r="JE7" s="240"/>
      <c r="JF7" s="240"/>
      <c r="JL7" s="240"/>
      <c r="JM7" s="240"/>
      <c r="JS7" s="240"/>
      <c r="JT7" s="240"/>
      <c r="JZ7" s="240"/>
      <c r="KA7" s="240"/>
      <c r="KG7" s="240"/>
      <c r="KH7" s="240"/>
      <c r="KN7" s="240"/>
      <c r="KO7" s="240"/>
      <c r="KU7" s="240"/>
      <c r="KV7" s="240"/>
      <c r="LB7" s="240"/>
      <c r="LC7" s="240"/>
      <c r="LI7" s="240"/>
      <c r="LJ7" s="240"/>
      <c r="LP7" s="240"/>
      <c r="LQ7" s="240"/>
      <c r="LW7" s="240"/>
      <c r="LX7" s="240"/>
      <c r="MD7" s="240"/>
      <c r="ME7" s="240"/>
      <c r="MK7" s="240"/>
      <c r="ML7" s="240"/>
      <c r="MR7" s="240"/>
      <c r="MS7" s="240"/>
      <c r="MX7" s="295" t="s">
        <v>250</v>
      </c>
      <c r="MY7" s="240"/>
      <c r="MZ7" s="240"/>
      <c r="NA7" s="295" t="s">
        <v>250</v>
      </c>
      <c r="NE7" s="295" t="s">
        <v>250</v>
      </c>
      <c r="NF7" s="240"/>
      <c r="NG7" s="240"/>
    </row>
    <row r="8" spans="1:373" ht="15">
      <c r="A8" s="48" t="s">
        <v>164</v>
      </c>
      <c r="B8" s="48" t="s">
        <v>18</v>
      </c>
      <c r="C8" s="242" t="s">
        <v>262</v>
      </c>
      <c r="D8" s="295" t="s">
        <v>263</v>
      </c>
      <c r="E8" s="246" t="s">
        <v>143</v>
      </c>
      <c r="F8" s="240"/>
      <c r="G8" s="240"/>
      <c r="H8" s="286" t="s">
        <v>143</v>
      </c>
      <c r="I8" s="286" t="s">
        <v>143</v>
      </c>
      <c r="J8" s="286" t="s">
        <v>143</v>
      </c>
      <c r="K8" s="286" t="s">
        <v>143</v>
      </c>
      <c r="L8" s="286" t="s">
        <v>143</v>
      </c>
      <c r="M8" s="240"/>
      <c r="N8" s="240"/>
      <c r="O8" s="286" t="s">
        <v>143</v>
      </c>
      <c r="P8" s="286" t="s">
        <v>143</v>
      </c>
      <c r="Q8" s="286" t="s">
        <v>143</v>
      </c>
      <c r="R8" s="286" t="s">
        <v>143</v>
      </c>
      <c r="S8" s="286" t="s">
        <v>143</v>
      </c>
      <c r="T8" s="240"/>
      <c r="U8" s="240"/>
      <c r="V8" s="214" t="s">
        <v>143</v>
      </c>
      <c r="W8" s="214" t="s">
        <v>143</v>
      </c>
      <c r="X8" s="214" t="s">
        <v>143</v>
      </c>
      <c r="Y8" s="296" t="s">
        <v>252</v>
      </c>
      <c r="Z8" s="296" t="s">
        <v>264</v>
      </c>
      <c r="AA8" s="240"/>
      <c r="AB8" s="240"/>
      <c r="AC8" s="214" t="s">
        <v>143</v>
      </c>
      <c r="AD8" s="214" t="s">
        <v>143</v>
      </c>
      <c r="AE8" s="214" t="s">
        <v>143</v>
      </c>
      <c r="AF8" s="214" t="s">
        <v>143</v>
      </c>
      <c r="AG8" s="214" t="s">
        <v>143</v>
      </c>
      <c r="AH8" s="240"/>
      <c r="AI8" s="240"/>
      <c r="AJ8" s="214" t="s">
        <v>143</v>
      </c>
      <c r="AK8" s="214" t="s">
        <v>143</v>
      </c>
      <c r="AL8" s="214" t="s">
        <v>143</v>
      </c>
      <c r="AM8" s="214" t="s">
        <v>143</v>
      </c>
      <c r="AN8" s="214" t="s">
        <v>143</v>
      </c>
      <c r="AO8" s="240"/>
      <c r="AP8" s="240"/>
      <c r="AQ8" s="214" t="s">
        <v>143</v>
      </c>
      <c r="AR8" s="214" t="s">
        <v>143</v>
      </c>
      <c r="AS8" s="214" t="s">
        <v>143</v>
      </c>
      <c r="AT8" s="214" t="s">
        <v>143</v>
      </c>
      <c r="AU8" s="214" t="s">
        <v>143</v>
      </c>
      <c r="AV8" s="240"/>
      <c r="AW8" s="240"/>
      <c r="AX8" s="214" t="s">
        <v>143</v>
      </c>
      <c r="AY8" s="214" t="s">
        <v>143</v>
      </c>
      <c r="AZ8" s="214" t="s">
        <v>143</v>
      </c>
      <c r="BA8" s="214" t="s">
        <v>143</v>
      </c>
      <c r="BB8" s="214" t="s">
        <v>143</v>
      </c>
      <c r="BC8" s="240"/>
      <c r="BD8" s="240"/>
      <c r="BE8" s="214" t="s">
        <v>143</v>
      </c>
      <c r="BF8" s="214" t="s">
        <v>143</v>
      </c>
      <c r="BG8" s="291" t="s">
        <v>265</v>
      </c>
      <c r="BH8" s="291" t="s">
        <v>265</v>
      </c>
      <c r="BI8" s="291" t="s">
        <v>265</v>
      </c>
      <c r="BJ8" s="240"/>
      <c r="BK8" s="240"/>
      <c r="BL8" s="294" t="s">
        <v>141</v>
      </c>
      <c r="BM8" s="293" t="s">
        <v>141</v>
      </c>
      <c r="BN8" s="214" t="s">
        <v>143</v>
      </c>
      <c r="BO8" s="214" t="s">
        <v>143</v>
      </c>
      <c r="BP8" s="214" t="s">
        <v>143</v>
      </c>
      <c r="BQ8" s="240"/>
      <c r="BR8" s="240"/>
      <c r="BS8" s="214" t="s">
        <v>143</v>
      </c>
      <c r="BT8" s="214" t="s">
        <v>143</v>
      </c>
      <c r="BU8" s="214" t="s">
        <v>143</v>
      </c>
      <c r="BV8" s="296" t="s">
        <v>266</v>
      </c>
      <c r="BW8" s="214" t="s">
        <v>143</v>
      </c>
      <c r="BX8" s="240"/>
      <c r="BY8" s="240"/>
      <c r="BZ8" s="214" t="s">
        <v>143</v>
      </c>
      <c r="CA8" s="214" t="s">
        <v>143</v>
      </c>
      <c r="CB8" s="214" t="s">
        <v>143</v>
      </c>
      <c r="CC8" s="214" t="s">
        <v>143</v>
      </c>
      <c r="CD8" s="214" t="s">
        <v>143</v>
      </c>
      <c r="CE8" s="240"/>
      <c r="CF8" s="240"/>
      <c r="CG8" s="214" t="s">
        <v>143</v>
      </c>
      <c r="CH8" s="214" t="s">
        <v>143</v>
      </c>
      <c r="CI8" s="214" t="s">
        <v>143</v>
      </c>
      <c r="CJ8" s="214" t="s">
        <v>143</v>
      </c>
      <c r="CK8" s="214" t="s">
        <v>143</v>
      </c>
      <c r="CL8" s="240"/>
      <c r="CM8" s="240"/>
      <c r="CR8" s="295" t="s">
        <v>263</v>
      </c>
      <c r="CS8" s="240"/>
      <c r="CT8" s="240"/>
      <c r="CU8" s="295" t="s">
        <v>263</v>
      </c>
      <c r="CZ8" s="240"/>
      <c r="DA8" s="240"/>
      <c r="DG8" s="240"/>
      <c r="DH8" s="240"/>
      <c r="DM8" s="215" t="s">
        <v>239</v>
      </c>
      <c r="DN8" s="240"/>
      <c r="DO8" s="240"/>
      <c r="DU8" s="240"/>
      <c r="DV8" s="240"/>
      <c r="DW8" s="295" t="s">
        <v>263</v>
      </c>
      <c r="EB8" s="240"/>
      <c r="EC8" s="240"/>
      <c r="EI8" s="240"/>
      <c r="EJ8" s="240"/>
      <c r="EP8" s="240"/>
      <c r="EQ8" s="240"/>
      <c r="ER8" s="295" t="s">
        <v>263</v>
      </c>
      <c r="EW8" s="240"/>
      <c r="EX8" s="240"/>
      <c r="FD8" s="240"/>
      <c r="FE8" s="240"/>
      <c r="FK8" s="240"/>
      <c r="FL8" s="240"/>
      <c r="FR8" s="240"/>
      <c r="FS8" s="240"/>
      <c r="FY8" s="240"/>
      <c r="FZ8" s="240"/>
      <c r="GA8" s="244" t="s">
        <v>141</v>
      </c>
      <c r="GF8" s="240"/>
      <c r="GG8" s="240"/>
      <c r="GM8" s="240"/>
      <c r="GN8" s="240"/>
      <c r="GT8" s="240"/>
      <c r="GU8" s="240"/>
      <c r="HA8" s="240"/>
      <c r="HB8" s="240"/>
      <c r="HH8" s="240"/>
      <c r="HI8" s="240"/>
      <c r="HO8" s="240"/>
      <c r="HP8" s="240"/>
      <c r="HV8" s="240"/>
      <c r="HW8" s="240"/>
      <c r="IC8" s="240"/>
      <c r="ID8" s="240"/>
      <c r="IJ8" s="240"/>
      <c r="IK8" s="240"/>
      <c r="IL8" s="295" t="s">
        <v>263</v>
      </c>
      <c r="IQ8" s="240"/>
      <c r="IR8" s="240"/>
      <c r="IX8" s="240"/>
      <c r="IY8" s="240"/>
      <c r="JE8" s="240"/>
      <c r="JF8" s="240"/>
      <c r="JL8" s="240"/>
      <c r="JM8" s="240"/>
      <c r="JS8" s="240"/>
      <c r="JT8" s="240"/>
      <c r="JZ8" s="240"/>
      <c r="KA8" s="240"/>
      <c r="KG8" s="240"/>
      <c r="KH8" s="240"/>
      <c r="KN8" s="240"/>
      <c r="KO8" s="240"/>
      <c r="KU8" s="240"/>
      <c r="KV8" s="240"/>
      <c r="KY8" s="294" t="s">
        <v>141</v>
      </c>
      <c r="KZ8" s="294" t="s">
        <v>141</v>
      </c>
      <c r="LA8" s="294" t="s">
        <v>141</v>
      </c>
      <c r="LB8" s="240"/>
      <c r="LC8" s="240"/>
      <c r="LD8" s="294" t="s">
        <v>141</v>
      </c>
      <c r="LE8" s="294" t="s">
        <v>141</v>
      </c>
      <c r="LF8" s="294" t="s">
        <v>141</v>
      </c>
      <c r="LG8" s="294" t="s">
        <v>141</v>
      </c>
      <c r="LH8" s="294" t="s">
        <v>141</v>
      </c>
      <c r="LI8" s="240"/>
      <c r="LJ8" s="240"/>
      <c r="LK8" s="294" t="s">
        <v>141</v>
      </c>
      <c r="LL8" s="294" t="s">
        <v>141</v>
      </c>
      <c r="LM8" s="294" t="s">
        <v>141</v>
      </c>
      <c r="LN8" s="294" t="s">
        <v>141</v>
      </c>
      <c r="LO8" s="294" t="s">
        <v>141</v>
      </c>
      <c r="LP8" s="240"/>
      <c r="LQ8" s="240"/>
      <c r="LR8" s="294" t="s">
        <v>141</v>
      </c>
      <c r="LS8" s="294" t="s">
        <v>141</v>
      </c>
      <c r="LT8" s="294" t="s">
        <v>141</v>
      </c>
      <c r="LU8" s="294" t="s">
        <v>141</v>
      </c>
      <c r="LV8" s="294" t="s">
        <v>141</v>
      </c>
      <c r="LW8" s="240"/>
      <c r="LX8" s="240"/>
      <c r="MD8" s="240"/>
      <c r="ME8" s="240"/>
      <c r="MK8" s="240"/>
      <c r="ML8" s="240"/>
      <c r="MR8" s="240"/>
      <c r="MS8" s="240"/>
      <c r="MX8" s="295" t="s">
        <v>263</v>
      </c>
      <c r="MY8" s="240"/>
      <c r="MZ8" s="240"/>
      <c r="NA8" s="295" t="s">
        <v>263</v>
      </c>
      <c r="NE8" s="295" t="s">
        <v>263</v>
      </c>
      <c r="NF8" s="240"/>
      <c r="NG8" s="240"/>
    </row>
    <row r="9" spans="1:373" ht="15">
      <c r="A9" s="48" t="s">
        <v>267</v>
      </c>
      <c r="B9" s="48" t="s">
        <v>18</v>
      </c>
      <c r="C9" s="242" t="s">
        <v>262</v>
      </c>
      <c r="D9" s="295" t="s">
        <v>268</v>
      </c>
      <c r="E9" s="246" t="s">
        <v>143</v>
      </c>
      <c r="F9" s="240"/>
      <c r="G9" s="240"/>
      <c r="H9" s="286" t="s">
        <v>143</v>
      </c>
      <c r="I9" s="286" t="s">
        <v>143</v>
      </c>
      <c r="J9" s="286" t="s">
        <v>143</v>
      </c>
      <c r="K9" s="288" t="s">
        <v>140</v>
      </c>
      <c r="L9" s="248" t="s">
        <v>269</v>
      </c>
      <c r="M9" s="240"/>
      <c r="N9" s="240"/>
      <c r="O9" s="286" t="s">
        <v>143</v>
      </c>
      <c r="P9" s="286" t="s">
        <v>143</v>
      </c>
      <c r="Q9" s="248" t="s">
        <v>140</v>
      </c>
      <c r="R9" s="248" t="s">
        <v>140</v>
      </c>
      <c r="S9" s="286" t="s">
        <v>143</v>
      </c>
      <c r="T9" s="240"/>
      <c r="U9" s="240"/>
      <c r="V9" s="214" t="s">
        <v>237</v>
      </c>
      <c r="W9" s="214" t="s">
        <v>143</v>
      </c>
      <c r="X9" s="214" t="s">
        <v>143</v>
      </c>
      <c r="Y9" s="214" t="s">
        <v>143</v>
      </c>
      <c r="Z9" s="214" t="s">
        <v>143</v>
      </c>
      <c r="AA9" s="240"/>
      <c r="AB9" s="240"/>
      <c r="AC9" s="214" t="s">
        <v>143</v>
      </c>
      <c r="AD9" s="214" t="s">
        <v>143</v>
      </c>
      <c r="AE9" s="214" t="s">
        <v>143</v>
      </c>
      <c r="AF9" s="214" t="s">
        <v>143</v>
      </c>
      <c r="AG9" s="243" t="s">
        <v>141</v>
      </c>
      <c r="AH9" s="240"/>
      <c r="AI9" s="240"/>
      <c r="AJ9" s="214" t="s">
        <v>143</v>
      </c>
      <c r="AK9" s="214" t="s">
        <v>143</v>
      </c>
      <c r="AL9" s="214" t="s">
        <v>143</v>
      </c>
      <c r="AM9" s="214" t="s">
        <v>143</v>
      </c>
      <c r="AN9" s="214" t="s">
        <v>143</v>
      </c>
      <c r="AO9" s="240"/>
      <c r="AP9" s="240"/>
      <c r="AQ9" s="214" t="s">
        <v>143</v>
      </c>
      <c r="AR9" s="214" t="s">
        <v>143</v>
      </c>
      <c r="AS9" s="214" t="s">
        <v>143</v>
      </c>
      <c r="AT9" s="214" t="s">
        <v>143</v>
      </c>
      <c r="AU9" s="214" t="s">
        <v>143</v>
      </c>
      <c r="AV9" s="240"/>
      <c r="AW9" s="240"/>
      <c r="AX9" s="244" t="s">
        <v>141</v>
      </c>
      <c r="AY9" s="244" t="s">
        <v>141</v>
      </c>
      <c r="AZ9" s="244" t="s">
        <v>141</v>
      </c>
      <c r="BA9" s="244" t="s">
        <v>141</v>
      </c>
      <c r="BB9" s="244" t="s">
        <v>141</v>
      </c>
      <c r="BC9" s="240"/>
      <c r="BD9" s="240"/>
      <c r="BE9" s="214" t="s">
        <v>143</v>
      </c>
      <c r="BF9" s="214" t="s">
        <v>143</v>
      </c>
      <c r="BG9" s="214" t="s">
        <v>143</v>
      </c>
      <c r="BH9" s="214" t="s">
        <v>143</v>
      </c>
      <c r="BI9" s="214" t="s">
        <v>237</v>
      </c>
      <c r="BJ9" s="240"/>
      <c r="BK9" s="240"/>
      <c r="BL9" s="214" t="s">
        <v>143</v>
      </c>
      <c r="BM9" s="214" t="s">
        <v>143</v>
      </c>
      <c r="BN9" s="214" t="s">
        <v>237</v>
      </c>
      <c r="BO9" s="214" t="s">
        <v>143</v>
      </c>
      <c r="BP9" s="214" t="s">
        <v>143</v>
      </c>
      <c r="BQ9" s="240"/>
      <c r="BR9" s="240"/>
      <c r="BS9" s="214" t="s">
        <v>143</v>
      </c>
      <c r="BT9" s="214" t="s">
        <v>143</v>
      </c>
      <c r="BU9" s="214" t="s">
        <v>237</v>
      </c>
      <c r="BV9" s="214" t="s">
        <v>143</v>
      </c>
      <c r="BW9" s="294" t="s">
        <v>141</v>
      </c>
      <c r="BX9" s="240"/>
      <c r="BY9" s="240"/>
      <c r="BZ9" s="243" t="s">
        <v>141</v>
      </c>
      <c r="CA9" s="243" t="s">
        <v>141</v>
      </c>
      <c r="CB9" s="243" t="s">
        <v>141</v>
      </c>
      <c r="CC9" s="243" t="s">
        <v>141</v>
      </c>
      <c r="CD9" s="243" t="s">
        <v>141</v>
      </c>
      <c r="CE9" s="240"/>
      <c r="CF9" s="240"/>
      <c r="CG9" s="214" t="s">
        <v>143</v>
      </c>
      <c r="CH9" s="214" t="s">
        <v>143</v>
      </c>
      <c r="CI9" s="214" t="s">
        <v>143</v>
      </c>
      <c r="CJ9" s="293" t="s">
        <v>141</v>
      </c>
      <c r="CK9" s="293" t="s">
        <v>141</v>
      </c>
      <c r="CL9" s="240"/>
      <c r="CM9" s="240"/>
      <c r="CR9" s="295" t="s">
        <v>268</v>
      </c>
      <c r="CS9" s="240"/>
      <c r="CT9" s="240"/>
      <c r="CU9" s="295" t="s">
        <v>268</v>
      </c>
      <c r="CZ9" s="240"/>
      <c r="DA9" s="240"/>
      <c r="DG9" s="240"/>
      <c r="DH9" s="240"/>
      <c r="DM9" s="215" t="s">
        <v>239</v>
      </c>
      <c r="DN9" s="240"/>
      <c r="DO9" s="240"/>
      <c r="DU9" s="240"/>
      <c r="DV9" s="240"/>
      <c r="DW9" s="295" t="s">
        <v>268</v>
      </c>
      <c r="EB9" s="240"/>
      <c r="EC9" s="240"/>
      <c r="EI9" s="240"/>
      <c r="EJ9" s="240"/>
      <c r="EP9" s="240"/>
      <c r="EQ9" s="240"/>
      <c r="ER9" s="295" t="s">
        <v>268</v>
      </c>
      <c r="EW9" s="240"/>
      <c r="EX9" s="240"/>
      <c r="FD9" s="240"/>
      <c r="FE9" s="240"/>
      <c r="FK9" s="240"/>
      <c r="FL9" s="240"/>
      <c r="FR9" s="240"/>
      <c r="FS9" s="240"/>
      <c r="FY9" s="240"/>
      <c r="FZ9" s="240"/>
      <c r="GF9" s="240"/>
      <c r="GG9" s="240"/>
      <c r="GM9" s="240"/>
      <c r="GN9" s="240"/>
      <c r="GT9" s="240"/>
      <c r="GU9" s="240"/>
      <c r="HA9" s="240"/>
      <c r="HB9" s="240"/>
      <c r="HH9" s="240"/>
      <c r="HI9" s="240"/>
      <c r="HO9" s="240"/>
      <c r="HP9" s="240"/>
      <c r="HV9" s="240"/>
      <c r="HW9" s="240"/>
      <c r="IC9" s="240"/>
      <c r="ID9" s="240"/>
      <c r="IJ9" s="240"/>
      <c r="IK9" s="240"/>
      <c r="IL9" s="295" t="s">
        <v>268</v>
      </c>
      <c r="IQ9" s="240"/>
      <c r="IR9" s="240"/>
      <c r="IX9" s="240"/>
      <c r="IY9" s="240"/>
      <c r="JE9" s="240"/>
      <c r="JF9" s="240"/>
      <c r="JL9" s="240"/>
      <c r="JM9" s="240"/>
      <c r="JS9" s="240"/>
      <c r="JT9" s="240"/>
      <c r="JZ9" s="240"/>
      <c r="KA9" s="240"/>
      <c r="KG9" s="240"/>
      <c r="KH9" s="240"/>
      <c r="KN9" s="240"/>
      <c r="KO9" s="240"/>
      <c r="KU9" s="240"/>
      <c r="KV9" s="240"/>
      <c r="LB9" s="240"/>
      <c r="LC9" s="240"/>
      <c r="LI9" s="240"/>
      <c r="LJ9" s="240"/>
      <c r="LP9" s="240"/>
      <c r="LQ9" s="240"/>
      <c r="LW9" s="240"/>
      <c r="LX9" s="240"/>
      <c r="MD9" s="240"/>
      <c r="ME9" s="240"/>
      <c r="MK9" s="240"/>
      <c r="ML9" s="240"/>
      <c r="MR9" s="240"/>
      <c r="MS9" s="240"/>
      <c r="MX9" s="295" t="s">
        <v>268</v>
      </c>
      <c r="MY9" s="240"/>
      <c r="MZ9" s="240"/>
      <c r="NA9" s="295" t="s">
        <v>268</v>
      </c>
      <c r="NE9" s="295" t="s">
        <v>268</v>
      </c>
      <c r="NF9" s="240"/>
      <c r="NG9" s="240"/>
    </row>
    <row r="10" spans="1:373" ht="15">
      <c r="A10" s="48" t="s">
        <v>167</v>
      </c>
      <c r="B10" s="48" t="s">
        <v>18</v>
      </c>
      <c r="C10" s="242" t="s">
        <v>262</v>
      </c>
      <c r="D10" s="295" t="s">
        <v>270</v>
      </c>
      <c r="E10" s="246" t="s">
        <v>143</v>
      </c>
      <c r="F10" s="240"/>
      <c r="G10" s="240"/>
      <c r="H10" s="286" t="s">
        <v>143</v>
      </c>
      <c r="I10" s="289" t="s">
        <v>271</v>
      </c>
      <c r="J10" s="289" t="s">
        <v>271</v>
      </c>
      <c r="K10" s="248" t="s">
        <v>140</v>
      </c>
      <c r="L10" s="248" t="s">
        <v>140</v>
      </c>
      <c r="M10" s="240"/>
      <c r="N10" s="240"/>
      <c r="O10" s="286" t="s">
        <v>143</v>
      </c>
      <c r="P10" s="286" t="s">
        <v>143</v>
      </c>
      <c r="Q10" s="286" t="s">
        <v>143</v>
      </c>
      <c r="R10" s="248" t="s">
        <v>140</v>
      </c>
      <c r="S10" s="248" t="s">
        <v>242</v>
      </c>
      <c r="T10" s="240"/>
      <c r="U10" s="240"/>
      <c r="V10" s="214" t="s">
        <v>143</v>
      </c>
      <c r="W10" s="214" t="s">
        <v>143</v>
      </c>
      <c r="X10" s="296" t="s">
        <v>272</v>
      </c>
      <c r="Y10" s="296" t="s">
        <v>272</v>
      </c>
      <c r="Z10" s="292" t="s">
        <v>273</v>
      </c>
      <c r="AA10" s="240"/>
      <c r="AB10" s="240"/>
      <c r="AC10" s="214" t="s">
        <v>143</v>
      </c>
      <c r="AD10" s="289" t="s">
        <v>271</v>
      </c>
      <c r="AE10" s="289" t="s">
        <v>271</v>
      </c>
      <c r="AF10" s="289" t="s">
        <v>274</v>
      </c>
      <c r="AG10" s="289" t="s">
        <v>274</v>
      </c>
      <c r="AH10" s="240"/>
      <c r="AI10" s="240"/>
      <c r="AJ10" s="82" t="s">
        <v>275</v>
      </c>
      <c r="AK10" s="214" t="s">
        <v>143</v>
      </c>
      <c r="AL10" s="82" t="s">
        <v>276</v>
      </c>
      <c r="AM10" s="82" t="s">
        <v>277</v>
      </c>
      <c r="AN10" s="82" t="s">
        <v>276</v>
      </c>
      <c r="AO10" s="240"/>
      <c r="AP10" s="240"/>
      <c r="AQ10" s="82" t="s">
        <v>276</v>
      </c>
      <c r="AR10" s="289" t="s">
        <v>278</v>
      </c>
      <c r="AS10" s="82" t="s">
        <v>279</v>
      </c>
      <c r="AT10" s="214" t="s">
        <v>143</v>
      </c>
      <c r="AU10" s="214" t="s">
        <v>143</v>
      </c>
      <c r="AV10" s="240"/>
      <c r="AW10" s="240"/>
      <c r="AX10" s="214" t="s">
        <v>143</v>
      </c>
      <c r="AY10" s="214" t="s">
        <v>143</v>
      </c>
      <c r="AZ10" s="214" t="s">
        <v>143</v>
      </c>
      <c r="BA10" s="214" t="s">
        <v>143</v>
      </c>
      <c r="BB10" s="214" t="s">
        <v>143</v>
      </c>
      <c r="BC10" s="240"/>
      <c r="BD10" s="240"/>
      <c r="BE10" s="214" t="s">
        <v>143</v>
      </c>
      <c r="BF10" s="296" t="s">
        <v>271</v>
      </c>
      <c r="BG10" s="296" t="s">
        <v>280</v>
      </c>
      <c r="BH10" s="216" t="s">
        <v>281</v>
      </c>
      <c r="BI10" s="293" t="s">
        <v>141</v>
      </c>
      <c r="BJ10" s="240"/>
      <c r="BK10" s="240"/>
      <c r="BL10" s="294" t="s">
        <v>141</v>
      </c>
      <c r="BM10" s="216" t="s">
        <v>281</v>
      </c>
      <c r="BN10" s="214" t="s">
        <v>143</v>
      </c>
      <c r="BO10" s="289" t="s">
        <v>282</v>
      </c>
      <c r="BP10" s="216" t="s">
        <v>281</v>
      </c>
      <c r="BQ10" s="240"/>
      <c r="BR10" s="240"/>
      <c r="BS10" s="214" t="s">
        <v>143</v>
      </c>
      <c r="BT10" s="214" t="s">
        <v>143</v>
      </c>
      <c r="BU10" s="296" t="s">
        <v>280</v>
      </c>
      <c r="BV10" s="214" t="s">
        <v>143</v>
      </c>
      <c r="BW10" s="214" t="s">
        <v>143</v>
      </c>
      <c r="BX10" s="240"/>
      <c r="BY10" s="240"/>
      <c r="BZ10" s="216" t="s">
        <v>281</v>
      </c>
      <c r="CA10" s="216" t="s">
        <v>281</v>
      </c>
      <c r="CB10" s="82" t="s">
        <v>283</v>
      </c>
      <c r="CC10" s="214" t="s">
        <v>143</v>
      </c>
      <c r="CD10" s="82" t="s">
        <v>284</v>
      </c>
      <c r="CE10" s="240"/>
      <c r="CF10" s="240"/>
      <c r="CG10" s="243" t="s">
        <v>238</v>
      </c>
      <c r="CH10" s="82" t="s">
        <v>285</v>
      </c>
      <c r="CI10" s="214" t="s">
        <v>143</v>
      </c>
      <c r="CJ10" s="214" t="s">
        <v>143</v>
      </c>
      <c r="CK10" s="214" t="s">
        <v>143</v>
      </c>
      <c r="CL10" s="240"/>
      <c r="CM10" s="240"/>
      <c r="CR10" s="295" t="s">
        <v>270</v>
      </c>
      <c r="CS10" s="240"/>
      <c r="CT10" s="240"/>
      <c r="CU10" s="295" t="s">
        <v>270</v>
      </c>
      <c r="CZ10" s="240"/>
      <c r="DA10" s="240"/>
      <c r="DG10" s="240"/>
      <c r="DH10" s="240"/>
      <c r="DK10" s="249" t="s">
        <v>286</v>
      </c>
      <c r="DM10" s="215" t="s">
        <v>239</v>
      </c>
      <c r="DN10" s="240"/>
      <c r="DO10" s="240"/>
      <c r="DP10" s="249" t="s">
        <v>287</v>
      </c>
      <c r="DQ10" s="249" t="s">
        <v>287</v>
      </c>
      <c r="DR10" s="249" t="s">
        <v>287</v>
      </c>
      <c r="DU10" s="240"/>
      <c r="DV10" s="240"/>
      <c r="DW10" s="295" t="s">
        <v>270</v>
      </c>
      <c r="EB10" s="240"/>
      <c r="EC10" s="240"/>
      <c r="EI10" s="240"/>
      <c r="EJ10" s="240"/>
      <c r="EP10" s="240"/>
      <c r="EQ10" s="240"/>
      <c r="ER10" s="295" t="s">
        <v>270</v>
      </c>
      <c r="EW10" s="240"/>
      <c r="EX10" s="240"/>
      <c r="FD10" s="240"/>
      <c r="FE10" s="240"/>
      <c r="FK10" s="240"/>
      <c r="FL10" s="240"/>
      <c r="FR10" s="240"/>
      <c r="FS10" s="240"/>
      <c r="FY10" s="240"/>
      <c r="FZ10" s="240"/>
      <c r="GF10" s="240"/>
      <c r="GG10" s="240"/>
      <c r="GM10" s="240"/>
      <c r="GN10" s="240"/>
      <c r="GT10" s="240"/>
      <c r="GU10" s="240"/>
      <c r="HA10" s="240"/>
      <c r="HB10" s="240"/>
      <c r="HH10" s="240"/>
      <c r="HI10" s="240"/>
      <c r="HO10" s="240"/>
      <c r="HP10" s="240"/>
      <c r="HV10" s="240"/>
      <c r="HW10" s="240"/>
      <c r="IC10" s="240"/>
      <c r="ID10" s="240"/>
      <c r="IJ10" s="240"/>
      <c r="IK10" s="240"/>
      <c r="IL10" s="295" t="s">
        <v>270</v>
      </c>
      <c r="IQ10" s="240"/>
      <c r="IR10" s="240"/>
      <c r="IX10" s="240"/>
      <c r="IY10" s="240"/>
      <c r="JE10" s="240"/>
      <c r="JF10" s="240"/>
      <c r="JL10" s="240"/>
      <c r="JM10" s="240"/>
      <c r="JS10" s="240"/>
      <c r="JT10" s="240"/>
      <c r="JZ10" s="240"/>
      <c r="KA10" s="240"/>
      <c r="KG10" s="240"/>
      <c r="KH10" s="240"/>
      <c r="KN10" s="240"/>
      <c r="KO10" s="240"/>
      <c r="KU10" s="240"/>
      <c r="KV10" s="240"/>
      <c r="LB10" s="240"/>
      <c r="LC10" s="240"/>
      <c r="LI10" s="240"/>
      <c r="LJ10" s="240"/>
      <c r="LP10" s="240"/>
      <c r="LQ10" s="240"/>
      <c r="LW10" s="240"/>
      <c r="LX10" s="240"/>
      <c r="MD10" s="240"/>
      <c r="ME10" s="240"/>
      <c r="MK10" s="240"/>
      <c r="ML10" s="240"/>
      <c r="MR10" s="240"/>
      <c r="MS10" s="240"/>
      <c r="MX10" s="295" t="s">
        <v>270</v>
      </c>
      <c r="MY10" s="240"/>
      <c r="MZ10" s="240"/>
      <c r="NA10" s="295" t="s">
        <v>270</v>
      </c>
      <c r="NE10" s="295" t="s">
        <v>270</v>
      </c>
      <c r="NF10" s="240"/>
      <c r="NG10" s="240"/>
    </row>
    <row r="11" spans="1:373">
      <c r="A11" s="237" t="s">
        <v>22</v>
      </c>
      <c r="B11" s="245"/>
      <c r="C11" s="250"/>
      <c r="D11" s="295" t="s">
        <v>288</v>
      </c>
      <c r="E11" s="245"/>
      <c r="F11" s="241"/>
      <c r="G11" s="241"/>
      <c r="H11" s="290"/>
      <c r="I11" s="290"/>
      <c r="J11" s="290"/>
      <c r="K11" s="290"/>
      <c r="L11" s="290"/>
      <c r="M11" s="241"/>
      <c r="N11" s="241"/>
      <c r="O11" s="245"/>
      <c r="P11" s="245"/>
      <c r="Q11" s="245"/>
      <c r="R11" s="245"/>
      <c r="S11" s="245"/>
      <c r="T11" s="241"/>
      <c r="U11" s="241"/>
      <c r="V11" s="245"/>
      <c r="W11" s="245"/>
      <c r="X11" s="245"/>
      <c r="Y11" s="245"/>
      <c r="Z11" s="245"/>
      <c r="AA11" s="241"/>
      <c r="AB11" s="241"/>
      <c r="AC11" s="245"/>
      <c r="AD11" s="245"/>
      <c r="AE11" s="245"/>
      <c r="AF11" s="245"/>
      <c r="AG11" s="245"/>
      <c r="AH11" s="241"/>
      <c r="AI11" s="241"/>
      <c r="AJ11" s="245"/>
      <c r="AK11" s="245"/>
      <c r="AL11" s="245"/>
      <c r="AM11" s="245"/>
      <c r="AN11" s="245"/>
      <c r="AO11" s="241"/>
      <c r="AP11" s="241"/>
      <c r="AQ11" s="245"/>
      <c r="AR11" s="245"/>
      <c r="AS11" s="245"/>
      <c r="AT11" s="245"/>
      <c r="AU11" s="245"/>
      <c r="AV11" s="241"/>
      <c r="AW11" s="241"/>
      <c r="AX11" s="245"/>
      <c r="AY11" s="245"/>
      <c r="AZ11" s="245"/>
      <c r="BA11" s="245"/>
      <c r="BB11" s="245"/>
      <c r="BC11" s="241"/>
      <c r="BD11" s="241"/>
      <c r="BE11" s="245"/>
      <c r="BF11" s="245"/>
      <c r="BG11" s="245"/>
      <c r="BH11" s="245"/>
      <c r="BI11" s="245"/>
      <c r="BJ11" s="241"/>
      <c r="BK11" s="241"/>
      <c r="BL11" s="245"/>
      <c r="BM11" s="245"/>
      <c r="BN11" s="245"/>
      <c r="BO11" s="245"/>
      <c r="BP11" s="245"/>
      <c r="BQ11" s="241"/>
      <c r="BR11" s="241"/>
      <c r="BS11" s="245"/>
      <c r="BT11" s="245"/>
      <c r="BU11" s="245"/>
      <c r="BV11" s="245"/>
      <c r="BW11" s="245"/>
      <c r="BX11" s="241"/>
      <c r="BY11" s="241"/>
      <c r="BZ11" s="245"/>
      <c r="CA11" s="245"/>
      <c r="CB11" s="245"/>
      <c r="CC11" s="245"/>
      <c r="CD11" s="245"/>
      <c r="CE11" s="241"/>
      <c r="CF11" s="241"/>
      <c r="CG11" s="245"/>
      <c r="CH11" s="245"/>
      <c r="CI11" s="245"/>
      <c r="CJ11" s="245"/>
      <c r="CK11" s="245"/>
      <c r="CL11" s="241"/>
      <c r="CM11" s="241"/>
      <c r="CN11" s="245"/>
      <c r="CO11" s="245"/>
      <c r="CP11" s="245"/>
      <c r="CQ11" s="245"/>
      <c r="CR11" s="262" t="s">
        <v>288</v>
      </c>
      <c r="CS11" s="241"/>
      <c r="CT11" s="241"/>
      <c r="CU11" s="262" t="s">
        <v>288</v>
      </c>
      <c r="CV11" s="245"/>
      <c r="CW11" s="245"/>
      <c r="CX11" s="245"/>
      <c r="CY11" s="245"/>
      <c r="CZ11" s="241"/>
      <c r="DA11" s="241"/>
      <c r="DB11" s="245"/>
      <c r="DC11" s="245"/>
      <c r="DD11" s="245"/>
      <c r="DE11" s="245"/>
      <c r="DF11" s="245"/>
      <c r="DG11" s="241"/>
      <c r="DH11" s="241"/>
      <c r="DI11" s="245"/>
      <c r="DJ11" s="245"/>
      <c r="DK11" s="245"/>
      <c r="DL11" s="245"/>
      <c r="DM11" s="245"/>
      <c r="DN11" s="241"/>
      <c r="DO11" s="241"/>
      <c r="DP11" s="245"/>
      <c r="DQ11" s="245"/>
      <c r="DR11" s="245"/>
      <c r="DS11" s="245"/>
      <c r="DT11" s="245"/>
      <c r="DU11" s="241"/>
      <c r="DV11" s="241"/>
      <c r="DW11" s="262" t="s">
        <v>288</v>
      </c>
      <c r="DX11" s="245"/>
      <c r="DY11" s="245"/>
      <c r="DZ11" s="245"/>
      <c r="EA11" s="245"/>
      <c r="EB11" s="241"/>
      <c r="EC11" s="241"/>
      <c r="ED11" s="245"/>
      <c r="EE11" s="245"/>
      <c r="EF11" s="245"/>
      <c r="EG11" s="245"/>
      <c r="EH11" s="245"/>
      <c r="EI11" s="241"/>
      <c r="EJ11" s="241"/>
      <c r="EK11" s="245"/>
      <c r="EL11" s="245"/>
      <c r="EM11" s="245"/>
      <c r="EN11" s="245"/>
      <c r="EO11" s="245"/>
      <c r="EP11" s="241"/>
      <c r="EQ11" s="241"/>
      <c r="ER11" s="262" t="s">
        <v>288</v>
      </c>
      <c r="ES11" s="245"/>
      <c r="ET11" s="245"/>
      <c r="EU11" s="245"/>
      <c r="EV11" s="245"/>
      <c r="EW11" s="241"/>
      <c r="EX11" s="241"/>
      <c r="EY11" s="245"/>
      <c r="EZ11" s="245"/>
      <c r="FA11" s="245"/>
      <c r="FB11" s="245"/>
      <c r="FC11" s="245"/>
      <c r="FD11" s="241"/>
      <c r="FE11" s="241"/>
      <c r="FF11" s="245"/>
      <c r="FG11" s="245"/>
      <c r="FH11" s="245"/>
      <c r="FI11" s="245"/>
      <c r="FJ11" s="245"/>
      <c r="FK11" s="241"/>
      <c r="FL11" s="241"/>
      <c r="FM11" s="245"/>
      <c r="FN11" s="245"/>
      <c r="FO11" s="245"/>
      <c r="FP11" s="245"/>
      <c r="FQ11" s="245"/>
      <c r="FR11" s="241"/>
      <c r="FS11" s="241"/>
      <c r="FT11" s="245"/>
      <c r="FU11" s="245"/>
      <c r="FV11" s="245"/>
      <c r="FW11" s="245"/>
      <c r="FX11" s="245"/>
      <c r="FY11" s="241"/>
      <c r="FZ11" s="241"/>
      <c r="GA11" s="245"/>
      <c r="GB11" s="245"/>
      <c r="GC11" s="245"/>
      <c r="GD11" s="245"/>
      <c r="GE11" s="245"/>
      <c r="GF11" s="241"/>
      <c r="GG11" s="241"/>
      <c r="GH11" s="245"/>
      <c r="GI11" s="245"/>
      <c r="GJ11" s="245"/>
      <c r="GK11" s="245"/>
      <c r="GL11" s="245"/>
      <c r="GM11" s="241"/>
      <c r="GN11" s="241"/>
      <c r="GO11" s="245"/>
      <c r="GP11" s="245"/>
      <c r="GQ11" s="245"/>
      <c r="GR11" s="245"/>
      <c r="GS11" s="245"/>
      <c r="GT11" s="241"/>
      <c r="GU11" s="241"/>
      <c r="GV11" s="245"/>
      <c r="GW11" s="245"/>
      <c r="GX11" s="245"/>
      <c r="GY11" s="245"/>
      <c r="GZ11" s="245"/>
      <c r="HA11" s="241"/>
      <c r="HB11" s="241"/>
      <c r="HC11" s="245"/>
      <c r="HD11" s="245"/>
      <c r="HE11" s="245"/>
      <c r="HF11" s="245"/>
      <c r="HG11" s="245"/>
      <c r="HH11" s="241"/>
      <c r="HI11" s="241"/>
      <c r="HJ11" s="245"/>
      <c r="HK11" s="245"/>
      <c r="HL11" s="245"/>
      <c r="HM11" s="245"/>
      <c r="HN11" s="245"/>
      <c r="HO11" s="241"/>
      <c r="HP11" s="241"/>
      <c r="HQ11" s="245"/>
      <c r="HR11" s="245"/>
      <c r="HS11" s="245"/>
      <c r="HT11" s="245"/>
      <c r="HU11" s="245"/>
      <c r="HV11" s="241"/>
      <c r="HW11" s="241"/>
      <c r="HX11" s="245"/>
      <c r="HY11" s="245"/>
      <c r="HZ11" s="245"/>
      <c r="IA11" s="245"/>
      <c r="IB11" s="245"/>
      <c r="IC11" s="241"/>
      <c r="ID11" s="241"/>
      <c r="IE11" s="245"/>
      <c r="IF11" s="245"/>
      <c r="IG11" s="245"/>
      <c r="IH11" s="245"/>
      <c r="II11" s="245"/>
      <c r="IJ11" s="241"/>
      <c r="IK11" s="241"/>
      <c r="IL11" s="262" t="s">
        <v>288</v>
      </c>
      <c r="IM11" s="245"/>
      <c r="IN11" s="245"/>
      <c r="IO11" s="245"/>
      <c r="IP11" s="245"/>
      <c r="IQ11" s="241"/>
      <c r="IR11" s="241"/>
      <c r="IS11" s="245"/>
      <c r="IT11" s="245"/>
      <c r="IU11" s="245"/>
      <c r="IV11" s="245"/>
      <c r="IW11" s="245"/>
      <c r="IX11" s="241"/>
      <c r="IY11" s="241"/>
      <c r="IZ11" s="245"/>
      <c r="JA11" s="245"/>
      <c r="JB11" s="245"/>
      <c r="JC11" s="245"/>
      <c r="JD11" s="245"/>
      <c r="JE11" s="241"/>
      <c r="JF11" s="241"/>
      <c r="JG11" s="245"/>
      <c r="JH11" s="245"/>
      <c r="JI11" s="245"/>
      <c r="JJ11" s="245"/>
      <c r="JK11" s="245"/>
      <c r="JL11" s="241"/>
      <c r="JM11" s="241"/>
      <c r="JN11" s="245"/>
      <c r="JO11" s="245"/>
      <c r="JP11" s="245"/>
      <c r="JQ11" s="245"/>
      <c r="JR11" s="245"/>
      <c r="JS11" s="241"/>
      <c r="JT11" s="241"/>
      <c r="JU11" s="245"/>
      <c r="JV11" s="245"/>
      <c r="JW11" s="245"/>
      <c r="JX11" s="245"/>
      <c r="JY11" s="245"/>
      <c r="JZ11" s="241"/>
      <c r="KA11" s="241"/>
      <c r="KB11" s="245"/>
      <c r="KC11" s="245"/>
      <c r="KD11" s="245"/>
      <c r="KE11" s="245"/>
      <c r="KF11" s="245"/>
      <c r="KG11" s="241"/>
      <c r="KH11" s="241"/>
      <c r="KI11" s="245"/>
      <c r="KJ11" s="245"/>
      <c r="KK11" s="245"/>
      <c r="KL11" s="245"/>
      <c r="KM11" s="245"/>
      <c r="KN11" s="241"/>
      <c r="KO11" s="241"/>
      <c r="KP11" s="245"/>
      <c r="KQ11" s="245"/>
      <c r="KR11" s="245"/>
      <c r="KS11" s="245"/>
      <c r="KT11" s="245"/>
      <c r="KU11" s="241"/>
      <c r="KV11" s="241"/>
      <c r="KW11" s="245"/>
      <c r="KX11" s="245"/>
      <c r="KY11" s="245"/>
      <c r="KZ11" s="245"/>
      <c r="LA11" s="245"/>
      <c r="LB11" s="241"/>
      <c r="LC11" s="241"/>
      <c r="LD11" s="245"/>
      <c r="LE11" s="245"/>
      <c r="LF11" s="245"/>
      <c r="LG11" s="245"/>
      <c r="LH11" s="245"/>
      <c r="LI11" s="241"/>
      <c r="LJ11" s="241"/>
      <c r="LK11" s="245"/>
      <c r="LL11" s="245"/>
      <c r="LM11" s="245"/>
      <c r="LN11" s="245"/>
      <c r="LO11" s="245"/>
      <c r="LP11" s="241"/>
      <c r="LQ11" s="241"/>
      <c r="LR11" s="245"/>
      <c r="LS11" s="245"/>
      <c r="LT11" s="245"/>
      <c r="LU11" s="245"/>
      <c r="LV11" s="245"/>
      <c r="LW11" s="241"/>
      <c r="LX11" s="241"/>
      <c r="LY11" s="245"/>
      <c r="LZ11" s="245"/>
      <c r="MA11" s="245"/>
      <c r="MB11" s="245"/>
      <c r="MC11" s="245"/>
      <c r="MD11" s="241"/>
      <c r="ME11" s="241"/>
      <c r="MF11" s="245"/>
      <c r="MG11" s="245"/>
      <c r="MH11" s="245"/>
      <c r="MI11" s="245"/>
      <c r="MJ11" s="245"/>
      <c r="MK11" s="241"/>
      <c r="ML11" s="241"/>
      <c r="MM11" s="245"/>
      <c r="MN11" s="245"/>
      <c r="MO11" s="245"/>
      <c r="MP11" s="245"/>
      <c r="MQ11" s="245"/>
      <c r="MR11" s="241"/>
      <c r="MS11" s="241"/>
      <c r="MT11" s="245"/>
      <c r="MU11" s="245"/>
      <c r="MV11" s="245"/>
      <c r="MW11" s="245"/>
      <c r="MX11" s="262" t="s">
        <v>288</v>
      </c>
      <c r="MY11" s="241"/>
      <c r="MZ11" s="241"/>
      <c r="NA11" s="262" t="s">
        <v>288</v>
      </c>
      <c r="NB11" s="245"/>
      <c r="NC11" s="245"/>
      <c r="ND11" s="245"/>
      <c r="NE11" s="262" t="s">
        <v>288</v>
      </c>
      <c r="NF11" s="241"/>
      <c r="NG11" s="241"/>
    </row>
    <row r="12" spans="1:373" ht="15">
      <c r="A12" s="48" t="s">
        <v>174</v>
      </c>
      <c r="B12" s="48" t="s">
        <v>175</v>
      </c>
      <c r="C12" s="242" t="s">
        <v>37</v>
      </c>
      <c r="D12" s="295" t="s">
        <v>235</v>
      </c>
      <c r="E12" s="243" t="s">
        <v>141</v>
      </c>
      <c r="F12" s="240"/>
      <c r="G12" s="240"/>
      <c r="H12" s="287" t="s">
        <v>141</v>
      </c>
      <c r="I12" s="286" t="s">
        <v>143</v>
      </c>
      <c r="J12" s="82" t="s">
        <v>289</v>
      </c>
      <c r="K12" s="286" t="s">
        <v>143</v>
      </c>
      <c r="L12" s="286" t="s">
        <v>143</v>
      </c>
      <c r="M12" s="240"/>
      <c r="N12" s="240"/>
      <c r="O12" s="82" t="s">
        <v>290</v>
      </c>
      <c r="P12" s="286" t="s">
        <v>143</v>
      </c>
      <c r="Q12" s="82" t="s">
        <v>291</v>
      </c>
      <c r="R12" s="286" t="s">
        <v>143</v>
      </c>
      <c r="S12" s="286" t="s">
        <v>143</v>
      </c>
      <c r="T12" s="240"/>
      <c r="U12" s="240"/>
      <c r="V12" s="293" t="s">
        <v>141</v>
      </c>
      <c r="W12" s="82" t="s">
        <v>289</v>
      </c>
      <c r="X12" s="286" t="s">
        <v>143</v>
      </c>
      <c r="Y12" s="82" t="s">
        <v>292</v>
      </c>
      <c r="Z12" s="286" t="s">
        <v>143</v>
      </c>
      <c r="AA12" s="240"/>
      <c r="AB12" s="240"/>
      <c r="AC12" s="286" t="s">
        <v>143</v>
      </c>
      <c r="AD12" s="286" t="s">
        <v>143</v>
      </c>
      <c r="AE12" s="82" t="s">
        <v>289</v>
      </c>
      <c r="AF12" s="286" t="s">
        <v>143</v>
      </c>
      <c r="AG12" s="286" t="s">
        <v>143</v>
      </c>
      <c r="AH12" s="240"/>
      <c r="AI12" s="240"/>
      <c r="AJ12" s="286" t="s">
        <v>143</v>
      </c>
      <c r="AK12" s="286" t="s">
        <v>143</v>
      </c>
      <c r="AL12" s="82" t="s">
        <v>289</v>
      </c>
      <c r="AM12" s="286" t="s">
        <v>143</v>
      </c>
      <c r="AN12" s="286" t="s">
        <v>143</v>
      </c>
      <c r="AO12" s="240"/>
      <c r="AP12" s="240"/>
      <c r="AQ12" s="214" t="s">
        <v>143</v>
      </c>
      <c r="AR12" s="214" t="s">
        <v>143</v>
      </c>
      <c r="AS12" s="82" t="s">
        <v>289</v>
      </c>
      <c r="AT12" s="214" t="s">
        <v>143</v>
      </c>
      <c r="AU12" s="243" t="s">
        <v>141</v>
      </c>
      <c r="AV12" s="240"/>
      <c r="AW12" s="240"/>
      <c r="AX12" s="289" t="s">
        <v>293</v>
      </c>
      <c r="AY12" s="289" t="s">
        <v>293</v>
      </c>
      <c r="AZ12" s="289" t="s">
        <v>293</v>
      </c>
      <c r="BA12" s="289" t="s">
        <v>293</v>
      </c>
      <c r="BB12" s="289" t="s">
        <v>293</v>
      </c>
      <c r="BC12" s="240"/>
      <c r="BD12" s="240"/>
      <c r="BE12" s="289" t="s">
        <v>293</v>
      </c>
      <c r="BF12" s="289" t="s">
        <v>293</v>
      </c>
      <c r="BG12" s="289" t="s">
        <v>293</v>
      </c>
      <c r="BH12" s="289" t="s">
        <v>293</v>
      </c>
      <c r="BI12" s="289" t="s">
        <v>293</v>
      </c>
      <c r="BJ12" s="240"/>
      <c r="BK12" s="240"/>
      <c r="BL12" s="289" t="s">
        <v>294</v>
      </c>
      <c r="BM12" s="289" t="s">
        <v>294</v>
      </c>
      <c r="BN12" s="289" t="s">
        <v>294</v>
      </c>
      <c r="BO12" s="289" t="s">
        <v>294</v>
      </c>
      <c r="BP12" s="214" t="s">
        <v>143</v>
      </c>
      <c r="BQ12" s="240"/>
      <c r="BR12" s="240"/>
      <c r="BS12" s="214" t="s">
        <v>143</v>
      </c>
      <c r="BT12" s="214" t="s">
        <v>143</v>
      </c>
      <c r="BU12" s="82" t="s">
        <v>289</v>
      </c>
      <c r="BV12" s="214" t="s">
        <v>143</v>
      </c>
      <c r="BW12" s="214" t="s">
        <v>143</v>
      </c>
      <c r="BX12" s="240"/>
      <c r="BY12" s="240"/>
      <c r="BZ12" s="243" t="s">
        <v>141</v>
      </c>
      <c r="CA12" s="214" t="s">
        <v>143</v>
      </c>
      <c r="CB12" s="82" t="s">
        <v>289</v>
      </c>
      <c r="CC12" s="214" t="s">
        <v>143</v>
      </c>
      <c r="CD12" s="243" t="s">
        <v>238</v>
      </c>
      <c r="CE12" s="240"/>
      <c r="CF12" s="240"/>
      <c r="CG12" s="214" t="s">
        <v>143</v>
      </c>
      <c r="CH12" s="214" t="s">
        <v>143</v>
      </c>
      <c r="CI12" s="214" t="s">
        <v>143</v>
      </c>
      <c r="CJ12" s="214" t="s">
        <v>143</v>
      </c>
      <c r="CK12" s="293" t="s">
        <v>236</v>
      </c>
      <c r="CL12" s="240"/>
      <c r="CM12" s="240"/>
      <c r="CN12" s="293" t="s">
        <v>141</v>
      </c>
      <c r="CO12" s="293" t="s">
        <v>141</v>
      </c>
      <c r="CP12" s="293" t="s">
        <v>141</v>
      </c>
      <c r="CR12" s="295" t="s">
        <v>235</v>
      </c>
      <c r="CS12" s="240"/>
      <c r="CT12" s="240"/>
      <c r="CU12" s="295" t="s">
        <v>235</v>
      </c>
      <c r="CZ12" s="240"/>
      <c r="DA12" s="240"/>
      <c r="DG12" s="240"/>
      <c r="DH12" s="240"/>
      <c r="DM12" s="215" t="s">
        <v>239</v>
      </c>
      <c r="DN12" s="240"/>
      <c r="DO12" s="240"/>
      <c r="DU12" s="240"/>
      <c r="DV12" s="240"/>
      <c r="DW12" s="295" t="s">
        <v>235</v>
      </c>
      <c r="EB12" s="240"/>
      <c r="EC12" s="240"/>
      <c r="EI12" s="240"/>
      <c r="EJ12" s="240"/>
      <c r="EP12" s="240"/>
      <c r="EQ12" s="240"/>
      <c r="ER12" s="295" t="s">
        <v>235</v>
      </c>
      <c r="EW12" s="240"/>
      <c r="EX12" s="240"/>
      <c r="FD12" s="240"/>
      <c r="FE12" s="240"/>
      <c r="FK12" s="240"/>
      <c r="FL12" s="240"/>
      <c r="FR12" s="240"/>
      <c r="FS12" s="240"/>
      <c r="FY12" s="240"/>
      <c r="FZ12" s="240"/>
      <c r="GE12" s="293" t="s">
        <v>141</v>
      </c>
      <c r="GF12" s="240"/>
      <c r="GG12" s="240"/>
      <c r="GH12" s="293" t="s">
        <v>141</v>
      </c>
      <c r="GI12" s="293" t="s">
        <v>141</v>
      </c>
      <c r="GJ12" s="293" t="s">
        <v>141</v>
      </c>
      <c r="GK12" s="293" t="s">
        <v>141</v>
      </c>
      <c r="GM12" s="240"/>
      <c r="GN12" s="240"/>
      <c r="GT12" s="240"/>
      <c r="GU12" s="240"/>
      <c r="HA12" s="240"/>
      <c r="HB12" s="240"/>
      <c r="HH12" s="240"/>
      <c r="HI12" s="240"/>
      <c r="HO12" s="240"/>
      <c r="HP12" s="240"/>
      <c r="HV12" s="240"/>
      <c r="HW12" s="240"/>
      <c r="IC12" s="240"/>
      <c r="ID12" s="240"/>
      <c r="IJ12" s="240"/>
      <c r="IK12" s="240"/>
      <c r="IL12" s="295" t="s">
        <v>235</v>
      </c>
      <c r="IQ12" s="240"/>
      <c r="IR12" s="240"/>
      <c r="IX12" s="240"/>
      <c r="IY12" s="240"/>
      <c r="JE12" s="240"/>
      <c r="JF12" s="240"/>
      <c r="JL12" s="240"/>
      <c r="JM12" s="240"/>
      <c r="JS12" s="240"/>
      <c r="JT12" s="240"/>
      <c r="JZ12" s="240"/>
      <c r="KA12" s="240"/>
      <c r="KG12" s="240"/>
      <c r="KH12" s="240"/>
      <c r="KN12" s="240"/>
      <c r="KO12" s="240"/>
      <c r="KU12" s="240"/>
      <c r="KV12" s="240"/>
      <c r="LB12" s="240"/>
      <c r="LC12" s="240"/>
      <c r="LI12" s="240"/>
      <c r="LJ12" s="240"/>
      <c r="LP12" s="240"/>
      <c r="LQ12" s="240"/>
      <c r="LW12" s="240"/>
      <c r="LX12" s="240"/>
      <c r="MD12" s="240"/>
      <c r="ME12" s="240"/>
      <c r="MK12" s="240"/>
      <c r="ML12" s="240"/>
      <c r="MR12" s="240"/>
      <c r="MS12" s="240"/>
      <c r="MX12" s="295" t="s">
        <v>235</v>
      </c>
      <c r="MY12" s="240"/>
      <c r="MZ12" s="240"/>
      <c r="NA12" s="295" t="s">
        <v>235</v>
      </c>
      <c r="NE12" s="295" t="s">
        <v>235</v>
      </c>
      <c r="NF12" s="240"/>
      <c r="NG12" s="240"/>
    </row>
    <row r="13" spans="1:373" ht="15">
      <c r="A13" s="48" t="s">
        <v>180</v>
      </c>
      <c r="B13" s="48" t="s">
        <v>175</v>
      </c>
      <c r="C13" s="242" t="s">
        <v>37</v>
      </c>
      <c r="D13" s="295" t="s">
        <v>295</v>
      </c>
      <c r="E13" s="246" t="s">
        <v>143</v>
      </c>
      <c r="F13" s="240"/>
      <c r="G13" s="240"/>
      <c r="H13" s="286" t="s">
        <v>143</v>
      </c>
      <c r="I13" s="286" t="s">
        <v>143</v>
      </c>
      <c r="J13" s="286" t="s">
        <v>143</v>
      </c>
      <c r="K13" s="286" t="s">
        <v>143</v>
      </c>
      <c r="L13" s="286" t="s">
        <v>143</v>
      </c>
      <c r="M13" s="240"/>
      <c r="N13" s="240"/>
      <c r="O13" s="286" t="s">
        <v>143</v>
      </c>
      <c r="P13" s="247" t="s">
        <v>278</v>
      </c>
      <c r="Q13" s="247" t="s">
        <v>296</v>
      </c>
      <c r="R13" s="244" t="s">
        <v>141</v>
      </c>
      <c r="S13" s="244" t="s">
        <v>141</v>
      </c>
      <c r="T13" s="240"/>
      <c r="U13" s="240"/>
      <c r="V13" s="286" t="s">
        <v>143</v>
      </c>
      <c r="W13" s="286" t="s">
        <v>143</v>
      </c>
      <c r="X13" s="82" t="s">
        <v>297</v>
      </c>
      <c r="Y13" s="286" t="s">
        <v>143</v>
      </c>
      <c r="Z13" s="243" t="s">
        <v>141</v>
      </c>
      <c r="AA13" s="240"/>
      <c r="AB13" s="240"/>
      <c r="AC13" s="286" t="s">
        <v>143</v>
      </c>
      <c r="AD13" s="286" t="s">
        <v>143</v>
      </c>
      <c r="AE13" s="286" t="s">
        <v>143</v>
      </c>
      <c r="AF13" s="286" t="s">
        <v>143</v>
      </c>
      <c r="AG13" s="286" t="s">
        <v>143</v>
      </c>
      <c r="AH13" s="240"/>
      <c r="AI13" s="240"/>
      <c r="AJ13" s="82" t="s">
        <v>278</v>
      </c>
      <c r="AK13" s="292" t="s">
        <v>141</v>
      </c>
      <c r="AL13" s="82" t="s">
        <v>289</v>
      </c>
      <c r="AM13" s="82" t="s">
        <v>277</v>
      </c>
      <c r="AN13" s="294" t="s">
        <v>141</v>
      </c>
      <c r="AO13" s="240"/>
      <c r="AP13" s="240"/>
      <c r="AQ13" s="214" t="s">
        <v>143</v>
      </c>
      <c r="AR13" s="214" t="s">
        <v>143</v>
      </c>
      <c r="AS13" s="82" t="s">
        <v>279</v>
      </c>
      <c r="AT13" s="214" t="s">
        <v>143</v>
      </c>
      <c r="AU13" s="214" t="s">
        <v>143</v>
      </c>
      <c r="AV13" s="240"/>
      <c r="AW13" s="240"/>
      <c r="AX13" s="214" t="s">
        <v>143</v>
      </c>
      <c r="AY13" s="214" t="s">
        <v>143</v>
      </c>
      <c r="AZ13" s="82" t="s">
        <v>289</v>
      </c>
      <c r="BA13" s="214" t="s">
        <v>143</v>
      </c>
      <c r="BB13" s="214" t="s">
        <v>143</v>
      </c>
      <c r="BC13" s="240"/>
      <c r="BD13" s="240"/>
      <c r="BE13" s="289" t="s">
        <v>278</v>
      </c>
      <c r="BF13" s="214" t="s">
        <v>143</v>
      </c>
      <c r="BG13" s="214" t="s">
        <v>143</v>
      </c>
      <c r="BH13" s="214" t="s">
        <v>143</v>
      </c>
      <c r="BI13" s="214" t="s">
        <v>143</v>
      </c>
      <c r="BJ13" s="240"/>
      <c r="BK13" s="240"/>
      <c r="BL13" s="214" t="s">
        <v>143</v>
      </c>
      <c r="BM13" s="214" t="s">
        <v>143</v>
      </c>
      <c r="BN13" s="214" t="s">
        <v>143</v>
      </c>
      <c r="BO13" s="214" t="s">
        <v>143</v>
      </c>
      <c r="BP13" s="214" t="s">
        <v>143</v>
      </c>
      <c r="BQ13" s="240"/>
      <c r="BR13" s="240"/>
      <c r="BS13" s="243" t="s">
        <v>141</v>
      </c>
      <c r="BT13" s="214" t="s">
        <v>143</v>
      </c>
      <c r="BU13" s="214" t="s">
        <v>143</v>
      </c>
      <c r="BV13" s="296" t="s">
        <v>298</v>
      </c>
      <c r="BW13" s="296" t="s">
        <v>299</v>
      </c>
      <c r="BX13" s="240"/>
      <c r="BY13" s="240"/>
      <c r="BZ13" s="82" t="s">
        <v>300</v>
      </c>
      <c r="CA13" s="214" t="s">
        <v>143</v>
      </c>
      <c r="CB13" s="82" t="s">
        <v>301</v>
      </c>
      <c r="CC13" s="214" t="s">
        <v>143</v>
      </c>
      <c r="CD13" s="82" t="s">
        <v>302</v>
      </c>
      <c r="CE13" s="240"/>
      <c r="CF13" s="240"/>
      <c r="CG13" s="214" t="s">
        <v>143</v>
      </c>
      <c r="CH13" s="214" t="s">
        <v>143</v>
      </c>
      <c r="CI13" s="214" t="s">
        <v>143</v>
      </c>
      <c r="CJ13" s="214" t="s">
        <v>143</v>
      </c>
      <c r="CK13" s="214" t="s">
        <v>143</v>
      </c>
      <c r="CL13" s="240"/>
      <c r="CM13" s="240"/>
      <c r="CQ13" s="294" t="s">
        <v>141</v>
      </c>
      <c r="CR13" s="295" t="s">
        <v>295</v>
      </c>
      <c r="CS13" s="240"/>
      <c r="CT13" s="240"/>
      <c r="CU13" s="295" t="s">
        <v>295</v>
      </c>
      <c r="CV13" s="294" t="s">
        <v>141</v>
      </c>
      <c r="CZ13" s="240"/>
      <c r="DA13" s="240"/>
      <c r="DG13" s="240"/>
      <c r="DH13" s="240"/>
      <c r="DM13" s="215" t="s">
        <v>239</v>
      </c>
      <c r="DN13" s="240"/>
      <c r="DO13" s="240"/>
      <c r="DP13" s="294" t="s">
        <v>141</v>
      </c>
      <c r="DU13" s="240"/>
      <c r="DV13" s="240"/>
      <c r="DW13" s="295" t="s">
        <v>295</v>
      </c>
      <c r="EB13" s="240"/>
      <c r="EC13" s="240"/>
      <c r="EI13" s="240"/>
      <c r="EJ13" s="240"/>
      <c r="EP13" s="240"/>
      <c r="EQ13" s="240"/>
      <c r="ER13" s="295" t="s">
        <v>295</v>
      </c>
      <c r="EW13" s="240"/>
      <c r="EX13" s="240"/>
      <c r="FD13" s="240"/>
      <c r="FE13" s="240"/>
      <c r="FK13" s="240"/>
      <c r="FL13" s="240"/>
      <c r="FR13" s="240"/>
      <c r="FS13" s="240"/>
      <c r="FY13" s="240"/>
      <c r="FZ13" s="240"/>
      <c r="GF13" s="240"/>
      <c r="GG13" s="240"/>
      <c r="GM13" s="240"/>
      <c r="GN13" s="240"/>
      <c r="GT13" s="240"/>
      <c r="GU13" s="240"/>
      <c r="HA13" s="240"/>
      <c r="HB13" s="240"/>
      <c r="HH13" s="240"/>
      <c r="HI13" s="240"/>
      <c r="HO13" s="240"/>
      <c r="HP13" s="240"/>
      <c r="HV13" s="240"/>
      <c r="HW13" s="240"/>
      <c r="IC13" s="240"/>
      <c r="ID13" s="240"/>
      <c r="IJ13" s="240"/>
      <c r="IK13" s="240"/>
      <c r="IL13" s="295" t="s">
        <v>295</v>
      </c>
      <c r="IQ13" s="240"/>
      <c r="IR13" s="240"/>
      <c r="IX13" s="240"/>
      <c r="IY13" s="240"/>
      <c r="JE13" s="240"/>
      <c r="JF13" s="240"/>
      <c r="JL13" s="240"/>
      <c r="JM13" s="240"/>
      <c r="JS13" s="240"/>
      <c r="JT13" s="240"/>
      <c r="JZ13" s="240"/>
      <c r="KA13" s="240"/>
      <c r="KG13" s="240"/>
      <c r="KH13" s="240"/>
      <c r="KN13" s="240"/>
      <c r="KO13" s="240"/>
      <c r="KU13" s="240"/>
      <c r="KV13" s="240"/>
      <c r="LB13" s="240"/>
      <c r="LC13" s="240"/>
      <c r="LI13" s="240"/>
      <c r="LJ13" s="240"/>
      <c r="LP13" s="240"/>
      <c r="LQ13" s="240"/>
      <c r="LW13" s="240"/>
      <c r="LX13" s="240"/>
      <c r="MD13" s="240"/>
      <c r="ME13" s="240"/>
      <c r="MK13" s="240"/>
      <c r="ML13" s="240"/>
      <c r="MR13" s="240"/>
      <c r="MS13" s="240"/>
      <c r="MX13" s="295" t="s">
        <v>295</v>
      </c>
      <c r="MY13" s="240"/>
      <c r="MZ13" s="240"/>
      <c r="NA13" s="295" t="s">
        <v>295</v>
      </c>
      <c r="NE13" s="295" t="s">
        <v>295</v>
      </c>
      <c r="NF13" s="240"/>
      <c r="NG13" s="240"/>
    </row>
    <row r="14" spans="1:373">
      <c r="A14" s="237" t="s">
        <v>20</v>
      </c>
      <c r="B14" s="245"/>
      <c r="C14" s="250"/>
      <c r="D14" s="295"/>
      <c r="E14" s="245"/>
      <c r="F14" s="241"/>
      <c r="G14" s="241"/>
      <c r="H14" s="290"/>
      <c r="I14" s="290"/>
      <c r="J14" s="290"/>
      <c r="K14" s="290"/>
      <c r="L14" s="290"/>
      <c r="M14" s="241"/>
      <c r="N14" s="241"/>
      <c r="O14" s="245"/>
      <c r="P14" s="245"/>
      <c r="Q14" s="245"/>
      <c r="R14" s="245"/>
      <c r="S14" s="245"/>
      <c r="T14" s="241"/>
      <c r="U14" s="241"/>
      <c r="V14" s="245"/>
      <c r="W14" s="245"/>
      <c r="X14" s="245"/>
      <c r="Y14" s="245"/>
      <c r="Z14" s="245"/>
      <c r="AA14" s="241"/>
      <c r="AB14" s="241"/>
      <c r="AC14" s="245"/>
      <c r="AD14" s="245"/>
      <c r="AE14" s="245"/>
      <c r="AF14" s="245"/>
      <c r="AG14" s="245"/>
      <c r="AH14" s="241"/>
      <c r="AI14" s="241"/>
      <c r="AJ14" s="245"/>
      <c r="AK14" s="245"/>
      <c r="AL14" s="245"/>
      <c r="AM14" s="245"/>
      <c r="AN14" s="245"/>
      <c r="AO14" s="241"/>
      <c r="AP14" s="241"/>
      <c r="AQ14" s="245"/>
      <c r="AR14" s="245"/>
      <c r="AS14" s="245"/>
      <c r="AT14" s="245"/>
      <c r="AU14" s="245"/>
      <c r="AV14" s="241"/>
      <c r="AW14" s="241"/>
      <c r="AX14" s="245"/>
      <c r="AY14" s="245"/>
      <c r="AZ14" s="245"/>
      <c r="BA14" s="245"/>
      <c r="BB14" s="245"/>
      <c r="BC14" s="241"/>
      <c r="BD14" s="241"/>
      <c r="BE14" s="245"/>
      <c r="BF14" s="245"/>
      <c r="BG14" s="245"/>
      <c r="BH14" s="245"/>
      <c r="BI14" s="245"/>
      <c r="BJ14" s="241"/>
      <c r="BK14" s="241"/>
      <c r="BL14" s="245"/>
      <c r="BM14" s="245"/>
      <c r="BN14" s="245"/>
      <c r="BO14" s="245"/>
      <c r="BP14" s="245"/>
      <c r="BQ14" s="241"/>
      <c r="BR14" s="241"/>
      <c r="BS14" s="245"/>
      <c r="BT14" s="245"/>
      <c r="BU14" s="245"/>
      <c r="BV14" s="245"/>
      <c r="BW14" s="245"/>
      <c r="BX14" s="241"/>
      <c r="BY14" s="241"/>
      <c r="BZ14" s="245"/>
      <c r="CA14" s="245"/>
      <c r="CB14" s="245"/>
      <c r="CC14" s="245"/>
      <c r="CD14" s="245"/>
      <c r="CE14" s="241"/>
      <c r="CF14" s="241"/>
      <c r="CG14" s="245"/>
      <c r="CH14" s="245"/>
      <c r="CI14" s="245"/>
      <c r="CJ14" s="245"/>
      <c r="CK14" s="245"/>
      <c r="CL14" s="241"/>
      <c r="CM14" s="241"/>
      <c r="CN14" s="245"/>
      <c r="CO14" s="245"/>
      <c r="CP14" s="245"/>
      <c r="CQ14" s="245"/>
      <c r="CR14" s="262"/>
      <c r="CS14" s="241"/>
      <c r="CT14" s="241"/>
      <c r="CU14" s="262"/>
      <c r="CV14" s="245"/>
      <c r="CW14" s="245"/>
      <c r="CX14" s="245"/>
      <c r="CY14" s="245"/>
      <c r="CZ14" s="241"/>
      <c r="DA14" s="241"/>
      <c r="DB14" s="245"/>
      <c r="DC14" s="245"/>
      <c r="DD14" s="245"/>
      <c r="DE14" s="245"/>
      <c r="DF14" s="245"/>
      <c r="DG14" s="241"/>
      <c r="DH14" s="241"/>
      <c r="DI14" s="245"/>
      <c r="DJ14" s="245"/>
      <c r="DK14" s="245"/>
      <c r="DL14" s="245"/>
      <c r="DM14" s="245"/>
      <c r="DN14" s="241"/>
      <c r="DO14" s="241"/>
      <c r="DP14" s="245"/>
      <c r="DQ14" s="245"/>
      <c r="DR14" s="245"/>
      <c r="DS14" s="245"/>
      <c r="DT14" s="245"/>
      <c r="DU14" s="241"/>
      <c r="DV14" s="241"/>
      <c r="DW14" s="262"/>
      <c r="DX14" s="245"/>
      <c r="DY14" s="245"/>
      <c r="DZ14" s="245"/>
      <c r="EA14" s="245"/>
      <c r="EB14" s="241"/>
      <c r="EC14" s="241"/>
      <c r="ED14" s="245"/>
      <c r="EE14" s="245"/>
      <c r="EF14" s="245"/>
      <c r="EG14" s="245"/>
      <c r="EH14" s="245"/>
      <c r="EI14" s="241"/>
      <c r="EJ14" s="241"/>
      <c r="EK14" s="245"/>
      <c r="EL14" s="245"/>
      <c r="EM14" s="245"/>
      <c r="EN14" s="245"/>
      <c r="EO14" s="245"/>
      <c r="EP14" s="241"/>
      <c r="EQ14" s="241"/>
      <c r="ER14" s="262"/>
      <c r="ES14" s="245"/>
      <c r="ET14" s="245"/>
      <c r="EU14" s="245"/>
      <c r="EV14" s="245"/>
      <c r="EW14" s="241"/>
      <c r="EX14" s="241"/>
      <c r="EY14" s="245"/>
      <c r="EZ14" s="245"/>
      <c r="FA14" s="245"/>
      <c r="FB14" s="245"/>
      <c r="FC14" s="245"/>
      <c r="FD14" s="241"/>
      <c r="FE14" s="241"/>
      <c r="FF14" s="245"/>
      <c r="FG14" s="245"/>
      <c r="FH14" s="245"/>
      <c r="FI14" s="245"/>
      <c r="FJ14" s="245"/>
      <c r="FK14" s="241"/>
      <c r="FL14" s="241"/>
      <c r="FM14" s="245"/>
      <c r="FN14" s="245"/>
      <c r="FO14" s="245"/>
      <c r="FP14" s="245"/>
      <c r="FQ14" s="245"/>
      <c r="FR14" s="241"/>
      <c r="FS14" s="241"/>
      <c r="FT14" s="245"/>
      <c r="FU14" s="245"/>
      <c r="FV14" s="245"/>
      <c r="FW14" s="245"/>
      <c r="FX14" s="245"/>
      <c r="FY14" s="241"/>
      <c r="FZ14" s="241"/>
      <c r="GA14" s="245"/>
      <c r="GB14" s="245"/>
      <c r="GC14" s="245"/>
      <c r="GD14" s="245"/>
      <c r="GE14" s="245"/>
      <c r="GF14" s="241"/>
      <c r="GG14" s="241"/>
      <c r="GH14" s="245"/>
      <c r="GI14" s="245"/>
      <c r="GJ14" s="245"/>
      <c r="GK14" s="245"/>
      <c r="GL14" s="245"/>
      <c r="GM14" s="241"/>
      <c r="GN14" s="241"/>
      <c r="GO14" s="245"/>
      <c r="GP14" s="245"/>
      <c r="GQ14" s="245"/>
      <c r="GR14" s="245"/>
      <c r="GS14" s="245"/>
      <c r="GT14" s="241"/>
      <c r="GU14" s="241"/>
      <c r="GV14" s="245"/>
      <c r="GW14" s="245"/>
      <c r="GX14" s="245"/>
      <c r="GY14" s="245"/>
      <c r="GZ14" s="245"/>
      <c r="HA14" s="241"/>
      <c r="HB14" s="241"/>
      <c r="HC14" s="245"/>
      <c r="HD14" s="245"/>
      <c r="HE14" s="245"/>
      <c r="HF14" s="245"/>
      <c r="HG14" s="245"/>
      <c r="HH14" s="241"/>
      <c r="HI14" s="241"/>
      <c r="HJ14" s="245"/>
      <c r="HK14" s="245"/>
      <c r="HL14" s="245"/>
      <c r="HM14" s="245"/>
      <c r="HN14" s="245"/>
      <c r="HO14" s="241"/>
      <c r="HP14" s="241"/>
      <c r="HQ14" s="245"/>
      <c r="HR14" s="245"/>
      <c r="HS14" s="245"/>
      <c r="HT14" s="245"/>
      <c r="HU14" s="245"/>
      <c r="HV14" s="241"/>
      <c r="HW14" s="241"/>
      <c r="HX14" s="245"/>
      <c r="HY14" s="245"/>
      <c r="HZ14" s="245"/>
      <c r="IA14" s="245"/>
      <c r="IB14" s="245"/>
      <c r="IC14" s="241"/>
      <c r="ID14" s="241"/>
      <c r="IE14" s="245"/>
      <c r="IF14" s="245"/>
      <c r="IG14" s="245"/>
      <c r="IH14" s="245"/>
      <c r="II14" s="245"/>
      <c r="IJ14" s="241"/>
      <c r="IK14" s="241"/>
      <c r="IL14" s="262"/>
      <c r="IM14" s="245"/>
      <c r="IN14" s="245"/>
      <c r="IO14" s="245"/>
      <c r="IP14" s="245"/>
      <c r="IQ14" s="241"/>
      <c r="IR14" s="241"/>
      <c r="IS14" s="245"/>
      <c r="IT14" s="245"/>
      <c r="IU14" s="245"/>
      <c r="IV14" s="245"/>
      <c r="IW14" s="245"/>
      <c r="IX14" s="241"/>
      <c r="IY14" s="241"/>
      <c r="IZ14" s="245"/>
      <c r="JA14" s="245"/>
      <c r="JB14" s="245"/>
      <c r="JC14" s="245"/>
      <c r="JD14" s="245"/>
      <c r="JE14" s="241"/>
      <c r="JF14" s="241"/>
      <c r="JG14" s="245"/>
      <c r="JH14" s="245"/>
      <c r="JI14" s="245"/>
      <c r="JJ14" s="245"/>
      <c r="JK14" s="245"/>
      <c r="JL14" s="241"/>
      <c r="JM14" s="241"/>
      <c r="JN14" s="245"/>
      <c r="JO14" s="245"/>
      <c r="JP14" s="245"/>
      <c r="JQ14" s="245"/>
      <c r="JR14" s="245"/>
      <c r="JS14" s="241"/>
      <c r="JT14" s="241"/>
      <c r="JU14" s="245"/>
      <c r="JV14" s="245"/>
      <c r="JW14" s="245"/>
      <c r="JX14" s="245"/>
      <c r="JY14" s="245"/>
      <c r="JZ14" s="241"/>
      <c r="KA14" s="241"/>
      <c r="KB14" s="245"/>
      <c r="KC14" s="245"/>
      <c r="KD14" s="245"/>
      <c r="KE14" s="245"/>
      <c r="KF14" s="245"/>
      <c r="KG14" s="241"/>
      <c r="KH14" s="241"/>
      <c r="KI14" s="245"/>
      <c r="KJ14" s="245"/>
      <c r="KK14" s="245"/>
      <c r="KL14" s="245"/>
      <c r="KM14" s="245"/>
      <c r="KN14" s="241"/>
      <c r="KO14" s="241"/>
      <c r="KP14" s="245"/>
      <c r="KQ14" s="245"/>
      <c r="KR14" s="245"/>
      <c r="KS14" s="245"/>
      <c r="KT14" s="245"/>
      <c r="KU14" s="241"/>
      <c r="KV14" s="241"/>
      <c r="KW14" s="245"/>
      <c r="KX14" s="245"/>
      <c r="KY14" s="245"/>
      <c r="KZ14" s="245"/>
      <c r="LA14" s="245"/>
      <c r="LB14" s="241"/>
      <c r="LC14" s="241"/>
      <c r="LD14" s="245"/>
      <c r="LE14" s="245"/>
      <c r="LF14" s="245"/>
      <c r="LG14" s="245"/>
      <c r="LH14" s="245"/>
      <c r="LI14" s="241"/>
      <c r="LJ14" s="241"/>
      <c r="LK14" s="245"/>
      <c r="LL14" s="245"/>
      <c r="LM14" s="245"/>
      <c r="LN14" s="245"/>
      <c r="LO14" s="245"/>
      <c r="LP14" s="241"/>
      <c r="LQ14" s="241"/>
      <c r="LR14" s="245"/>
      <c r="LS14" s="245"/>
      <c r="LT14" s="245"/>
      <c r="LU14" s="245"/>
      <c r="LV14" s="245"/>
      <c r="LW14" s="241"/>
      <c r="LX14" s="241"/>
      <c r="LY14" s="245"/>
      <c r="LZ14" s="245"/>
      <c r="MA14" s="245"/>
      <c r="MB14" s="245"/>
      <c r="MC14" s="245"/>
      <c r="MD14" s="241"/>
      <c r="ME14" s="241"/>
      <c r="MF14" s="245"/>
      <c r="MG14" s="245"/>
      <c r="MH14" s="245"/>
      <c r="MI14" s="245"/>
      <c r="MJ14" s="245"/>
      <c r="MK14" s="241"/>
      <c r="ML14" s="241"/>
      <c r="MM14" s="245"/>
      <c r="MN14" s="245"/>
      <c r="MO14" s="245"/>
      <c r="MP14" s="245"/>
      <c r="MQ14" s="245"/>
      <c r="MR14" s="241"/>
      <c r="MS14" s="241"/>
      <c r="MT14" s="245"/>
      <c r="MU14" s="245"/>
      <c r="MV14" s="245"/>
      <c r="MW14" s="245"/>
      <c r="MX14" s="262"/>
      <c r="MY14" s="241"/>
      <c r="MZ14" s="241"/>
      <c r="NA14" s="262"/>
      <c r="NB14" s="245"/>
      <c r="NC14" s="245"/>
      <c r="ND14" s="245"/>
      <c r="NE14" s="262"/>
      <c r="NF14" s="241"/>
      <c r="NG14" s="241"/>
    </row>
    <row r="15" spans="1:373" ht="14.25" customHeight="1">
      <c r="A15" s="48" t="s">
        <v>184</v>
      </c>
      <c r="B15" s="48" t="s">
        <v>37</v>
      </c>
      <c r="C15" s="242" t="s">
        <v>37</v>
      </c>
      <c r="D15" s="295" t="s">
        <v>233</v>
      </c>
      <c r="E15" s="243" t="s">
        <v>141</v>
      </c>
      <c r="F15" s="240"/>
      <c r="G15" s="240"/>
      <c r="H15" s="287" t="s">
        <v>141</v>
      </c>
      <c r="I15" s="287" t="s">
        <v>141</v>
      </c>
      <c r="J15" s="287" t="s">
        <v>141</v>
      </c>
      <c r="K15" s="287" t="s">
        <v>141</v>
      </c>
      <c r="L15" s="287" t="s">
        <v>141</v>
      </c>
      <c r="M15" s="240"/>
      <c r="N15" s="240"/>
      <c r="O15" s="244" t="s">
        <v>141</v>
      </c>
      <c r="P15" s="244" t="s">
        <v>141</v>
      </c>
      <c r="Q15" s="244" t="s">
        <v>141</v>
      </c>
      <c r="R15" s="244" t="s">
        <v>141</v>
      </c>
      <c r="S15" s="244" t="s">
        <v>141</v>
      </c>
      <c r="T15" s="240"/>
      <c r="U15" s="240"/>
      <c r="V15" s="82" t="s">
        <v>283</v>
      </c>
      <c r="W15" s="214" t="s">
        <v>143</v>
      </c>
      <c r="X15" s="296" t="s">
        <v>272</v>
      </c>
      <c r="Y15" s="296" t="s">
        <v>272</v>
      </c>
      <c r="Z15" s="296" t="s">
        <v>264</v>
      </c>
      <c r="AA15" s="240"/>
      <c r="AB15" s="240"/>
      <c r="AC15" s="291" t="s">
        <v>303</v>
      </c>
      <c r="AD15" s="289" t="s">
        <v>304</v>
      </c>
      <c r="AE15" s="289" t="s">
        <v>305</v>
      </c>
      <c r="AF15" s="289" t="s">
        <v>306</v>
      </c>
      <c r="AG15" s="289" t="s">
        <v>283</v>
      </c>
      <c r="AH15" s="240"/>
      <c r="AI15" s="240"/>
      <c r="AJ15" s="292" t="s">
        <v>273</v>
      </c>
      <c r="AK15" s="292" t="s">
        <v>307</v>
      </c>
      <c r="AL15" s="292" t="s">
        <v>273</v>
      </c>
      <c r="AM15" s="289" t="s">
        <v>283</v>
      </c>
      <c r="AN15" s="214" t="s">
        <v>143</v>
      </c>
      <c r="AO15" s="240"/>
      <c r="AP15" s="240"/>
      <c r="AQ15" s="214" t="s">
        <v>143</v>
      </c>
      <c r="AR15" s="82" t="s">
        <v>279</v>
      </c>
      <c r="AS15" s="82" t="s">
        <v>279</v>
      </c>
      <c r="AT15" s="289" t="s">
        <v>283</v>
      </c>
      <c r="AU15" s="214" t="s">
        <v>143</v>
      </c>
      <c r="AV15" s="240"/>
      <c r="AW15" s="240"/>
      <c r="AX15" s="277" t="s">
        <v>281</v>
      </c>
      <c r="AY15" s="277" t="s">
        <v>308</v>
      </c>
      <c r="AZ15" s="277" t="s">
        <v>281</v>
      </c>
      <c r="BA15" s="289" t="s">
        <v>283</v>
      </c>
      <c r="BB15" s="277" t="s">
        <v>281</v>
      </c>
      <c r="BC15" s="240"/>
      <c r="BD15" s="240"/>
      <c r="BE15" s="214" t="s">
        <v>143</v>
      </c>
      <c r="BF15" s="214" t="s">
        <v>143</v>
      </c>
      <c r="BG15" s="296" t="s">
        <v>280</v>
      </c>
      <c r="BH15" s="296" t="s">
        <v>283</v>
      </c>
      <c r="BI15" s="214" t="s">
        <v>143</v>
      </c>
      <c r="BJ15" s="240"/>
      <c r="BK15" s="240"/>
      <c r="BL15" s="216" t="s">
        <v>281</v>
      </c>
      <c r="BM15" s="216" t="s">
        <v>281</v>
      </c>
      <c r="BN15" s="214" t="s">
        <v>143</v>
      </c>
      <c r="BO15" s="289" t="s">
        <v>283</v>
      </c>
      <c r="BP15" s="214" t="s">
        <v>143</v>
      </c>
      <c r="BQ15" s="240"/>
      <c r="BR15" s="240"/>
      <c r="BS15" s="243" t="s">
        <v>141</v>
      </c>
      <c r="BT15" s="243" t="s">
        <v>141</v>
      </c>
      <c r="BU15" s="243" t="s">
        <v>141</v>
      </c>
      <c r="BV15" s="243" t="s">
        <v>141</v>
      </c>
      <c r="BW15" s="243" t="s">
        <v>141</v>
      </c>
      <c r="BX15" s="240"/>
      <c r="BY15" s="240"/>
      <c r="BZ15" s="243" t="s">
        <v>141</v>
      </c>
      <c r="CA15" s="214" t="s">
        <v>143</v>
      </c>
      <c r="CB15" s="82" t="s">
        <v>283</v>
      </c>
      <c r="CC15" s="82" t="s">
        <v>283</v>
      </c>
      <c r="CD15" s="248" t="s">
        <v>309</v>
      </c>
      <c r="CE15" s="240"/>
      <c r="CF15" s="240"/>
      <c r="CG15" s="214" t="s">
        <v>143</v>
      </c>
      <c r="CH15" s="214" t="s">
        <v>143</v>
      </c>
      <c r="CI15" s="214" t="s">
        <v>143</v>
      </c>
      <c r="CJ15" s="214" t="s">
        <v>143</v>
      </c>
      <c r="CK15" s="293" t="s">
        <v>236</v>
      </c>
      <c r="CL15" s="240"/>
      <c r="CM15" s="240"/>
      <c r="CN15" s="248" t="s">
        <v>310</v>
      </c>
      <c r="CO15" s="248" t="s">
        <v>309</v>
      </c>
      <c r="CP15" s="248" t="s">
        <v>309</v>
      </c>
      <c r="CQ15" s="248" t="s">
        <v>309</v>
      </c>
      <c r="CR15" s="295" t="s">
        <v>233</v>
      </c>
      <c r="CS15" s="240"/>
      <c r="CT15" s="240"/>
      <c r="CU15" s="295" t="s">
        <v>233</v>
      </c>
      <c r="CV15" s="248" t="s">
        <v>309</v>
      </c>
      <c r="CW15" s="248" t="s">
        <v>309</v>
      </c>
      <c r="CX15" s="215" t="s">
        <v>311</v>
      </c>
      <c r="CY15" s="215" t="s">
        <v>311</v>
      </c>
      <c r="CZ15" s="240"/>
      <c r="DA15" s="240"/>
      <c r="DB15" s="249" t="s">
        <v>312</v>
      </c>
      <c r="DC15" s="249" t="s">
        <v>312</v>
      </c>
      <c r="DD15" s="249" t="s">
        <v>312</v>
      </c>
      <c r="DE15" s="249" t="s">
        <v>312</v>
      </c>
      <c r="DF15" s="249" t="s">
        <v>312</v>
      </c>
      <c r="DG15" s="240"/>
      <c r="DH15" s="240"/>
      <c r="DK15" s="249" t="s">
        <v>286</v>
      </c>
      <c r="DM15" s="215" t="s">
        <v>239</v>
      </c>
      <c r="DN15" s="240"/>
      <c r="DO15" s="240"/>
      <c r="DU15" s="240"/>
      <c r="DV15" s="240"/>
      <c r="DW15" s="295" t="s">
        <v>233</v>
      </c>
      <c r="EB15" s="240"/>
      <c r="EC15" s="240"/>
      <c r="EI15" s="240"/>
      <c r="EJ15" s="240"/>
      <c r="EP15" s="240"/>
      <c r="EQ15" s="240"/>
      <c r="ER15" s="295" t="s">
        <v>233</v>
      </c>
      <c r="EW15" s="240"/>
      <c r="EX15" s="240"/>
      <c r="FD15" s="240"/>
      <c r="FE15" s="240"/>
      <c r="FK15" s="240"/>
      <c r="FL15" s="240"/>
      <c r="FR15" s="240"/>
      <c r="FS15" s="240"/>
      <c r="FY15" s="240"/>
      <c r="FZ15" s="240"/>
      <c r="GF15" s="240"/>
      <c r="GG15" s="240"/>
      <c r="GM15" s="240"/>
      <c r="GN15" s="240"/>
      <c r="GT15" s="240"/>
      <c r="GU15" s="240"/>
      <c r="HA15" s="240"/>
      <c r="HB15" s="240"/>
      <c r="HH15" s="240"/>
      <c r="HI15" s="240"/>
      <c r="HO15" s="240"/>
      <c r="HP15" s="240"/>
      <c r="HV15" s="240"/>
      <c r="HW15" s="240"/>
      <c r="IC15" s="240"/>
      <c r="ID15" s="240"/>
      <c r="IJ15" s="240"/>
      <c r="IK15" s="240"/>
      <c r="IL15" s="295" t="s">
        <v>233</v>
      </c>
      <c r="IQ15" s="240"/>
      <c r="IR15" s="240"/>
      <c r="IX15" s="240"/>
      <c r="IY15" s="240"/>
      <c r="JE15" s="240"/>
      <c r="JF15" s="240"/>
      <c r="JL15" s="240"/>
      <c r="JM15" s="240"/>
      <c r="JS15" s="240"/>
      <c r="JT15" s="240"/>
      <c r="JZ15" s="240"/>
      <c r="KA15" s="240"/>
      <c r="KG15" s="240"/>
      <c r="KH15" s="240"/>
      <c r="KN15" s="240"/>
      <c r="KO15" s="240"/>
      <c r="KU15" s="240"/>
      <c r="KV15" s="240"/>
      <c r="LB15" s="240"/>
      <c r="LC15" s="240"/>
      <c r="LI15" s="240"/>
      <c r="LJ15" s="240"/>
      <c r="LP15" s="240"/>
      <c r="LQ15" s="240"/>
      <c r="LW15" s="240"/>
      <c r="LX15" s="240"/>
      <c r="MD15" s="240"/>
      <c r="ME15" s="240"/>
      <c r="MK15" s="240"/>
      <c r="ML15" s="240"/>
      <c r="MR15" s="240"/>
      <c r="MS15" s="240"/>
      <c r="MX15" s="295" t="s">
        <v>233</v>
      </c>
      <c r="MY15" s="240"/>
      <c r="MZ15" s="240"/>
      <c r="NA15" s="295" t="s">
        <v>233</v>
      </c>
      <c r="NE15" s="295" t="s">
        <v>233</v>
      </c>
      <c r="NF15" s="240"/>
      <c r="NG15" s="240"/>
    </row>
    <row r="16" spans="1:373" ht="15">
      <c r="A16" s="48" t="s">
        <v>189</v>
      </c>
      <c r="B16" s="48" t="s">
        <v>37</v>
      </c>
      <c r="C16" s="242" t="s">
        <v>37</v>
      </c>
      <c r="D16" s="295" t="s">
        <v>235</v>
      </c>
      <c r="E16" s="246" t="s">
        <v>143</v>
      </c>
      <c r="F16" s="240"/>
      <c r="G16" s="240"/>
      <c r="H16" s="289" t="s">
        <v>313</v>
      </c>
      <c r="I16" s="286" t="s">
        <v>143</v>
      </c>
      <c r="J16" s="286" t="s">
        <v>143</v>
      </c>
      <c r="K16" s="247" t="s">
        <v>278</v>
      </c>
      <c r="L16" s="247" t="s">
        <v>313</v>
      </c>
      <c r="M16" s="240"/>
      <c r="N16" s="240"/>
      <c r="O16" s="286" t="s">
        <v>143</v>
      </c>
      <c r="P16" s="286" t="s">
        <v>143</v>
      </c>
      <c r="Q16" s="286" t="s">
        <v>143</v>
      </c>
      <c r="R16" s="82" t="s">
        <v>314</v>
      </c>
      <c r="S16" s="286" t="s">
        <v>143</v>
      </c>
      <c r="T16" s="240"/>
      <c r="U16" s="240"/>
      <c r="V16" s="214" t="s">
        <v>143</v>
      </c>
      <c r="W16" s="214" t="s">
        <v>143</v>
      </c>
      <c r="X16" s="214" t="s">
        <v>143</v>
      </c>
      <c r="Y16" s="214" t="s">
        <v>143</v>
      </c>
      <c r="Z16" s="214" t="s">
        <v>143</v>
      </c>
      <c r="AA16" s="240"/>
      <c r="AB16" s="240"/>
      <c r="AC16" s="214" t="s">
        <v>143</v>
      </c>
      <c r="AD16" s="214" t="s">
        <v>143</v>
      </c>
      <c r="AE16" s="214" t="s">
        <v>143</v>
      </c>
      <c r="AF16" s="214" t="s">
        <v>143</v>
      </c>
      <c r="AG16" s="214" t="s">
        <v>143</v>
      </c>
      <c r="AH16" s="240"/>
      <c r="AI16" s="240"/>
      <c r="AJ16" s="82" t="s">
        <v>314</v>
      </c>
      <c r="AK16" s="214" t="s">
        <v>143</v>
      </c>
      <c r="AL16" s="214" t="s">
        <v>143</v>
      </c>
      <c r="AM16" s="214" t="s">
        <v>143</v>
      </c>
      <c r="AN16" s="82" t="s">
        <v>315</v>
      </c>
      <c r="AO16" s="240"/>
      <c r="AP16" s="240"/>
      <c r="AQ16" s="82" t="s">
        <v>315</v>
      </c>
      <c r="AR16" s="214" t="s">
        <v>143</v>
      </c>
      <c r="AS16" s="214" t="s">
        <v>143</v>
      </c>
      <c r="AT16" s="214" t="s">
        <v>143</v>
      </c>
      <c r="AU16" s="214" t="s">
        <v>143</v>
      </c>
      <c r="AV16" s="240"/>
      <c r="AW16" s="240"/>
      <c r="AX16" s="277" t="s">
        <v>281</v>
      </c>
      <c r="AY16" s="289" t="s">
        <v>244</v>
      </c>
      <c r="AZ16" s="277" t="s">
        <v>281</v>
      </c>
      <c r="BA16" s="243" t="s">
        <v>316</v>
      </c>
      <c r="BB16" s="244" t="s">
        <v>141</v>
      </c>
      <c r="BC16" s="240"/>
      <c r="BD16" s="240"/>
      <c r="BE16" s="293" t="s">
        <v>141</v>
      </c>
      <c r="BF16" s="293" t="s">
        <v>141</v>
      </c>
      <c r="BG16" s="293" t="s">
        <v>141</v>
      </c>
      <c r="BH16" s="293" t="s">
        <v>141</v>
      </c>
      <c r="BI16" s="293" t="s">
        <v>141</v>
      </c>
      <c r="BJ16" s="240"/>
      <c r="BK16" s="240"/>
      <c r="BL16" s="214" t="s">
        <v>143</v>
      </c>
      <c r="BM16" s="214" t="s">
        <v>143</v>
      </c>
      <c r="BN16" s="214" t="s">
        <v>143</v>
      </c>
      <c r="BO16" s="289" t="s">
        <v>313</v>
      </c>
      <c r="BP16" s="214" t="s">
        <v>143</v>
      </c>
      <c r="BQ16" s="240"/>
      <c r="BR16" s="240"/>
      <c r="BS16" s="82" t="s">
        <v>313</v>
      </c>
      <c r="BT16" s="214" t="s">
        <v>143</v>
      </c>
      <c r="BU16" s="82" t="s">
        <v>317</v>
      </c>
      <c r="BV16" s="214" t="s">
        <v>143</v>
      </c>
      <c r="BW16" s="214" t="s">
        <v>143</v>
      </c>
      <c r="BX16" s="240"/>
      <c r="BY16" s="240"/>
      <c r="BZ16" s="214" t="s">
        <v>143</v>
      </c>
      <c r="CA16" s="214" t="s">
        <v>143</v>
      </c>
      <c r="CB16" s="82" t="s">
        <v>314</v>
      </c>
      <c r="CC16" s="214" t="s">
        <v>143</v>
      </c>
      <c r="CD16" s="214" t="s">
        <v>143</v>
      </c>
      <c r="CE16" s="240"/>
      <c r="CF16" s="240"/>
      <c r="CG16" s="293" t="s">
        <v>141</v>
      </c>
      <c r="CH16" s="293" t="s">
        <v>141</v>
      </c>
      <c r="CI16" s="293" t="s">
        <v>141</v>
      </c>
      <c r="CJ16" s="293" t="s">
        <v>141</v>
      </c>
      <c r="CK16" s="293" t="s">
        <v>141</v>
      </c>
      <c r="CL16" s="240"/>
      <c r="CM16" s="240"/>
      <c r="CO16" s="249" t="s">
        <v>318</v>
      </c>
      <c r="CR16" s="295" t="s">
        <v>235</v>
      </c>
      <c r="CS16" s="240"/>
      <c r="CT16" s="240"/>
      <c r="CU16" s="295" t="s">
        <v>235</v>
      </c>
      <c r="CZ16" s="240"/>
      <c r="DA16" s="240"/>
      <c r="DG16" s="240"/>
      <c r="DH16" s="240"/>
      <c r="DM16" s="215" t="s">
        <v>239</v>
      </c>
      <c r="DN16" s="240"/>
      <c r="DO16" s="240"/>
      <c r="DU16" s="240"/>
      <c r="DV16" s="240"/>
      <c r="DW16" s="295" t="s">
        <v>235</v>
      </c>
      <c r="EB16" s="240"/>
      <c r="EC16" s="240"/>
      <c r="EI16" s="240"/>
      <c r="EJ16" s="240"/>
      <c r="EP16" s="240"/>
      <c r="EQ16" s="240"/>
      <c r="ER16" s="295" t="s">
        <v>235</v>
      </c>
      <c r="EW16" s="240"/>
      <c r="EX16" s="240"/>
      <c r="FD16" s="240"/>
      <c r="FE16" s="240"/>
      <c r="FK16" s="240"/>
      <c r="FL16" s="240"/>
      <c r="FR16" s="240"/>
      <c r="FS16" s="240"/>
      <c r="FY16" s="240"/>
      <c r="FZ16" s="240"/>
      <c r="GF16" s="240"/>
      <c r="GG16" s="240"/>
      <c r="GM16" s="240"/>
      <c r="GN16" s="240"/>
      <c r="GT16" s="240"/>
      <c r="GU16" s="240"/>
      <c r="HA16" s="240"/>
      <c r="HB16" s="240"/>
      <c r="HH16" s="240"/>
      <c r="HI16" s="240"/>
      <c r="HO16" s="240"/>
      <c r="HP16" s="240"/>
      <c r="HV16" s="240"/>
      <c r="HW16" s="240"/>
      <c r="IC16" s="240"/>
      <c r="ID16" s="240"/>
      <c r="IJ16" s="240"/>
      <c r="IK16" s="240"/>
      <c r="IL16" s="295" t="s">
        <v>235</v>
      </c>
      <c r="IQ16" s="240"/>
      <c r="IR16" s="240"/>
      <c r="IX16" s="240"/>
      <c r="IY16" s="240"/>
      <c r="JE16" s="240"/>
      <c r="JF16" s="240"/>
      <c r="JL16" s="240"/>
      <c r="JM16" s="240"/>
      <c r="JS16" s="240"/>
      <c r="JT16" s="240"/>
      <c r="JZ16" s="240"/>
      <c r="KA16" s="240"/>
      <c r="KG16" s="240"/>
      <c r="KH16" s="240"/>
      <c r="KN16" s="240"/>
      <c r="KO16" s="240"/>
      <c r="KU16" s="240"/>
      <c r="KV16" s="240"/>
      <c r="LB16" s="240"/>
      <c r="LC16" s="240"/>
      <c r="LI16" s="240"/>
      <c r="LJ16" s="240"/>
      <c r="LP16" s="240"/>
      <c r="LQ16" s="240"/>
      <c r="LW16" s="240"/>
      <c r="LX16" s="240"/>
      <c r="MD16" s="240"/>
      <c r="ME16" s="240"/>
      <c r="MK16" s="240"/>
      <c r="ML16" s="240"/>
      <c r="MR16" s="240"/>
      <c r="MS16" s="240"/>
      <c r="MX16" s="295" t="s">
        <v>235</v>
      </c>
      <c r="MY16" s="240"/>
      <c r="MZ16" s="240"/>
      <c r="NA16" s="295" t="s">
        <v>235</v>
      </c>
      <c r="NE16" s="295" t="s">
        <v>235</v>
      </c>
      <c r="NF16" s="240"/>
      <c r="NG16" s="240"/>
    </row>
    <row r="17" spans="1:371">
      <c r="A17" s="237" t="s">
        <v>38</v>
      </c>
      <c r="B17" s="245"/>
      <c r="C17" s="250"/>
      <c r="D17" s="295" t="s">
        <v>240</v>
      </c>
      <c r="E17" s="245"/>
      <c r="F17" s="241"/>
      <c r="G17" s="241"/>
      <c r="H17" s="290"/>
      <c r="I17" s="290"/>
      <c r="J17" s="290"/>
      <c r="K17" s="290"/>
      <c r="L17" s="290"/>
      <c r="M17" s="241"/>
      <c r="N17" s="241"/>
      <c r="O17" s="245"/>
      <c r="P17" s="245"/>
      <c r="Q17" s="245"/>
      <c r="R17" s="245"/>
      <c r="S17" s="245"/>
      <c r="T17" s="241"/>
      <c r="U17" s="241"/>
      <c r="V17" s="245"/>
      <c r="W17" s="245"/>
      <c r="X17" s="245"/>
      <c r="Y17" s="245"/>
      <c r="Z17" s="245"/>
      <c r="AA17" s="241"/>
      <c r="AB17" s="241"/>
      <c r="AC17" s="245"/>
      <c r="AD17" s="245"/>
      <c r="AE17" s="245"/>
      <c r="AF17" s="245"/>
      <c r="AG17" s="245"/>
      <c r="AH17" s="241"/>
      <c r="AI17" s="241"/>
      <c r="AJ17" s="245"/>
      <c r="AK17" s="245"/>
      <c r="AL17" s="245"/>
      <c r="AM17" s="245"/>
      <c r="AN17" s="245"/>
      <c r="AO17" s="241"/>
      <c r="AP17" s="241"/>
      <c r="AQ17" s="245"/>
      <c r="AR17" s="245"/>
      <c r="AS17" s="245"/>
      <c r="AT17" s="245"/>
      <c r="AU17" s="245"/>
      <c r="AV17" s="241"/>
      <c r="AW17" s="241"/>
      <c r="AX17" s="245"/>
      <c r="AY17" s="245"/>
      <c r="AZ17" s="245"/>
      <c r="BA17" s="245"/>
      <c r="BB17" s="245"/>
      <c r="BC17" s="241"/>
      <c r="BD17" s="241"/>
      <c r="BE17" s="245"/>
      <c r="BF17" s="245"/>
      <c r="BG17" s="245"/>
      <c r="BH17" s="245"/>
      <c r="BI17" s="245"/>
      <c r="BJ17" s="241"/>
      <c r="BK17" s="241"/>
      <c r="BL17" s="245"/>
      <c r="BM17" s="245"/>
      <c r="BN17" s="245"/>
      <c r="BO17" s="245"/>
      <c r="BP17" s="245"/>
      <c r="BQ17" s="241"/>
      <c r="BR17" s="241"/>
      <c r="BS17" s="245"/>
      <c r="BT17" s="245"/>
      <c r="BU17" s="245"/>
      <c r="BV17" s="245"/>
      <c r="BW17" s="245"/>
      <c r="BX17" s="241"/>
      <c r="BY17" s="241"/>
      <c r="BZ17" s="245"/>
      <c r="CA17" s="245"/>
      <c r="CB17" s="245"/>
      <c r="CC17" s="245"/>
      <c r="CD17" s="245"/>
      <c r="CE17" s="241"/>
      <c r="CF17" s="241"/>
      <c r="CG17" s="245"/>
      <c r="CH17" s="245"/>
      <c r="CI17" s="245"/>
      <c r="CJ17" s="245"/>
      <c r="CK17" s="245"/>
      <c r="CL17" s="241"/>
      <c r="CM17" s="241"/>
      <c r="CN17" s="245"/>
      <c r="CO17" s="245"/>
      <c r="CP17" s="245"/>
      <c r="CQ17" s="245"/>
      <c r="CR17" s="262" t="s">
        <v>240</v>
      </c>
      <c r="CS17" s="241"/>
      <c r="CT17" s="241"/>
      <c r="CU17" s="262" t="s">
        <v>240</v>
      </c>
      <c r="CV17" s="245"/>
      <c r="CW17" s="245"/>
      <c r="CX17" s="245"/>
      <c r="CY17" s="245"/>
      <c r="CZ17" s="241"/>
      <c r="DA17" s="241"/>
      <c r="DB17" s="245"/>
      <c r="DC17" s="245"/>
      <c r="DD17" s="245"/>
      <c r="DE17" s="245"/>
      <c r="DF17" s="245"/>
      <c r="DG17" s="241"/>
      <c r="DH17" s="241"/>
      <c r="DI17" s="245"/>
      <c r="DJ17" s="245"/>
      <c r="DK17" s="245"/>
      <c r="DL17" s="245"/>
      <c r="DM17" s="245"/>
      <c r="DN17" s="241"/>
      <c r="DO17" s="241"/>
      <c r="DP17" s="245"/>
      <c r="DQ17" s="245"/>
      <c r="DR17" s="245"/>
      <c r="DS17" s="245"/>
      <c r="DT17" s="245"/>
      <c r="DU17" s="241"/>
      <c r="DV17" s="241"/>
      <c r="DW17" s="262" t="s">
        <v>240</v>
      </c>
      <c r="DX17" s="245"/>
      <c r="DY17" s="245"/>
      <c r="DZ17" s="245"/>
      <c r="EA17" s="245"/>
      <c r="EB17" s="241"/>
      <c r="EC17" s="241"/>
      <c r="ED17" s="245"/>
      <c r="EE17" s="245"/>
      <c r="EF17" s="245"/>
      <c r="EG17" s="245"/>
      <c r="EH17" s="245"/>
      <c r="EI17" s="241"/>
      <c r="EJ17" s="241"/>
      <c r="EK17" s="245"/>
      <c r="EL17" s="245"/>
      <c r="EM17" s="245"/>
      <c r="EN17" s="245"/>
      <c r="EO17" s="245"/>
      <c r="EP17" s="241"/>
      <c r="EQ17" s="241"/>
      <c r="ER17" s="262" t="s">
        <v>240</v>
      </c>
      <c r="ES17" s="245"/>
      <c r="ET17" s="245"/>
      <c r="EU17" s="245"/>
      <c r="EV17" s="245"/>
      <c r="EW17" s="241"/>
      <c r="EX17" s="241"/>
      <c r="EY17" s="245"/>
      <c r="EZ17" s="245"/>
      <c r="FA17" s="245"/>
      <c r="FB17" s="245"/>
      <c r="FC17" s="245"/>
      <c r="FD17" s="241"/>
      <c r="FE17" s="241"/>
      <c r="FF17" s="245"/>
      <c r="FG17" s="245"/>
      <c r="FH17" s="245"/>
      <c r="FI17" s="245"/>
      <c r="FJ17" s="245"/>
      <c r="FK17" s="241"/>
      <c r="FL17" s="241"/>
      <c r="FM17" s="245"/>
      <c r="FN17" s="245"/>
      <c r="FO17" s="245"/>
      <c r="FP17" s="245"/>
      <c r="FQ17" s="245"/>
      <c r="FR17" s="241"/>
      <c r="FS17" s="241"/>
      <c r="FT17" s="245"/>
      <c r="FU17" s="245"/>
      <c r="FV17" s="245"/>
      <c r="FW17" s="245"/>
      <c r="FX17" s="245"/>
      <c r="FY17" s="241"/>
      <c r="FZ17" s="241"/>
      <c r="GA17" s="245"/>
      <c r="GB17" s="245"/>
      <c r="GC17" s="245"/>
      <c r="GD17" s="245"/>
      <c r="GE17" s="245"/>
      <c r="GF17" s="241"/>
      <c r="GG17" s="241"/>
      <c r="GH17" s="245"/>
      <c r="GI17" s="245"/>
      <c r="GJ17" s="245"/>
      <c r="GK17" s="245"/>
      <c r="GL17" s="245"/>
      <c r="GM17" s="241"/>
      <c r="GN17" s="241"/>
      <c r="GO17" s="245"/>
      <c r="GP17" s="245"/>
      <c r="GQ17" s="245"/>
      <c r="GR17" s="245"/>
      <c r="GS17" s="245"/>
      <c r="GT17" s="241"/>
      <c r="GU17" s="241"/>
      <c r="GV17" s="245"/>
      <c r="GW17" s="245"/>
      <c r="GX17" s="245"/>
      <c r="GY17" s="245"/>
      <c r="GZ17" s="245"/>
      <c r="HA17" s="241"/>
      <c r="HB17" s="241"/>
      <c r="HC17" s="245"/>
      <c r="HD17" s="245"/>
      <c r="HE17" s="245"/>
      <c r="HF17" s="245"/>
      <c r="HG17" s="245"/>
      <c r="HH17" s="241"/>
      <c r="HI17" s="241"/>
      <c r="HJ17" s="245"/>
      <c r="HK17" s="245"/>
      <c r="HL17" s="245"/>
      <c r="HM17" s="245"/>
      <c r="HN17" s="245"/>
      <c r="HO17" s="241"/>
      <c r="HP17" s="241"/>
      <c r="HQ17" s="245"/>
      <c r="HR17" s="245"/>
      <c r="HS17" s="245"/>
      <c r="HT17" s="245"/>
      <c r="HU17" s="245"/>
      <c r="HV17" s="241"/>
      <c r="HW17" s="241"/>
      <c r="HX17" s="245"/>
      <c r="HY17" s="245"/>
      <c r="HZ17" s="245"/>
      <c r="IA17" s="245"/>
      <c r="IB17" s="245"/>
      <c r="IC17" s="241"/>
      <c r="ID17" s="241"/>
      <c r="IE17" s="245"/>
      <c r="IF17" s="245"/>
      <c r="IG17" s="245"/>
      <c r="IH17" s="245"/>
      <c r="II17" s="245"/>
      <c r="IJ17" s="241"/>
      <c r="IK17" s="241"/>
      <c r="IL17" s="262" t="s">
        <v>240</v>
      </c>
      <c r="IM17" s="245"/>
      <c r="IN17" s="245"/>
      <c r="IO17" s="245"/>
      <c r="IP17" s="245"/>
      <c r="IQ17" s="241"/>
      <c r="IR17" s="241"/>
      <c r="IS17" s="245"/>
      <c r="IT17" s="245"/>
      <c r="IU17" s="245"/>
      <c r="IV17" s="245"/>
      <c r="IW17" s="245"/>
      <c r="IX17" s="241"/>
      <c r="IY17" s="241"/>
      <c r="IZ17" s="245"/>
      <c r="JA17" s="245"/>
      <c r="JB17" s="245"/>
      <c r="JC17" s="245"/>
      <c r="JD17" s="245"/>
      <c r="JE17" s="241"/>
      <c r="JF17" s="241"/>
      <c r="JG17" s="245"/>
      <c r="JH17" s="245"/>
      <c r="JI17" s="245"/>
      <c r="JJ17" s="245"/>
      <c r="JK17" s="245"/>
      <c r="JL17" s="241"/>
      <c r="JM17" s="241"/>
      <c r="JN17" s="245"/>
      <c r="JO17" s="245"/>
      <c r="JP17" s="245"/>
      <c r="JQ17" s="245"/>
      <c r="JR17" s="245"/>
      <c r="JS17" s="241"/>
      <c r="JT17" s="241"/>
      <c r="JU17" s="245"/>
      <c r="JV17" s="245"/>
      <c r="JW17" s="245"/>
      <c r="JX17" s="245"/>
      <c r="JY17" s="245"/>
      <c r="JZ17" s="241"/>
      <c r="KA17" s="241"/>
      <c r="KB17" s="245"/>
      <c r="KC17" s="245"/>
      <c r="KD17" s="245"/>
      <c r="KE17" s="245"/>
      <c r="KF17" s="245"/>
      <c r="KG17" s="241"/>
      <c r="KH17" s="241"/>
      <c r="KI17" s="245"/>
      <c r="KJ17" s="245"/>
      <c r="KK17" s="245"/>
      <c r="KL17" s="245"/>
      <c r="KM17" s="245"/>
      <c r="KN17" s="241"/>
      <c r="KO17" s="241"/>
      <c r="KP17" s="245"/>
      <c r="KQ17" s="245"/>
      <c r="KR17" s="245"/>
      <c r="KS17" s="245"/>
      <c r="KT17" s="245"/>
      <c r="KU17" s="241"/>
      <c r="KV17" s="241"/>
      <c r="KW17" s="245"/>
      <c r="KX17" s="245"/>
      <c r="KY17" s="245"/>
      <c r="KZ17" s="245"/>
      <c r="LA17" s="245"/>
      <c r="LB17" s="241"/>
      <c r="LC17" s="241"/>
      <c r="LD17" s="245"/>
      <c r="LE17" s="245"/>
      <c r="LF17" s="245"/>
      <c r="LG17" s="245"/>
      <c r="LH17" s="245"/>
      <c r="LI17" s="241"/>
      <c r="LJ17" s="241"/>
      <c r="LK17" s="245"/>
      <c r="LL17" s="245"/>
      <c r="LM17" s="245"/>
      <c r="LN17" s="245"/>
      <c r="LO17" s="245"/>
      <c r="LP17" s="241"/>
      <c r="LQ17" s="241"/>
      <c r="LR17" s="245"/>
      <c r="LS17" s="245"/>
      <c r="LT17" s="245"/>
      <c r="LU17" s="245"/>
      <c r="LV17" s="245"/>
      <c r="LW17" s="241"/>
      <c r="LX17" s="241"/>
      <c r="LY17" s="245"/>
      <c r="LZ17" s="245"/>
      <c r="MA17" s="245"/>
      <c r="MB17" s="245"/>
      <c r="MC17" s="245"/>
      <c r="MD17" s="241"/>
      <c r="ME17" s="241"/>
      <c r="MF17" s="245"/>
      <c r="MG17" s="245"/>
      <c r="MH17" s="245"/>
      <c r="MI17" s="245"/>
      <c r="MJ17" s="245"/>
      <c r="MK17" s="241"/>
      <c r="ML17" s="241"/>
      <c r="MM17" s="245"/>
      <c r="MN17" s="245"/>
      <c r="MO17" s="245"/>
      <c r="MP17" s="245"/>
      <c r="MQ17" s="245"/>
      <c r="MR17" s="241"/>
      <c r="MS17" s="241"/>
      <c r="MT17" s="245"/>
      <c r="MU17" s="245"/>
      <c r="MV17" s="245"/>
      <c r="MW17" s="245"/>
      <c r="MX17" s="262" t="s">
        <v>240</v>
      </c>
      <c r="MY17" s="241"/>
      <c r="MZ17" s="241"/>
      <c r="NA17" s="262" t="s">
        <v>240</v>
      </c>
      <c r="NB17" s="245"/>
      <c r="NC17" s="245"/>
      <c r="ND17" s="245"/>
      <c r="NE17" s="262" t="s">
        <v>240</v>
      </c>
      <c r="NF17" s="241"/>
      <c r="NG17" s="241"/>
    </row>
    <row r="18" spans="1:371" ht="15">
      <c r="A18" s="214" t="s">
        <v>191</v>
      </c>
      <c r="B18" s="214" t="s">
        <v>38</v>
      </c>
      <c r="C18" s="251" t="s">
        <v>319</v>
      </c>
      <c r="D18" s="295" t="s">
        <v>247</v>
      </c>
      <c r="E18" s="246" t="s">
        <v>143</v>
      </c>
      <c r="F18" s="240"/>
      <c r="G18" s="240"/>
      <c r="H18" s="289" t="s">
        <v>313</v>
      </c>
      <c r="I18" s="289" t="s">
        <v>320</v>
      </c>
      <c r="J18" s="289" t="s">
        <v>320</v>
      </c>
      <c r="K18" s="289" t="s">
        <v>321</v>
      </c>
      <c r="L18" s="291" t="s">
        <v>322</v>
      </c>
      <c r="M18" s="240"/>
      <c r="N18" s="291" t="s">
        <v>242</v>
      </c>
      <c r="O18" s="247" t="s">
        <v>323</v>
      </c>
      <c r="P18" s="247" t="s">
        <v>283</v>
      </c>
      <c r="Q18" s="286" t="s">
        <v>143</v>
      </c>
      <c r="R18" s="291" t="s">
        <v>322</v>
      </c>
      <c r="S18" s="291" t="s">
        <v>322</v>
      </c>
      <c r="T18" s="240"/>
      <c r="U18" s="240"/>
      <c r="V18" s="291" t="s">
        <v>322</v>
      </c>
      <c r="W18" s="296" t="s">
        <v>272</v>
      </c>
      <c r="X18" s="296" t="s">
        <v>272</v>
      </c>
      <c r="Y18" s="296" t="s">
        <v>272</v>
      </c>
      <c r="Z18" s="296" t="s">
        <v>264</v>
      </c>
      <c r="AA18" s="291" t="s">
        <v>242</v>
      </c>
      <c r="AB18" s="240"/>
      <c r="AC18" s="243" t="s">
        <v>141</v>
      </c>
      <c r="AD18" s="296" t="s">
        <v>324</v>
      </c>
      <c r="AE18" s="214" t="s">
        <v>143</v>
      </c>
      <c r="AF18" s="214" t="s">
        <v>242</v>
      </c>
      <c r="AG18" s="289" t="s">
        <v>325</v>
      </c>
      <c r="AH18" s="240"/>
      <c r="AI18" s="240"/>
      <c r="AJ18" s="291" t="s">
        <v>242</v>
      </c>
      <c r="AK18" s="296" t="s">
        <v>313</v>
      </c>
      <c r="AL18" s="291" t="s">
        <v>242</v>
      </c>
      <c r="AM18" s="214" t="s">
        <v>143</v>
      </c>
      <c r="AN18" s="214" t="s">
        <v>143</v>
      </c>
      <c r="AO18" s="240"/>
      <c r="AP18" s="240"/>
      <c r="AQ18" s="82" t="s">
        <v>326</v>
      </c>
      <c r="AR18" s="82" t="s">
        <v>279</v>
      </c>
      <c r="AS18" s="82" t="s">
        <v>279</v>
      </c>
      <c r="AT18" s="289" t="s">
        <v>327</v>
      </c>
      <c r="AU18" s="243" t="s">
        <v>141</v>
      </c>
      <c r="AV18" s="240"/>
      <c r="AW18" s="240"/>
      <c r="AX18" s="296" t="s">
        <v>313</v>
      </c>
      <c r="AY18" s="296" t="s">
        <v>313</v>
      </c>
      <c r="AZ18" s="296" t="s">
        <v>313</v>
      </c>
      <c r="BA18" s="289" t="s">
        <v>328</v>
      </c>
      <c r="BB18" s="289" t="s">
        <v>328</v>
      </c>
      <c r="BC18" s="240"/>
      <c r="BD18" s="240"/>
      <c r="BE18" s="296" t="s">
        <v>313</v>
      </c>
      <c r="BF18" s="214" t="s">
        <v>143</v>
      </c>
      <c r="BG18" s="291" t="s">
        <v>242</v>
      </c>
      <c r="BH18" s="296" t="s">
        <v>329</v>
      </c>
      <c r="BI18" s="296" t="s">
        <v>329</v>
      </c>
      <c r="BJ18" s="240"/>
      <c r="BK18" s="240"/>
      <c r="BL18" s="296" t="s">
        <v>329</v>
      </c>
      <c r="BM18" s="296" t="s">
        <v>329</v>
      </c>
      <c r="BN18" s="296" t="s">
        <v>329</v>
      </c>
      <c r="BO18" s="296" t="s">
        <v>329</v>
      </c>
      <c r="BP18" s="296" t="s">
        <v>329</v>
      </c>
      <c r="BQ18" s="240"/>
      <c r="BR18" s="240"/>
      <c r="BS18" s="82" t="s">
        <v>313</v>
      </c>
      <c r="BT18" s="214" t="s">
        <v>143</v>
      </c>
      <c r="BU18" s="214" t="s">
        <v>143</v>
      </c>
      <c r="BV18" s="215" t="s">
        <v>330</v>
      </c>
      <c r="BW18" s="215" t="s">
        <v>330</v>
      </c>
      <c r="BX18" s="240"/>
      <c r="BY18" s="240"/>
      <c r="BZ18" s="214" t="s">
        <v>143</v>
      </c>
      <c r="CA18" s="82" t="s">
        <v>331</v>
      </c>
      <c r="CB18" s="82" t="s">
        <v>332</v>
      </c>
      <c r="CC18" s="296" t="s">
        <v>327</v>
      </c>
      <c r="CD18" s="214" t="s">
        <v>143</v>
      </c>
      <c r="CE18" s="240"/>
      <c r="CF18" s="240"/>
      <c r="CG18" s="214" t="s">
        <v>143</v>
      </c>
      <c r="CH18" s="215" t="s">
        <v>251</v>
      </c>
      <c r="CI18" s="214" t="s">
        <v>143</v>
      </c>
      <c r="CJ18" s="214" t="s">
        <v>143</v>
      </c>
      <c r="CK18" s="214" t="s">
        <v>143</v>
      </c>
      <c r="CL18" s="240"/>
      <c r="CM18" s="240"/>
      <c r="CN18" s="243" t="s">
        <v>141</v>
      </c>
      <c r="CO18" s="243" t="s">
        <v>238</v>
      </c>
      <c r="CR18" s="295" t="s">
        <v>247</v>
      </c>
      <c r="CS18" s="240"/>
      <c r="CT18" s="240"/>
      <c r="CU18" s="295" t="s">
        <v>247</v>
      </c>
      <c r="CZ18" s="240"/>
      <c r="DA18" s="240"/>
      <c r="DG18" s="240"/>
      <c r="DH18" s="240"/>
      <c r="DM18" s="215" t="s">
        <v>239</v>
      </c>
      <c r="DN18" s="240"/>
      <c r="DO18" s="240"/>
      <c r="DU18" s="240"/>
      <c r="DV18" s="240"/>
      <c r="DW18" s="295" t="s">
        <v>247</v>
      </c>
      <c r="EB18" s="240"/>
      <c r="EC18" s="240"/>
      <c r="EI18" s="240"/>
      <c r="EJ18" s="240"/>
      <c r="EP18" s="240"/>
      <c r="EQ18" s="240"/>
      <c r="ER18" s="295" t="s">
        <v>247</v>
      </c>
      <c r="EW18" s="240"/>
      <c r="EX18" s="240"/>
      <c r="FD18" s="240"/>
      <c r="FE18" s="240"/>
      <c r="FK18" s="240"/>
      <c r="FL18" s="240"/>
      <c r="FR18" s="240"/>
      <c r="FS18" s="240"/>
      <c r="FY18" s="240"/>
      <c r="FZ18" s="240"/>
      <c r="GF18" s="240"/>
      <c r="GG18" s="240"/>
      <c r="GM18" s="240"/>
      <c r="GN18" s="240"/>
      <c r="GT18" s="240"/>
      <c r="GU18" s="240"/>
      <c r="HA18" s="240"/>
      <c r="HB18" s="240"/>
      <c r="HH18" s="240"/>
      <c r="HI18" s="240"/>
      <c r="HO18" s="240"/>
      <c r="HP18" s="240"/>
      <c r="HV18" s="240"/>
      <c r="HW18" s="240"/>
      <c r="IC18" s="240"/>
      <c r="ID18" s="240"/>
      <c r="IJ18" s="240"/>
      <c r="IK18" s="240"/>
      <c r="IL18" s="295" t="s">
        <v>247</v>
      </c>
      <c r="IQ18" s="240"/>
      <c r="IR18" s="240"/>
      <c r="IX18" s="240"/>
      <c r="IY18" s="240"/>
      <c r="JE18" s="240"/>
      <c r="JF18" s="240"/>
      <c r="JL18" s="240"/>
      <c r="JM18" s="240"/>
      <c r="JS18" s="240"/>
      <c r="JT18" s="240"/>
      <c r="JZ18" s="240"/>
      <c r="KA18" s="240"/>
      <c r="KG18" s="240"/>
      <c r="KH18" s="240"/>
      <c r="KN18" s="240"/>
      <c r="KO18" s="240"/>
      <c r="KU18" s="240"/>
      <c r="KV18" s="240"/>
      <c r="LB18" s="240"/>
      <c r="LC18" s="240"/>
      <c r="LI18" s="240"/>
      <c r="LJ18" s="240"/>
      <c r="LP18" s="240"/>
      <c r="LQ18" s="240"/>
      <c r="LW18" s="240"/>
      <c r="LX18" s="240"/>
      <c r="MD18" s="240"/>
      <c r="ME18" s="240"/>
      <c r="MK18" s="240"/>
      <c r="ML18" s="240"/>
      <c r="MR18" s="240"/>
      <c r="MS18" s="240"/>
      <c r="MX18" s="295" t="s">
        <v>247</v>
      </c>
      <c r="MY18" s="240"/>
      <c r="MZ18" s="240"/>
      <c r="NA18" s="295" t="s">
        <v>247</v>
      </c>
      <c r="NE18" s="295" t="s">
        <v>247</v>
      </c>
      <c r="NF18" s="240"/>
      <c r="NG18" s="240"/>
    </row>
    <row r="19" spans="1:371" ht="15">
      <c r="A19" s="214" t="s">
        <v>192</v>
      </c>
      <c r="B19" s="214" t="s">
        <v>38</v>
      </c>
      <c r="C19" s="251" t="s">
        <v>319</v>
      </c>
      <c r="D19" s="295"/>
      <c r="E19" s="243" t="s">
        <v>141</v>
      </c>
      <c r="F19" s="240"/>
      <c r="G19" s="240"/>
      <c r="H19" s="286" t="s">
        <v>143</v>
      </c>
      <c r="I19" s="286" t="s">
        <v>143</v>
      </c>
      <c r="J19" s="286" t="s">
        <v>143</v>
      </c>
      <c r="K19" s="286" t="s">
        <v>143</v>
      </c>
      <c r="L19" s="286" t="s">
        <v>143</v>
      </c>
      <c r="M19" s="240"/>
      <c r="N19" s="240"/>
      <c r="O19" s="286" t="s">
        <v>143</v>
      </c>
      <c r="P19" s="244" t="s">
        <v>141</v>
      </c>
      <c r="Q19" s="286" t="s">
        <v>143</v>
      </c>
      <c r="R19" s="286" t="s">
        <v>143</v>
      </c>
      <c r="S19" s="286" t="s">
        <v>143</v>
      </c>
      <c r="T19" s="240"/>
      <c r="U19" s="240"/>
      <c r="V19" s="214" t="s">
        <v>143</v>
      </c>
      <c r="W19" s="214" t="s">
        <v>143</v>
      </c>
      <c r="X19" s="294" t="s">
        <v>141</v>
      </c>
      <c r="Y19" s="214" t="s">
        <v>143</v>
      </c>
      <c r="Z19" s="277" t="s">
        <v>333</v>
      </c>
      <c r="AA19" s="240"/>
      <c r="AB19" s="240"/>
      <c r="AC19" s="214" t="s">
        <v>143</v>
      </c>
      <c r="AD19" s="214" t="s">
        <v>143</v>
      </c>
      <c r="AE19" s="214" t="s">
        <v>143</v>
      </c>
      <c r="AF19" s="243" t="s">
        <v>141</v>
      </c>
      <c r="AG19" s="214" t="s">
        <v>143</v>
      </c>
      <c r="AH19" s="240"/>
      <c r="AI19" s="240"/>
      <c r="AJ19" s="296" t="s">
        <v>313</v>
      </c>
      <c r="AK19" s="296" t="s">
        <v>313</v>
      </c>
      <c r="AL19" s="296" t="s">
        <v>334</v>
      </c>
      <c r="AM19" s="243" t="s">
        <v>141</v>
      </c>
      <c r="AN19" s="214" t="s">
        <v>143</v>
      </c>
      <c r="AO19" s="240"/>
      <c r="AP19" s="240"/>
      <c r="AQ19" s="82" t="s">
        <v>335</v>
      </c>
      <c r="AR19" s="82" t="s">
        <v>313</v>
      </c>
      <c r="AS19" s="82" t="s">
        <v>313</v>
      </c>
      <c r="AT19" s="243" t="s">
        <v>141</v>
      </c>
      <c r="AU19" s="294" t="s">
        <v>236</v>
      </c>
      <c r="AV19" s="240"/>
      <c r="AW19" s="240"/>
      <c r="AX19" s="214" t="s">
        <v>143</v>
      </c>
      <c r="AY19" s="214" t="s">
        <v>143</v>
      </c>
      <c r="AZ19" s="296" t="s">
        <v>313</v>
      </c>
      <c r="BA19" s="296" t="s">
        <v>313</v>
      </c>
      <c r="BB19" s="277" t="s">
        <v>281</v>
      </c>
      <c r="BC19" s="240"/>
      <c r="BD19" s="240"/>
      <c r="BE19" s="214" t="s">
        <v>143</v>
      </c>
      <c r="BF19" s="214" t="s">
        <v>143</v>
      </c>
      <c r="BG19" s="244" t="s">
        <v>141</v>
      </c>
      <c r="BH19" s="244" t="s">
        <v>141</v>
      </c>
      <c r="BI19" s="216" t="s">
        <v>281</v>
      </c>
      <c r="BJ19" s="240"/>
      <c r="BK19" s="240"/>
      <c r="BL19" s="214" t="s">
        <v>143</v>
      </c>
      <c r="BM19" s="214" t="s">
        <v>143</v>
      </c>
      <c r="BN19" s="214" t="s">
        <v>143</v>
      </c>
      <c r="BO19" s="292" t="s">
        <v>141</v>
      </c>
      <c r="BP19" s="292" t="s">
        <v>141</v>
      </c>
      <c r="BQ19" s="240"/>
      <c r="BR19" s="240"/>
      <c r="BS19" s="214" t="s">
        <v>143</v>
      </c>
      <c r="BT19" s="214" t="s">
        <v>143</v>
      </c>
      <c r="BU19" s="214" t="s">
        <v>143</v>
      </c>
      <c r="BV19" s="296" t="s">
        <v>266</v>
      </c>
      <c r="BW19" s="214" t="s">
        <v>143</v>
      </c>
      <c r="BX19" s="240"/>
      <c r="BY19" s="240"/>
      <c r="BZ19" s="296" t="s">
        <v>336</v>
      </c>
      <c r="CA19" s="296" t="s">
        <v>336</v>
      </c>
      <c r="CB19" s="216" t="s">
        <v>281</v>
      </c>
      <c r="CC19" s="296" t="s">
        <v>337</v>
      </c>
      <c r="CD19" s="214" t="s">
        <v>143</v>
      </c>
      <c r="CE19" s="240"/>
      <c r="CF19" s="240"/>
      <c r="CG19" s="296" t="s">
        <v>334</v>
      </c>
      <c r="CH19" s="296" t="s">
        <v>338</v>
      </c>
      <c r="CI19" s="214" t="s">
        <v>143</v>
      </c>
      <c r="CJ19" s="214" t="s">
        <v>143</v>
      </c>
      <c r="CK19" s="214" t="s">
        <v>143</v>
      </c>
      <c r="CL19" s="240"/>
      <c r="CM19" s="240"/>
      <c r="CR19" s="295"/>
      <c r="CS19" s="240"/>
      <c r="CT19" s="240"/>
      <c r="CU19" s="295"/>
      <c r="CZ19" s="240"/>
      <c r="DA19" s="240"/>
      <c r="DG19" s="240"/>
      <c r="DH19" s="240"/>
      <c r="DM19" s="215" t="s">
        <v>239</v>
      </c>
      <c r="DN19" s="240"/>
      <c r="DO19" s="240"/>
      <c r="DP19" s="249" t="s">
        <v>287</v>
      </c>
      <c r="DQ19" s="249" t="s">
        <v>287</v>
      </c>
      <c r="DR19" s="249" t="s">
        <v>287</v>
      </c>
      <c r="DU19" s="240"/>
      <c r="DV19" s="240"/>
      <c r="DW19" s="295"/>
      <c r="DY19" s="248" t="s">
        <v>339</v>
      </c>
      <c r="EB19" s="240"/>
      <c r="EC19" s="240"/>
      <c r="EI19" s="240"/>
      <c r="EJ19" s="240"/>
      <c r="EK19" s="213" t="s">
        <v>340</v>
      </c>
      <c r="EL19" s="213" t="s">
        <v>340</v>
      </c>
      <c r="EM19" s="213" t="s">
        <v>340</v>
      </c>
      <c r="EN19" s="213" t="s">
        <v>340</v>
      </c>
      <c r="EO19" s="213" t="s">
        <v>340</v>
      </c>
      <c r="EP19" s="240"/>
      <c r="EQ19" s="240"/>
      <c r="ER19" s="295"/>
      <c r="EW19" s="240"/>
      <c r="EX19" s="240"/>
      <c r="FD19" s="240"/>
      <c r="FE19" s="240"/>
      <c r="FK19" s="240"/>
      <c r="FL19" s="240"/>
      <c r="FR19" s="240"/>
      <c r="FS19" s="240"/>
      <c r="FY19" s="240"/>
      <c r="FZ19" s="240"/>
      <c r="GF19" s="240"/>
      <c r="GG19" s="240"/>
      <c r="GM19" s="240"/>
      <c r="GN19" s="240"/>
      <c r="GT19" s="240"/>
      <c r="GU19" s="240"/>
      <c r="HA19" s="240"/>
      <c r="HB19" s="240"/>
      <c r="HH19" s="240"/>
      <c r="HI19" s="240"/>
      <c r="HO19" s="240"/>
      <c r="HP19" s="240"/>
      <c r="HV19" s="240"/>
      <c r="HW19" s="240"/>
      <c r="IC19" s="240"/>
      <c r="ID19" s="240"/>
      <c r="IJ19" s="240"/>
      <c r="IK19" s="240"/>
      <c r="IL19" s="295"/>
      <c r="IQ19" s="240"/>
      <c r="IR19" s="240"/>
      <c r="IX19" s="240"/>
      <c r="IY19" s="240"/>
      <c r="JE19" s="240"/>
      <c r="JF19" s="240"/>
      <c r="JL19" s="240"/>
      <c r="JM19" s="240"/>
      <c r="JS19" s="240"/>
      <c r="JT19" s="240"/>
      <c r="JZ19" s="240"/>
      <c r="KA19" s="240"/>
      <c r="KG19" s="240"/>
      <c r="KH19" s="240"/>
      <c r="KN19" s="240"/>
      <c r="KO19" s="240"/>
      <c r="KU19" s="240"/>
      <c r="KV19" s="240"/>
      <c r="LB19" s="240"/>
      <c r="LC19" s="240"/>
      <c r="LI19" s="240"/>
      <c r="LJ19" s="240"/>
      <c r="LP19" s="240"/>
      <c r="LQ19" s="240"/>
      <c r="LW19" s="240"/>
      <c r="LX19" s="240"/>
      <c r="MD19" s="240"/>
      <c r="ME19" s="240"/>
      <c r="MK19" s="240"/>
      <c r="ML19" s="240"/>
      <c r="MR19" s="240"/>
      <c r="MS19" s="240"/>
      <c r="MX19" s="295"/>
      <c r="MY19" s="240"/>
      <c r="MZ19" s="240"/>
      <c r="NA19" s="295"/>
      <c r="NE19" s="295"/>
      <c r="NF19" s="240"/>
      <c r="NG19" s="240"/>
    </row>
    <row r="20" spans="1:371" ht="15" hidden="1">
      <c r="A20" s="214" t="s">
        <v>193</v>
      </c>
      <c r="B20" s="214" t="s">
        <v>38</v>
      </c>
      <c r="C20" s="251" t="s">
        <v>319</v>
      </c>
      <c r="D20" s="295" t="s">
        <v>250</v>
      </c>
      <c r="E20" s="246" t="s">
        <v>143</v>
      </c>
      <c r="F20" s="240"/>
      <c r="G20" s="240"/>
      <c r="H20" s="286" t="s">
        <v>143</v>
      </c>
      <c r="I20" s="286" t="s">
        <v>143</v>
      </c>
      <c r="J20" s="289" t="s">
        <v>341</v>
      </c>
      <c r="K20" s="277" t="s">
        <v>342</v>
      </c>
      <c r="L20" s="277" t="s">
        <v>342</v>
      </c>
      <c r="M20" s="240"/>
      <c r="N20" s="240"/>
      <c r="O20" s="247" t="s">
        <v>324</v>
      </c>
      <c r="P20" s="247" t="s">
        <v>343</v>
      </c>
      <c r="Q20" s="277" t="s">
        <v>342</v>
      </c>
      <c r="R20" s="277" t="s">
        <v>342</v>
      </c>
      <c r="S20" s="277" t="s">
        <v>342</v>
      </c>
      <c r="T20" s="240"/>
      <c r="U20" s="240"/>
      <c r="V20" s="296" t="s">
        <v>344</v>
      </c>
      <c r="W20" s="296" t="s">
        <v>243</v>
      </c>
      <c r="X20" s="296" t="s">
        <v>272</v>
      </c>
      <c r="Y20" s="296" t="s">
        <v>324</v>
      </c>
      <c r="Z20" s="296" t="s">
        <v>264</v>
      </c>
      <c r="AA20" s="240"/>
      <c r="AB20" s="240"/>
      <c r="AC20" s="289" t="s">
        <v>345</v>
      </c>
      <c r="AD20" s="289" t="s">
        <v>345</v>
      </c>
      <c r="AE20" s="289" t="s">
        <v>345</v>
      </c>
      <c r="AF20" s="277" t="s">
        <v>183</v>
      </c>
      <c r="AG20" s="277" t="s">
        <v>183</v>
      </c>
      <c r="AH20" s="240"/>
      <c r="AI20" s="240"/>
      <c r="AJ20" s="214" t="s">
        <v>143</v>
      </c>
      <c r="AK20" s="296" t="s">
        <v>246</v>
      </c>
      <c r="AL20" s="277" t="s">
        <v>346</v>
      </c>
      <c r="AM20" s="277" t="s">
        <v>183</v>
      </c>
      <c r="AN20" s="296" t="s">
        <v>347</v>
      </c>
      <c r="AO20" s="240"/>
      <c r="AP20" s="240"/>
      <c r="AQ20" s="243" t="s">
        <v>236</v>
      </c>
      <c r="AR20" s="214" t="s">
        <v>143</v>
      </c>
      <c r="AS20" s="243" t="s">
        <v>141</v>
      </c>
      <c r="AT20" s="296" t="s">
        <v>347</v>
      </c>
      <c r="AU20" s="296" t="s">
        <v>347</v>
      </c>
      <c r="AV20" s="240"/>
      <c r="AW20" s="240"/>
      <c r="AX20" s="277" t="s">
        <v>348</v>
      </c>
      <c r="AY20" s="277" t="s">
        <v>348</v>
      </c>
      <c r="AZ20" s="277" t="s">
        <v>348</v>
      </c>
      <c r="BA20" s="277" t="s">
        <v>348</v>
      </c>
      <c r="BB20" s="277" t="s">
        <v>348</v>
      </c>
      <c r="BC20" s="240"/>
      <c r="BD20" s="240"/>
      <c r="BE20" s="214" t="s">
        <v>143</v>
      </c>
      <c r="BF20" s="216" t="s">
        <v>349</v>
      </c>
      <c r="BG20" s="216" t="s">
        <v>350</v>
      </c>
      <c r="BH20" s="289" t="s">
        <v>351</v>
      </c>
      <c r="BI20" s="216" t="s">
        <v>349</v>
      </c>
      <c r="BJ20" s="240"/>
      <c r="BK20" s="240"/>
      <c r="BL20" s="216" t="s">
        <v>183</v>
      </c>
      <c r="BM20" s="216" t="s">
        <v>183</v>
      </c>
      <c r="BN20" s="216" t="s">
        <v>183</v>
      </c>
      <c r="BO20" s="216" t="s">
        <v>183</v>
      </c>
      <c r="BP20" s="243" t="s">
        <v>238</v>
      </c>
      <c r="BQ20" s="240"/>
      <c r="BR20" s="240"/>
      <c r="BS20" s="243" t="s">
        <v>141</v>
      </c>
      <c r="BT20" s="243" t="s">
        <v>141</v>
      </c>
      <c r="BU20" s="243" t="s">
        <v>141</v>
      </c>
      <c r="BV20" s="243" t="s">
        <v>141</v>
      </c>
      <c r="BW20" s="243" t="s">
        <v>141</v>
      </c>
      <c r="BX20" s="240"/>
      <c r="BY20" s="240"/>
      <c r="BZ20" s="243" t="s">
        <v>141</v>
      </c>
      <c r="CA20" s="243" t="s">
        <v>141</v>
      </c>
      <c r="CB20" s="243" t="s">
        <v>141</v>
      </c>
      <c r="CC20" s="243" t="s">
        <v>141</v>
      </c>
      <c r="CD20" s="243" t="s">
        <v>141</v>
      </c>
      <c r="CE20" s="240"/>
      <c r="CF20" s="240"/>
      <c r="CG20" s="244" t="s">
        <v>141</v>
      </c>
      <c r="CH20" s="216" t="s">
        <v>281</v>
      </c>
      <c r="CI20" s="216" t="s">
        <v>281</v>
      </c>
      <c r="CJ20" s="216" t="s">
        <v>281</v>
      </c>
      <c r="CK20" s="216" t="s">
        <v>281</v>
      </c>
      <c r="CL20" s="240"/>
      <c r="CM20" s="240"/>
      <c r="CN20" s="216" t="s">
        <v>281</v>
      </c>
      <c r="CO20" s="216" t="s">
        <v>281</v>
      </c>
      <c r="CP20" s="216" t="s">
        <v>281</v>
      </c>
      <c r="CQ20" s="216" t="s">
        <v>281</v>
      </c>
      <c r="CR20" s="295" t="s">
        <v>250</v>
      </c>
      <c r="CS20" s="240"/>
      <c r="CT20" s="240"/>
      <c r="CU20" s="295" t="s">
        <v>250</v>
      </c>
      <c r="CZ20" s="240"/>
      <c r="DA20" s="240"/>
      <c r="DG20" s="240"/>
      <c r="DH20" s="240"/>
      <c r="DM20" s="215" t="s">
        <v>239</v>
      </c>
      <c r="DN20" s="240"/>
      <c r="DO20" s="240"/>
      <c r="DP20" s="249" t="s">
        <v>287</v>
      </c>
      <c r="DQ20" s="249" t="s">
        <v>287</v>
      </c>
      <c r="DR20" s="249" t="s">
        <v>287</v>
      </c>
      <c r="DU20" s="240"/>
      <c r="DV20" s="240"/>
      <c r="DW20" s="295" t="s">
        <v>250</v>
      </c>
      <c r="EB20" s="240"/>
      <c r="EC20" s="240"/>
      <c r="EI20" s="240"/>
      <c r="EJ20" s="240"/>
      <c r="EP20" s="240"/>
      <c r="EQ20" s="240"/>
      <c r="ER20" s="295" t="s">
        <v>250</v>
      </c>
      <c r="EW20" s="240"/>
      <c r="EX20" s="240"/>
      <c r="FD20" s="240"/>
      <c r="FE20" s="240"/>
      <c r="FK20" s="240"/>
      <c r="FL20" s="240"/>
      <c r="FR20" s="240"/>
      <c r="FS20" s="240"/>
      <c r="FY20" s="240"/>
      <c r="FZ20" s="240"/>
      <c r="GF20" s="240"/>
      <c r="GG20" s="240"/>
      <c r="GM20" s="240"/>
      <c r="GN20" s="240"/>
      <c r="GT20" s="240"/>
      <c r="GU20" s="240"/>
      <c r="HA20" s="240"/>
      <c r="HB20" s="240"/>
      <c r="HH20" s="240"/>
      <c r="HI20" s="240"/>
      <c r="HO20" s="240"/>
      <c r="HP20" s="240"/>
      <c r="HV20" s="240"/>
      <c r="HW20" s="240"/>
      <c r="IC20" s="240"/>
      <c r="ID20" s="240"/>
      <c r="IJ20" s="240"/>
      <c r="IK20" s="240"/>
      <c r="IL20" s="295" t="s">
        <v>250</v>
      </c>
      <c r="IQ20" s="240"/>
      <c r="IR20" s="240"/>
      <c r="IX20" s="240"/>
      <c r="IY20" s="240"/>
      <c r="JE20" s="240"/>
      <c r="JF20" s="240"/>
      <c r="JL20" s="240"/>
      <c r="JM20" s="240"/>
      <c r="JS20" s="240"/>
      <c r="JT20" s="240"/>
      <c r="JZ20" s="240"/>
      <c r="KA20" s="240"/>
      <c r="KG20" s="240"/>
      <c r="KH20" s="240"/>
      <c r="KN20" s="240"/>
      <c r="KO20" s="240"/>
      <c r="KU20" s="240"/>
      <c r="KV20" s="240"/>
      <c r="LB20" s="240"/>
      <c r="LC20" s="240"/>
      <c r="LI20" s="240"/>
      <c r="LJ20" s="240"/>
      <c r="LP20" s="240"/>
      <c r="LQ20" s="240"/>
      <c r="LW20" s="240"/>
      <c r="LX20" s="240"/>
      <c r="MD20" s="240"/>
      <c r="ME20" s="240"/>
      <c r="MK20" s="240"/>
      <c r="ML20" s="240"/>
      <c r="MR20" s="240"/>
      <c r="MS20" s="240"/>
      <c r="MX20" s="295" t="s">
        <v>250</v>
      </c>
      <c r="MY20" s="240"/>
      <c r="MZ20" s="240"/>
      <c r="NA20" s="295" t="s">
        <v>250</v>
      </c>
      <c r="NE20" s="295" t="s">
        <v>250</v>
      </c>
      <c r="NF20" s="240"/>
      <c r="NG20" s="240"/>
    </row>
    <row r="21" spans="1:371">
      <c r="A21" s="252" t="s">
        <v>194</v>
      </c>
      <c r="B21" s="245"/>
      <c r="C21" s="250"/>
      <c r="D21" s="295" t="s">
        <v>263</v>
      </c>
      <c r="E21" s="245"/>
      <c r="F21" s="241"/>
      <c r="G21" s="241"/>
      <c r="H21" s="245"/>
      <c r="I21" s="245"/>
      <c r="J21" s="245"/>
      <c r="K21" s="245"/>
      <c r="L21" s="245"/>
      <c r="M21" s="241"/>
      <c r="N21" s="241"/>
      <c r="O21" s="245"/>
      <c r="P21" s="245"/>
      <c r="Q21" s="245"/>
      <c r="R21" s="245"/>
      <c r="S21" s="245"/>
      <c r="T21" s="241"/>
      <c r="U21" s="241"/>
      <c r="V21" s="245"/>
      <c r="W21" s="245"/>
      <c r="X21" s="245"/>
      <c r="Y21" s="245"/>
      <c r="Z21" s="245"/>
      <c r="AA21" s="241"/>
      <c r="AB21" s="241"/>
      <c r="AC21" s="245"/>
      <c r="AD21" s="245"/>
      <c r="AE21" s="245"/>
      <c r="AF21" s="245"/>
      <c r="AG21" s="245"/>
      <c r="AH21" s="241"/>
      <c r="AI21" s="241"/>
      <c r="AJ21" s="245"/>
      <c r="AK21" s="245"/>
      <c r="AL21" s="245"/>
      <c r="AM21" s="245"/>
      <c r="AN21" s="245"/>
      <c r="AO21" s="241"/>
      <c r="AP21" s="241"/>
      <c r="AQ21" s="245"/>
      <c r="AR21" s="245"/>
      <c r="AS21" s="245"/>
      <c r="AT21" s="245"/>
      <c r="AU21" s="245"/>
      <c r="AV21" s="241"/>
      <c r="AW21" s="241"/>
      <c r="AX21" s="245"/>
      <c r="AY21" s="245"/>
      <c r="AZ21" s="245"/>
      <c r="BA21" s="245"/>
      <c r="BB21" s="245"/>
      <c r="BC21" s="241"/>
      <c r="BD21" s="241"/>
      <c r="BE21" s="245"/>
      <c r="BF21" s="245"/>
      <c r="BG21" s="245"/>
      <c r="BH21" s="245"/>
      <c r="BI21" s="245"/>
      <c r="BJ21" s="241"/>
      <c r="BK21" s="241"/>
      <c r="BL21" s="245"/>
      <c r="BM21" s="245"/>
      <c r="BN21" s="245"/>
      <c r="BO21" s="245"/>
      <c r="BP21" s="245"/>
      <c r="BQ21" s="241"/>
      <c r="BR21" s="241"/>
      <c r="BS21" s="245"/>
      <c r="BT21" s="245"/>
      <c r="BU21" s="245"/>
      <c r="BV21" s="245"/>
      <c r="BW21" s="245"/>
      <c r="BX21" s="241"/>
      <c r="BY21" s="241"/>
      <c r="BZ21" s="245"/>
      <c r="CA21" s="245"/>
      <c r="CB21" s="245"/>
      <c r="CC21" s="245"/>
      <c r="CD21" s="245"/>
      <c r="CE21" s="241"/>
      <c r="CF21" s="241"/>
      <c r="CG21" s="245"/>
      <c r="CH21" s="245"/>
      <c r="CI21" s="245"/>
      <c r="CJ21" s="245"/>
      <c r="CK21" s="245"/>
      <c r="CL21" s="241"/>
      <c r="CM21" s="241"/>
      <c r="CN21" s="245"/>
      <c r="CO21" s="245"/>
      <c r="CP21" s="245"/>
      <c r="CQ21" s="245"/>
      <c r="CR21" s="262" t="s">
        <v>263</v>
      </c>
      <c r="CS21" s="241"/>
      <c r="CT21" s="241"/>
      <c r="CU21" s="262" t="s">
        <v>263</v>
      </c>
      <c r="CV21" s="245"/>
      <c r="CW21" s="245"/>
      <c r="CX21" s="245"/>
      <c r="CY21" s="245"/>
      <c r="CZ21" s="241"/>
      <c r="DA21" s="241"/>
      <c r="DB21" s="245"/>
      <c r="DC21" s="245"/>
      <c r="DD21" s="245"/>
      <c r="DE21" s="245"/>
      <c r="DF21" s="245"/>
      <c r="DG21" s="241"/>
      <c r="DH21" s="241"/>
      <c r="DI21" s="245"/>
      <c r="DJ21" s="245"/>
      <c r="DK21" s="245"/>
      <c r="DL21" s="245"/>
      <c r="DM21" s="245"/>
      <c r="DN21" s="241"/>
      <c r="DO21" s="241"/>
      <c r="DP21" s="245"/>
      <c r="DQ21" s="245"/>
      <c r="DR21" s="245"/>
      <c r="DS21" s="245"/>
      <c r="DT21" s="245"/>
      <c r="DU21" s="241"/>
      <c r="DV21" s="241"/>
      <c r="DW21" s="262" t="s">
        <v>263</v>
      </c>
      <c r="DX21" s="245"/>
      <c r="DY21" s="245"/>
      <c r="DZ21" s="245"/>
      <c r="EA21" s="245"/>
      <c r="EB21" s="241"/>
      <c r="EC21" s="241"/>
      <c r="ED21" s="245"/>
      <c r="EE21" s="245"/>
      <c r="EF21" s="245"/>
      <c r="EG21" s="245"/>
      <c r="EH21" s="245"/>
      <c r="EI21" s="241"/>
      <c r="EJ21" s="241"/>
      <c r="EK21" s="245"/>
      <c r="EL21" s="245"/>
      <c r="EM21" s="245"/>
      <c r="EN21" s="245"/>
      <c r="EO21" s="245"/>
      <c r="EP21" s="241"/>
      <c r="EQ21" s="241"/>
      <c r="ER21" s="262" t="s">
        <v>263</v>
      </c>
      <c r="ES21" s="245"/>
      <c r="ET21" s="245"/>
      <c r="EU21" s="245"/>
      <c r="EV21" s="245"/>
      <c r="EW21" s="241"/>
      <c r="EX21" s="241"/>
      <c r="EY21" s="245"/>
      <c r="EZ21" s="245"/>
      <c r="FA21" s="245"/>
      <c r="FB21" s="245"/>
      <c r="FC21" s="245"/>
      <c r="FD21" s="241"/>
      <c r="FE21" s="241"/>
      <c r="FF21" s="245"/>
      <c r="FG21" s="245"/>
      <c r="FH21" s="245"/>
      <c r="FI21" s="245"/>
      <c r="FJ21" s="245"/>
      <c r="FK21" s="241"/>
      <c r="FL21" s="241"/>
      <c r="FM21" s="245"/>
      <c r="FN21" s="245"/>
      <c r="FO21" s="245"/>
      <c r="FP21" s="245"/>
      <c r="FQ21" s="245"/>
      <c r="FR21" s="241"/>
      <c r="FS21" s="241"/>
      <c r="FT21" s="245"/>
      <c r="FU21" s="245"/>
      <c r="FV21" s="245"/>
      <c r="FW21" s="245"/>
      <c r="FX21" s="245"/>
      <c r="FY21" s="241"/>
      <c r="FZ21" s="241"/>
      <c r="GA21" s="245"/>
      <c r="GB21" s="245"/>
      <c r="GC21" s="245"/>
      <c r="GD21" s="245"/>
      <c r="GE21" s="245"/>
      <c r="GF21" s="241"/>
      <c r="GG21" s="241"/>
      <c r="GH21" s="245"/>
      <c r="GI21" s="245"/>
      <c r="GJ21" s="245"/>
      <c r="GK21" s="245"/>
      <c r="GL21" s="245"/>
      <c r="GM21" s="241"/>
      <c r="GN21" s="241"/>
      <c r="GO21" s="245"/>
      <c r="GP21" s="245"/>
      <c r="GQ21" s="245"/>
      <c r="GR21" s="245"/>
      <c r="GS21" s="245"/>
      <c r="GT21" s="241"/>
      <c r="GU21" s="241"/>
      <c r="GV21" s="245"/>
      <c r="GW21" s="245"/>
      <c r="GX21" s="245"/>
      <c r="GY21" s="245"/>
      <c r="GZ21" s="245"/>
      <c r="HA21" s="241"/>
      <c r="HB21" s="241"/>
      <c r="HC21" s="245"/>
      <c r="HD21" s="245"/>
      <c r="HE21" s="245"/>
      <c r="HF21" s="245"/>
      <c r="HG21" s="245"/>
      <c r="HH21" s="241"/>
      <c r="HI21" s="241"/>
      <c r="HJ21" s="245"/>
      <c r="HK21" s="245"/>
      <c r="HL21" s="245"/>
      <c r="HM21" s="245"/>
      <c r="HN21" s="245"/>
      <c r="HO21" s="241"/>
      <c r="HP21" s="241"/>
      <c r="HQ21" s="245"/>
      <c r="HR21" s="245"/>
      <c r="HS21" s="245"/>
      <c r="HT21" s="245"/>
      <c r="HU21" s="245"/>
      <c r="HV21" s="241"/>
      <c r="HW21" s="241"/>
      <c r="HX21" s="245"/>
      <c r="HY21" s="245"/>
      <c r="HZ21" s="245"/>
      <c r="IA21" s="245"/>
      <c r="IB21" s="245"/>
      <c r="IC21" s="241"/>
      <c r="ID21" s="241"/>
      <c r="IE21" s="245"/>
      <c r="IF21" s="245"/>
      <c r="IG21" s="245"/>
      <c r="IH21" s="245"/>
      <c r="II21" s="245"/>
      <c r="IJ21" s="241"/>
      <c r="IK21" s="241"/>
      <c r="IL21" s="262" t="s">
        <v>263</v>
      </c>
      <c r="IM21" s="245"/>
      <c r="IN21" s="245"/>
      <c r="IO21" s="245"/>
      <c r="IP21" s="245"/>
      <c r="IQ21" s="241"/>
      <c r="IR21" s="241"/>
      <c r="IS21" s="245"/>
      <c r="IT21" s="245"/>
      <c r="IU21" s="245"/>
      <c r="IV21" s="245"/>
      <c r="IW21" s="245"/>
      <c r="IX21" s="241"/>
      <c r="IY21" s="241"/>
      <c r="IZ21" s="245"/>
      <c r="JA21" s="245"/>
      <c r="JB21" s="245"/>
      <c r="JC21" s="245"/>
      <c r="JD21" s="245"/>
      <c r="JE21" s="241"/>
      <c r="JF21" s="241"/>
      <c r="JG21" s="245"/>
      <c r="JH21" s="245"/>
      <c r="JI21" s="245"/>
      <c r="JJ21" s="245"/>
      <c r="JK21" s="245"/>
      <c r="JL21" s="241"/>
      <c r="JM21" s="241"/>
      <c r="JN21" s="245"/>
      <c r="JO21" s="245"/>
      <c r="JP21" s="245"/>
      <c r="JQ21" s="245"/>
      <c r="JR21" s="245"/>
      <c r="JS21" s="241"/>
      <c r="JT21" s="241"/>
      <c r="JU21" s="245"/>
      <c r="JV21" s="245"/>
      <c r="JW21" s="245"/>
      <c r="JX21" s="245"/>
      <c r="JY21" s="245"/>
      <c r="JZ21" s="241"/>
      <c r="KA21" s="241"/>
      <c r="KB21" s="245"/>
      <c r="KC21" s="245"/>
      <c r="KD21" s="245"/>
      <c r="KE21" s="245"/>
      <c r="KF21" s="245"/>
      <c r="KG21" s="241"/>
      <c r="KH21" s="241"/>
      <c r="KI21" s="245"/>
      <c r="KJ21" s="245"/>
      <c r="KK21" s="245"/>
      <c r="KL21" s="245"/>
      <c r="KM21" s="245"/>
      <c r="KN21" s="241"/>
      <c r="KO21" s="241"/>
      <c r="KP21" s="245"/>
      <c r="KQ21" s="245"/>
      <c r="KR21" s="245"/>
      <c r="KS21" s="245"/>
      <c r="KT21" s="245"/>
      <c r="KU21" s="241"/>
      <c r="KV21" s="241"/>
      <c r="KW21" s="245"/>
      <c r="KX21" s="245"/>
      <c r="KY21" s="245"/>
      <c r="KZ21" s="245"/>
      <c r="LA21" s="245"/>
      <c r="LB21" s="241"/>
      <c r="LC21" s="241"/>
      <c r="LD21" s="245"/>
      <c r="LE21" s="245"/>
      <c r="LF21" s="245"/>
      <c r="LG21" s="245"/>
      <c r="LH21" s="245"/>
      <c r="LI21" s="241"/>
      <c r="LJ21" s="241"/>
      <c r="LK21" s="245"/>
      <c r="LL21" s="245"/>
      <c r="LM21" s="245"/>
      <c r="LN21" s="245"/>
      <c r="LO21" s="245"/>
      <c r="LP21" s="241"/>
      <c r="LQ21" s="241"/>
      <c r="LR21" s="245"/>
      <c r="LS21" s="245"/>
      <c r="LT21" s="245"/>
      <c r="LU21" s="245"/>
      <c r="LV21" s="245"/>
      <c r="LW21" s="241"/>
      <c r="LX21" s="241"/>
      <c r="LY21" s="245"/>
      <c r="LZ21" s="245"/>
      <c r="MA21" s="245"/>
      <c r="MB21" s="245"/>
      <c r="MC21" s="245"/>
      <c r="MD21" s="241"/>
      <c r="ME21" s="241"/>
      <c r="MF21" s="245"/>
      <c r="MG21" s="245"/>
      <c r="MH21" s="245"/>
      <c r="MI21" s="245"/>
      <c r="MJ21" s="245"/>
      <c r="MK21" s="241"/>
      <c r="ML21" s="241"/>
      <c r="MM21" s="245"/>
      <c r="MN21" s="245"/>
      <c r="MO21" s="245"/>
      <c r="MP21" s="245"/>
      <c r="MQ21" s="245"/>
      <c r="MR21" s="241"/>
      <c r="MS21" s="241"/>
      <c r="MT21" s="245"/>
      <c r="MU21" s="245"/>
      <c r="MV21" s="245"/>
      <c r="MW21" s="245"/>
      <c r="MX21" s="262" t="s">
        <v>263</v>
      </c>
      <c r="MY21" s="241"/>
      <c r="MZ21" s="241"/>
      <c r="NA21" s="262" t="s">
        <v>263</v>
      </c>
      <c r="NB21" s="245"/>
      <c r="NC21" s="245"/>
      <c r="ND21" s="245"/>
      <c r="NE21" s="262" t="s">
        <v>263</v>
      </c>
      <c r="NF21" s="241"/>
      <c r="NG21" s="241"/>
    </row>
    <row r="22" spans="1:371" ht="15">
      <c r="A22" s="50" t="s">
        <v>352</v>
      </c>
      <c r="B22" s="50" t="s">
        <v>15</v>
      </c>
      <c r="C22" s="255" t="s">
        <v>170</v>
      </c>
      <c r="D22" s="295" t="s">
        <v>268</v>
      </c>
      <c r="E22" s="243" t="s">
        <v>141</v>
      </c>
      <c r="F22" s="240"/>
      <c r="G22" s="240"/>
      <c r="H22" s="214" t="s">
        <v>143</v>
      </c>
      <c r="I22" s="214" t="s">
        <v>143</v>
      </c>
      <c r="J22" s="214" t="s">
        <v>143</v>
      </c>
      <c r="K22" s="214" t="s">
        <v>143</v>
      </c>
      <c r="L22" s="214" t="s">
        <v>143</v>
      </c>
      <c r="M22" s="240"/>
      <c r="N22" s="240"/>
      <c r="O22" s="286" t="s">
        <v>143</v>
      </c>
      <c r="P22" s="286" t="s">
        <v>143</v>
      </c>
      <c r="Q22" s="286" t="s">
        <v>143</v>
      </c>
      <c r="R22" s="286" t="s">
        <v>143</v>
      </c>
      <c r="S22" s="286" t="s">
        <v>143</v>
      </c>
      <c r="T22" s="240"/>
      <c r="U22" s="240"/>
      <c r="V22" s="214" t="s">
        <v>143</v>
      </c>
      <c r="W22" s="214" t="s">
        <v>143</v>
      </c>
      <c r="X22" s="214" t="s">
        <v>143</v>
      </c>
      <c r="Y22" s="214" t="s">
        <v>143</v>
      </c>
      <c r="Z22" s="214" t="s">
        <v>143</v>
      </c>
      <c r="AA22" s="240"/>
      <c r="AB22" s="240"/>
      <c r="AC22" s="214" t="s">
        <v>143</v>
      </c>
      <c r="AD22" s="82" t="s">
        <v>353</v>
      </c>
      <c r="AE22" s="214" t="s">
        <v>143</v>
      </c>
      <c r="AF22" s="82" t="s">
        <v>354</v>
      </c>
      <c r="AG22" s="214" t="s">
        <v>143</v>
      </c>
      <c r="AH22" s="240"/>
      <c r="AI22" s="240"/>
      <c r="AJ22" s="214" t="s">
        <v>143</v>
      </c>
      <c r="AK22" s="214" t="s">
        <v>143</v>
      </c>
      <c r="AL22" s="214" t="s">
        <v>143</v>
      </c>
      <c r="AM22" s="214" t="s">
        <v>143</v>
      </c>
      <c r="AN22" s="214" t="s">
        <v>143</v>
      </c>
      <c r="AO22" s="240"/>
      <c r="AP22" s="240"/>
      <c r="AQ22" s="214" t="s">
        <v>143</v>
      </c>
      <c r="AR22" s="214" t="s">
        <v>143</v>
      </c>
      <c r="AS22" s="214" t="s">
        <v>143</v>
      </c>
      <c r="AT22" s="214" t="s">
        <v>143</v>
      </c>
      <c r="AU22" s="214" t="s">
        <v>143</v>
      </c>
      <c r="AV22" s="240"/>
      <c r="AW22" s="240"/>
      <c r="AX22" s="214" t="s">
        <v>143</v>
      </c>
      <c r="AY22" s="244" t="s">
        <v>141</v>
      </c>
      <c r="AZ22" s="244" t="s">
        <v>141</v>
      </c>
      <c r="BA22" s="244" t="s">
        <v>141</v>
      </c>
      <c r="BB22" s="214" t="s">
        <v>143</v>
      </c>
      <c r="BC22" s="240"/>
      <c r="BD22" s="240"/>
      <c r="BE22" s="214" t="s">
        <v>143</v>
      </c>
      <c r="BF22" s="294" t="s">
        <v>238</v>
      </c>
      <c r="BG22" s="214" t="s">
        <v>143</v>
      </c>
      <c r="BH22" s="214" t="s">
        <v>143</v>
      </c>
      <c r="BI22" s="244" t="s">
        <v>141</v>
      </c>
      <c r="BJ22" s="240"/>
      <c r="BK22" s="240"/>
      <c r="BL22" s="214" t="s">
        <v>143</v>
      </c>
      <c r="BM22" s="214" t="s">
        <v>143</v>
      </c>
      <c r="BN22" s="289" t="s">
        <v>355</v>
      </c>
      <c r="BO22" s="214" t="s">
        <v>143</v>
      </c>
      <c r="BP22" s="214" t="s">
        <v>143</v>
      </c>
      <c r="BQ22" s="240"/>
      <c r="BR22" s="240"/>
      <c r="BS22" s="214" t="s">
        <v>143</v>
      </c>
      <c r="BT22" s="214" t="s">
        <v>143</v>
      </c>
      <c r="BU22" s="214" t="s">
        <v>143</v>
      </c>
      <c r="BV22" s="214" t="s">
        <v>143</v>
      </c>
      <c r="BW22" s="214" t="s">
        <v>143</v>
      </c>
      <c r="BX22" s="240"/>
      <c r="BY22" s="240"/>
      <c r="BZ22" s="243" t="s">
        <v>238</v>
      </c>
      <c r="CA22" s="214" t="s">
        <v>143</v>
      </c>
      <c r="CB22" s="214" t="s">
        <v>143</v>
      </c>
      <c r="CC22" s="214" t="s">
        <v>143</v>
      </c>
      <c r="CD22" s="243" t="s">
        <v>141</v>
      </c>
      <c r="CE22" s="240"/>
      <c r="CF22" s="240"/>
      <c r="CG22" s="214" t="s">
        <v>143</v>
      </c>
      <c r="CH22" s="214" t="s">
        <v>143</v>
      </c>
      <c r="CI22" s="293" t="s">
        <v>141</v>
      </c>
      <c r="CJ22" s="293" t="s">
        <v>141</v>
      </c>
      <c r="CK22" s="214" t="s">
        <v>143</v>
      </c>
      <c r="CL22" s="240"/>
      <c r="CM22" s="240"/>
      <c r="CN22" s="243" t="s">
        <v>141</v>
      </c>
      <c r="CO22" s="243" t="s">
        <v>141</v>
      </c>
      <c r="CR22" s="295" t="s">
        <v>268</v>
      </c>
      <c r="CS22" s="240"/>
      <c r="CT22" s="240"/>
      <c r="CU22" s="295" t="s">
        <v>268</v>
      </c>
      <c r="CX22" s="243" t="s">
        <v>141</v>
      </c>
      <c r="CZ22" s="240"/>
      <c r="DA22" s="240"/>
      <c r="DG22" s="240"/>
      <c r="DH22" s="240"/>
      <c r="DM22" s="215" t="s">
        <v>239</v>
      </c>
      <c r="DN22" s="240"/>
      <c r="DO22" s="240"/>
      <c r="DP22" s="249" t="s">
        <v>287</v>
      </c>
      <c r="DQ22" s="249" t="s">
        <v>287</v>
      </c>
      <c r="DR22" s="249" t="s">
        <v>287</v>
      </c>
      <c r="DU22" s="240"/>
      <c r="DV22" s="240"/>
      <c r="DW22" s="295" t="s">
        <v>268</v>
      </c>
      <c r="EB22" s="240"/>
      <c r="EC22" s="240"/>
      <c r="EI22" s="240"/>
      <c r="EJ22" s="240"/>
      <c r="EP22" s="240"/>
      <c r="EQ22" s="240"/>
      <c r="ER22" s="295" t="s">
        <v>268</v>
      </c>
      <c r="EW22" s="240"/>
      <c r="EX22" s="240"/>
      <c r="FD22" s="240"/>
      <c r="FE22" s="240"/>
      <c r="FK22" s="240"/>
      <c r="FL22" s="240"/>
      <c r="FR22" s="240"/>
      <c r="FS22" s="240"/>
      <c r="FY22" s="240"/>
      <c r="FZ22" s="240"/>
      <c r="GF22" s="240"/>
      <c r="GG22" s="240"/>
      <c r="GM22" s="240"/>
      <c r="GN22" s="240"/>
      <c r="GT22" s="240"/>
      <c r="GU22" s="240"/>
      <c r="HA22" s="240"/>
      <c r="HB22" s="240"/>
      <c r="HH22" s="240"/>
      <c r="HI22" s="240"/>
      <c r="HO22" s="240"/>
      <c r="HP22" s="240"/>
      <c r="HV22" s="240"/>
      <c r="HW22" s="240"/>
      <c r="IC22" s="240"/>
      <c r="ID22" s="240"/>
      <c r="IJ22" s="240"/>
      <c r="IK22" s="240"/>
      <c r="IL22" s="295" t="s">
        <v>268</v>
      </c>
      <c r="IQ22" s="240"/>
      <c r="IR22" s="240"/>
      <c r="IX22" s="240"/>
      <c r="IY22" s="240"/>
      <c r="JE22" s="240"/>
      <c r="JF22" s="240"/>
      <c r="JL22" s="240"/>
      <c r="JM22" s="240"/>
      <c r="JS22" s="240"/>
      <c r="JT22" s="240"/>
      <c r="JZ22" s="240"/>
      <c r="KA22" s="240"/>
      <c r="KG22" s="240"/>
      <c r="KH22" s="240"/>
      <c r="KN22" s="240"/>
      <c r="KO22" s="240"/>
      <c r="KU22" s="240"/>
      <c r="KV22" s="240"/>
      <c r="LB22" s="240"/>
      <c r="LC22" s="240"/>
      <c r="LI22" s="240"/>
      <c r="LJ22" s="240"/>
      <c r="LP22" s="240"/>
      <c r="LQ22" s="240"/>
      <c r="LW22" s="240"/>
      <c r="LX22" s="240"/>
      <c r="MD22" s="240"/>
      <c r="ME22" s="240"/>
      <c r="MK22" s="240"/>
      <c r="ML22" s="240"/>
      <c r="MR22" s="240"/>
      <c r="MS22" s="240"/>
      <c r="MX22" s="295" t="s">
        <v>268</v>
      </c>
      <c r="MY22" s="240"/>
      <c r="MZ22" s="240"/>
      <c r="NA22" s="295" t="s">
        <v>268</v>
      </c>
      <c r="NE22" s="295" t="s">
        <v>268</v>
      </c>
      <c r="NF22" s="240"/>
      <c r="NG22" s="240"/>
    </row>
    <row r="23" spans="1:371" ht="15">
      <c r="A23" s="50" t="s">
        <v>193</v>
      </c>
      <c r="B23" s="50" t="s">
        <v>356</v>
      </c>
      <c r="C23" s="255"/>
      <c r="D23" s="295"/>
      <c r="E23" s="243"/>
      <c r="F23" s="240"/>
      <c r="G23" s="240"/>
      <c r="H23" s="214"/>
      <c r="I23" s="214"/>
      <c r="J23" s="214"/>
      <c r="K23" s="214"/>
      <c r="L23" s="214"/>
      <c r="M23" s="240"/>
      <c r="N23" s="240"/>
      <c r="O23" s="286"/>
      <c r="P23" s="286"/>
      <c r="Q23" s="286"/>
      <c r="R23" s="286"/>
      <c r="S23" s="286"/>
      <c r="T23" s="240"/>
      <c r="U23" s="240"/>
      <c r="V23" s="214"/>
      <c r="W23" s="214"/>
      <c r="X23" s="214"/>
      <c r="Y23" s="214"/>
      <c r="Z23" s="214"/>
      <c r="AA23" s="240"/>
      <c r="AB23" s="240"/>
      <c r="AC23" s="214"/>
      <c r="AD23" s="82"/>
      <c r="AE23" s="214"/>
      <c r="AF23" s="82"/>
      <c r="AG23" s="214"/>
      <c r="AH23" s="240"/>
      <c r="AI23" s="240"/>
      <c r="AJ23" s="214"/>
      <c r="AK23" s="214"/>
      <c r="AL23" s="214"/>
      <c r="AM23" s="214"/>
      <c r="AN23" s="214"/>
      <c r="AO23" s="240"/>
      <c r="AP23" s="240"/>
      <c r="AQ23" s="214"/>
      <c r="AR23" s="214"/>
      <c r="AS23" s="214"/>
      <c r="AT23" s="214"/>
      <c r="AU23" s="214"/>
      <c r="AV23" s="240"/>
      <c r="AW23" s="240"/>
      <c r="AX23" s="214"/>
      <c r="AY23" s="244"/>
      <c r="AZ23" s="244"/>
      <c r="BA23" s="244"/>
      <c r="BB23" s="214"/>
      <c r="BC23" s="240"/>
      <c r="BD23" s="240"/>
      <c r="BE23" s="214"/>
      <c r="BF23" s="294"/>
      <c r="BG23" s="214"/>
      <c r="BH23" s="214"/>
      <c r="BI23" s="244"/>
      <c r="BJ23" s="240"/>
      <c r="BK23" s="240"/>
      <c r="BL23" s="214"/>
      <c r="BM23" s="214"/>
      <c r="BN23" s="289"/>
      <c r="BO23" s="214"/>
      <c r="BP23" s="214"/>
      <c r="BQ23" s="240"/>
      <c r="BR23" s="240"/>
      <c r="BS23" s="243" t="s">
        <v>141</v>
      </c>
      <c r="BT23" s="243" t="s">
        <v>141</v>
      </c>
      <c r="BU23" s="243" t="s">
        <v>141</v>
      </c>
      <c r="BV23" s="243" t="s">
        <v>141</v>
      </c>
      <c r="BW23" s="243" t="s">
        <v>141</v>
      </c>
      <c r="BX23" s="240"/>
      <c r="BY23" s="240"/>
      <c r="BZ23" s="243" t="s">
        <v>141</v>
      </c>
      <c r="CA23" s="243" t="s">
        <v>141</v>
      </c>
      <c r="CB23" s="243" t="s">
        <v>141</v>
      </c>
      <c r="CC23" s="243" t="s">
        <v>141</v>
      </c>
      <c r="CD23" s="243" t="s">
        <v>141</v>
      </c>
      <c r="CE23" s="240"/>
      <c r="CF23" s="240"/>
      <c r="CG23" s="244" t="s">
        <v>141</v>
      </c>
      <c r="CH23" s="214" t="s">
        <v>143</v>
      </c>
      <c r="CI23" s="214" t="s">
        <v>143</v>
      </c>
      <c r="CJ23" s="214" t="s">
        <v>143</v>
      </c>
      <c r="CK23" s="214" t="s">
        <v>143</v>
      </c>
      <c r="CL23" s="240"/>
      <c r="CM23" s="240"/>
      <c r="CR23" s="295"/>
      <c r="CS23" s="240"/>
      <c r="CT23" s="240"/>
      <c r="CU23" s="295"/>
      <c r="CZ23" s="240"/>
      <c r="DA23" s="240"/>
      <c r="DG23" s="240"/>
      <c r="DH23" s="240"/>
      <c r="DM23" s="215" t="s">
        <v>239</v>
      </c>
      <c r="DN23" s="240"/>
      <c r="DO23" s="240"/>
      <c r="DP23" s="249" t="s">
        <v>287</v>
      </c>
      <c r="DQ23" s="249" t="s">
        <v>287</v>
      </c>
      <c r="DR23" s="249" t="s">
        <v>287</v>
      </c>
      <c r="DU23" s="240"/>
      <c r="DV23" s="240"/>
      <c r="DW23" s="295"/>
      <c r="EB23" s="240"/>
      <c r="EC23" s="240"/>
      <c r="EI23" s="240"/>
      <c r="EJ23" s="240"/>
      <c r="EP23" s="240"/>
      <c r="EQ23" s="240"/>
      <c r="ER23" s="295"/>
      <c r="EW23" s="240"/>
      <c r="EX23" s="240"/>
      <c r="FD23" s="240"/>
      <c r="FE23" s="240"/>
      <c r="FK23" s="240"/>
      <c r="FL23" s="240"/>
      <c r="FR23" s="240"/>
      <c r="FS23" s="240"/>
      <c r="FY23" s="240"/>
      <c r="FZ23" s="240"/>
      <c r="GF23" s="240"/>
      <c r="GG23" s="240"/>
      <c r="GM23" s="240"/>
      <c r="GN23" s="240"/>
      <c r="GT23" s="240"/>
      <c r="GU23" s="240"/>
      <c r="HA23" s="240"/>
      <c r="HB23" s="240"/>
      <c r="HH23" s="240"/>
      <c r="HI23" s="240"/>
      <c r="HO23" s="240"/>
      <c r="HP23" s="240"/>
      <c r="HV23" s="240"/>
      <c r="HW23" s="240"/>
      <c r="IC23" s="240"/>
      <c r="ID23" s="240"/>
      <c r="IJ23" s="240"/>
      <c r="IK23" s="240"/>
      <c r="IL23" s="295"/>
      <c r="IQ23" s="240"/>
      <c r="IR23" s="240"/>
      <c r="IX23" s="240"/>
      <c r="IY23" s="240"/>
      <c r="JE23" s="240"/>
      <c r="JF23" s="240"/>
      <c r="JL23" s="240"/>
      <c r="JM23" s="240"/>
      <c r="JS23" s="240"/>
      <c r="JT23" s="240"/>
      <c r="JZ23" s="240"/>
      <c r="KA23" s="240"/>
      <c r="KG23" s="240"/>
      <c r="KH23" s="240"/>
      <c r="KN23" s="240"/>
      <c r="KO23" s="240"/>
      <c r="KU23" s="240"/>
      <c r="KV23" s="240"/>
      <c r="LB23" s="240"/>
      <c r="LC23" s="240"/>
      <c r="LI23" s="240"/>
      <c r="LJ23" s="240"/>
      <c r="LP23" s="240"/>
      <c r="LQ23" s="240"/>
      <c r="LW23" s="240"/>
      <c r="LX23" s="240"/>
      <c r="MD23" s="240"/>
      <c r="ME23" s="240"/>
      <c r="MK23" s="240"/>
      <c r="ML23" s="240"/>
      <c r="MR23" s="240"/>
      <c r="MS23" s="240"/>
      <c r="MX23" s="295"/>
      <c r="MY23" s="240"/>
      <c r="MZ23" s="240"/>
      <c r="NA23" s="295"/>
      <c r="NE23" s="295"/>
      <c r="NF23" s="240"/>
      <c r="NG23" s="240"/>
    </row>
    <row r="24" spans="1:371" ht="15" hidden="1">
      <c r="A24" s="50" t="s">
        <v>357</v>
      </c>
      <c r="B24" s="50" t="s">
        <v>15</v>
      </c>
      <c r="C24" s="255" t="s">
        <v>170</v>
      </c>
      <c r="D24" s="295"/>
      <c r="F24" s="240"/>
      <c r="G24" s="240"/>
      <c r="H24" s="214" t="s">
        <v>143</v>
      </c>
      <c r="I24" s="214" t="s">
        <v>143</v>
      </c>
      <c r="J24" s="214" t="s">
        <v>143</v>
      </c>
      <c r="K24" s="214" t="s">
        <v>143</v>
      </c>
      <c r="L24" s="214" t="s">
        <v>143</v>
      </c>
      <c r="M24" s="240"/>
      <c r="N24" s="240"/>
      <c r="T24" s="240"/>
      <c r="U24" s="240"/>
      <c r="AA24" s="240"/>
      <c r="AB24" s="240"/>
      <c r="AG24" s="214" t="s">
        <v>143</v>
      </c>
      <c r="AH24" s="240"/>
      <c r="AI24" s="240"/>
      <c r="AO24" s="240"/>
      <c r="AP24" s="240"/>
      <c r="AV24" s="240"/>
      <c r="AW24" s="240"/>
      <c r="BC24" s="240"/>
      <c r="BD24" s="240"/>
      <c r="BJ24" s="240"/>
      <c r="BK24" s="240"/>
      <c r="BQ24" s="240"/>
      <c r="BR24" s="240"/>
      <c r="BS24" s="214" t="s">
        <v>143</v>
      </c>
      <c r="BT24" s="214" t="s">
        <v>143</v>
      </c>
      <c r="BU24" s="214" t="s">
        <v>143</v>
      </c>
      <c r="BV24" s="214" t="s">
        <v>143</v>
      </c>
      <c r="BW24" s="214" t="s">
        <v>143</v>
      </c>
      <c r="BX24" s="240"/>
      <c r="BY24" s="240"/>
      <c r="CA24" s="214" t="s">
        <v>143</v>
      </c>
      <c r="CB24" s="214" t="s">
        <v>143</v>
      </c>
      <c r="CC24" s="214" t="s">
        <v>143</v>
      </c>
      <c r="CD24" s="214" t="s">
        <v>143</v>
      </c>
      <c r="CE24" s="240"/>
      <c r="CF24" s="240"/>
      <c r="CL24" s="240"/>
      <c r="CM24" s="240"/>
      <c r="CR24" s="295"/>
      <c r="CS24" s="240"/>
      <c r="CT24" s="240"/>
      <c r="CU24" s="295"/>
      <c r="CZ24" s="240"/>
      <c r="DA24" s="240"/>
      <c r="DG24" s="240"/>
      <c r="DH24" s="240"/>
      <c r="DM24" s="215" t="s">
        <v>239</v>
      </c>
      <c r="DN24" s="240"/>
      <c r="DO24" s="240"/>
      <c r="DU24" s="240"/>
      <c r="DV24" s="240"/>
      <c r="DW24" s="295"/>
      <c r="EB24" s="240"/>
      <c r="EC24" s="240"/>
      <c r="EI24" s="240"/>
      <c r="EJ24" s="240"/>
      <c r="EP24" s="240"/>
      <c r="EQ24" s="240"/>
      <c r="ER24" s="295"/>
      <c r="EW24" s="240"/>
      <c r="EX24" s="240"/>
      <c r="FD24" s="240"/>
      <c r="FE24" s="240"/>
      <c r="FK24" s="240"/>
      <c r="FL24" s="240"/>
      <c r="FR24" s="240"/>
      <c r="FS24" s="240"/>
      <c r="FY24" s="240"/>
      <c r="FZ24" s="240"/>
      <c r="GF24" s="240"/>
      <c r="GG24" s="240"/>
      <c r="GM24" s="240"/>
      <c r="GN24" s="240"/>
      <c r="GT24" s="240"/>
      <c r="GU24" s="240"/>
      <c r="HA24" s="240"/>
      <c r="HB24" s="240"/>
      <c r="HH24" s="240"/>
      <c r="HI24" s="240"/>
      <c r="HO24" s="240"/>
      <c r="HP24" s="240"/>
      <c r="HV24" s="240"/>
      <c r="HW24" s="240"/>
      <c r="IC24" s="240"/>
      <c r="ID24" s="240"/>
      <c r="IJ24" s="240"/>
      <c r="IK24" s="240"/>
      <c r="IL24" s="295"/>
      <c r="IQ24" s="240"/>
      <c r="IR24" s="240"/>
      <c r="IX24" s="240"/>
      <c r="IY24" s="240"/>
      <c r="JE24" s="240"/>
      <c r="JF24" s="240"/>
      <c r="JL24" s="240"/>
      <c r="JM24" s="240"/>
      <c r="JS24" s="240"/>
      <c r="JT24" s="240"/>
      <c r="JZ24" s="240"/>
      <c r="KA24" s="240"/>
      <c r="KG24" s="240"/>
      <c r="KH24" s="240"/>
      <c r="KN24" s="240"/>
      <c r="KO24" s="240"/>
      <c r="KU24" s="240"/>
      <c r="KV24" s="240"/>
      <c r="LB24" s="240"/>
      <c r="LC24" s="240"/>
      <c r="LI24" s="240"/>
      <c r="LJ24" s="240"/>
      <c r="LP24" s="240"/>
      <c r="LQ24" s="240"/>
      <c r="LW24" s="240"/>
      <c r="LX24" s="240"/>
      <c r="MD24" s="240"/>
      <c r="ME24" s="240"/>
      <c r="MK24" s="240"/>
      <c r="ML24" s="240"/>
      <c r="MR24" s="240"/>
      <c r="MS24" s="240"/>
      <c r="MX24" s="295"/>
      <c r="MY24" s="240"/>
      <c r="MZ24" s="240"/>
      <c r="NA24" s="295"/>
      <c r="NE24" s="295"/>
      <c r="NF24" s="240"/>
      <c r="NG24" s="240"/>
    </row>
    <row r="25" spans="1:371" ht="15" hidden="1">
      <c r="A25" s="50" t="s">
        <v>199</v>
      </c>
      <c r="B25" s="50" t="s">
        <v>15</v>
      </c>
      <c r="C25" s="255" t="s">
        <v>170</v>
      </c>
      <c r="D25" s="295" t="s">
        <v>270</v>
      </c>
      <c r="E25" s="246" t="s">
        <v>143</v>
      </c>
      <c r="F25" s="240"/>
      <c r="G25" s="240"/>
      <c r="H25" s="214" t="s">
        <v>143</v>
      </c>
      <c r="I25" s="214" t="s">
        <v>143</v>
      </c>
      <c r="J25" s="287"/>
      <c r="K25" s="287"/>
      <c r="L25" s="214" t="s">
        <v>143</v>
      </c>
      <c r="M25" s="240"/>
      <c r="N25" s="240"/>
      <c r="O25" s="286" t="s">
        <v>143</v>
      </c>
      <c r="P25" s="286" t="s">
        <v>143</v>
      </c>
      <c r="Q25" s="287"/>
      <c r="R25" s="287"/>
      <c r="S25" s="244" t="s">
        <v>141</v>
      </c>
      <c r="T25" s="240"/>
      <c r="U25" s="240"/>
      <c r="V25" s="214" t="s">
        <v>143</v>
      </c>
      <c r="W25" s="214" t="s">
        <v>143</v>
      </c>
      <c r="X25" s="287"/>
      <c r="Y25" s="287"/>
      <c r="Z25" s="214" t="s">
        <v>143</v>
      </c>
      <c r="AA25" s="240"/>
      <c r="AB25" s="240"/>
      <c r="AC25" s="287"/>
      <c r="AD25" s="214" t="s">
        <v>143</v>
      </c>
      <c r="AE25" s="287"/>
      <c r="AF25" s="287"/>
      <c r="AG25" s="214" t="s">
        <v>143</v>
      </c>
      <c r="AH25" s="240"/>
      <c r="AI25" s="240"/>
      <c r="AJ25" s="214" t="s">
        <v>143</v>
      </c>
      <c r="AK25" s="214" t="s">
        <v>143</v>
      </c>
      <c r="AL25" s="287"/>
      <c r="AM25" s="287"/>
      <c r="AN25" s="214" t="s">
        <v>143</v>
      </c>
      <c r="AO25" s="240"/>
      <c r="AP25" s="240"/>
      <c r="AQ25" s="214" t="s">
        <v>143</v>
      </c>
      <c r="AR25" s="214" t="s">
        <v>143</v>
      </c>
      <c r="AS25" s="287"/>
      <c r="AT25" s="287"/>
      <c r="AU25" s="214" t="s">
        <v>143</v>
      </c>
      <c r="AV25" s="240"/>
      <c r="AW25" s="240"/>
      <c r="AX25" s="214" t="s">
        <v>143</v>
      </c>
      <c r="AY25" s="214" t="s">
        <v>143</v>
      </c>
      <c r="AZ25" s="287"/>
      <c r="BA25" s="287"/>
      <c r="BB25" s="214" t="s">
        <v>143</v>
      </c>
      <c r="BC25" s="240"/>
      <c r="BD25" s="240"/>
      <c r="BE25" s="214" t="s">
        <v>143</v>
      </c>
      <c r="BF25" s="287"/>
      <c r="BG25" s="287"/>
      <c r="BH25" s="287"/>
      <c r="BI25" s="287"/>
      <c r="BJ25" s="240"/>
      <c r="BK25" s="240"/>
      <c r="BL25" s="287"/>
      <c r="BM25" s="287"/>
      <c r="BN25" s="287"/>
      <c r="BO25" s="287"/>
      <c r="BP25" s="287"/>
      <c r="BQ25" s="240"/>
      <c r="BR25" s="240"/>
      <c r="BS25" s="214" t="s">
        <v>143</v>
      </c>
      <c r="BT25" s="214" t="s">
        <v>143</v>
      </c>
      <c r="BU25" s="214" t="s">
        <v>143</v>
      </c>
      <c r="BV25" s="214" t="s">
        <v>143</v>
      </c>
      <c r="BW25" s="214" t="s">
        <v>143</v>
      </c>
      <c r="BX25" s="240"/>
      <c r="BY25" s="240"/>
      <c r="CA25" s="214" t="s">
        <v>143</v>
      </c>
      <c r="CB25" s="214" t="s">
        <v>143</v>
      </c>
      <c r="CC25" s="214" t="s">
        <v>143</v>
      </c>
      <c r="CD25" s="214" t="s">
        <v>143</v>
      </c>
      <c r="CE25" s="240"/>
      <c r="CF25" s="240"/>
      <c r="CI25" s="287"/>
      <c r="CJ25" s="287"/>
      <c r="CL25" s="240"/>
      <c r="CM25" s="240"/>
      <c r="CR25" s="295" t="s">
        <v>270</v>
      </c>
      <c r="CS25" s="240"/>
      <c r="CT25" s="240"/>
      <c r="CU25" s="295" t="s">
        <v>270</v>
      </c>
      <c r="CZ25" s="240"/>
      <c r="DA25" s="240"/>
      <c r="DG25" s="240"/>
      <c r="DH25" s="240"/>
      <c r="DM25" s="215" t="s">
        <v>239</v>
      </c>
      <c r="DN25" s="240"/>
      <c r="DO25" s="240"/>
      <c r="DU25" s="240"/>
      <c r="DV25" s="240"/>
      <c r="DW25" s="295" t="s">
        <v>270</v>
      </c>
      <c r="EB25" s="240"/>
      <c r="EC25" s="240"/>
      <c r="EI25" s="240"/>
      <c r="EJ25" s="240"/>
      <c r="EP25" s="240"/>
      <c r="EQ25" s="240"/>
      <c r="ER25" s="295" t="s">
        <v>270</v>
      </c>
      <c r="EW25" s="240"/>
      <c r="EX25" s="240"/>
      <c r="FD25" s="240"/>
      <c r="FE25" s="240"/>
      <c r="FK25" s="240"/>
      <c r="FL25" s="240"/>
      <c r="FR25" s="240"/>
      <c r="FS25" s="240"/>
      <c r="FY25" s="240"/>
      <c r="FZ25" s="240"/>
      <c r="GF25" s="240"/>
      <c r="GG25" s="240"/>
      <c r="GM25" s="240"/>
      <c r="GN25" s="240"/>
      <c r="GT25" s="240"/>
      <c r="GU25" s="240"/>
      <c r="HA25" s="240"/>
      <c r="HB25" s="240"/>
      <c r="HH25" s="240"/>
      <c r="HI25" s="240"/>
      <c r="HO25" s="240"/>
      <c r="HP25" s="240"/>
      <c r="HV25" s="240"/>
      <c r="HW25" s="240"/>
      <c r="IC25" s="240"/>
      <c r="ID25" s="240"/>
      <c r="IJ25" s="240"/>
      <c r="IK25" s="240"/>
      <c r="IL25" s="295" t="s">
        <v>270</v>
      </c>
      <c r="IQ25" s="240"/>
      <c r="IR25" s="240"/>
      <c r="IX25" s="240"/>
      <c r="IY25" s="240"/>
      <c r="JE25" s="240"/>
      <c r="JF25" s="240"/>
      <c r="JL25" s="240"/>
      <c r="JM25" s="240"/>
      <c r="JS25" s="240"/>
      <c r="JT25" s="240"/>
      <c r="JZ25" s="240"/>
      <c r="KA25" s="240"/>
      <c r="KG25" s="240"/>
      <c r="KH25" s="240"/>
      <c r="KN25" s="240"/>
      <c r="KO25" s="240"/>
      <c r="KU25" s="240"/>
      <c r="KV25" s="240"/>
      <c r="LB25" s="240"/>
      <c r="LC25" s="240"/>
      <c r="LI25" s="240"/>
      <c r="LJ25" s="240"/>
      <c r="LP25" s="240"/>
      <c r="LQ25" s="240"/>
      <c r="LW25" s="240"/>
      <c r="LX25" s="240"/>
      <c r="MD25" s="240"/>
      <c r="ME25" s="240"/>
      <c r="MK25" s="240"/>
      <c r="ML25" s="240"/>
      <c r="MR25" s="240"/>
      <c r="MS25" s="240"/>
      <c r="MX25" s="295" t="s">
        <v>270</v>
      </c>
      <c r="MY25" s="240"/>
      <c r="MZ25" s="240"/>
      <c r="NA25" s="295" t="s">
        <v>270</v>
      </c>
      <c r="NE25" s="295" t="s">
        <v>270</v>
      </c>
      <c r="NF25" s="240"/>
      <c r="NG25" s="240"/>
    </row>
    <row r="26" spans="1:371" ht="15" hidden="1">
      <c r="A26" s="50" t="s">
        <v>200</v>
      </c>
      <c r="B26" s="50" t="s">
        <v>15</v>
      </c>
      <c r="C26" s="255" t="s">
        <v>15</v>
      </c>
      <c r="D26" s="295"/>
      <c r="E26" s="235" t="s">
        <v>141</v>
      </c>
      <c r="F26" s="240"/>
      <c r="G26" s="240"/>
      <c r="H26" s="214" t="s">
        <v>143</v>
      </c>
      <c r="I26" s="214" t="s">
        <v>143</v>
      </c>
      <c r="J26" s="214" t="s">
        <v>143</v>
      </c>
      <c r="K26" s="214" t="s">
        <v>143</v>
      </c>
      <c r="L26" s="214" t="s">
        <v>143</v>
      </c>
      <c r="M26" s="240"/>
      <c r="N26" s="240"/>
      <c r="O26" s="286" t="s">
        <v>143</v>
      </c>
      <c r="P26" s="286" t="s">
        <v>143</v>
      </c>
      <c r="T26" s="240"/>
      <c r="U26" s="240"/>
      <c r="AA26" s="240"/>
      <c r="AB26" s="240"/>
      <c r="AG26" s="214" t="s">
        <v>143</v>
      </c>
      <c r="AH26" s="240"/>
      <c r="AI26" s="240"/>
      <c r="AO26" s="240"/>
      <c r="AP26" s="240"/>
      <c r="AV26" s="240"/>
      <c r="AW26" s="240"/>
      <c r="BB26" s="214" t="s">
        <v>143</v>
      </c>
      <c r="BC26" s="240"/>
      <c r="BD26" s="240"/>
      <c r="BJ26" s="240"/>
      <c r="BK26" s="240"/>
      <c r="BQ26" s="240"/>
      <c r="BR26" s="240"/>
      <c r="BS26" s="214" t="s">
        <v>143</v>
      </c>
      <c r="BT26" s="214" t="s">
        <v>143</v>
      </c>
      <c r="BU26" s="214" t="s">
        <v>143</v>
      </c>
      <c r="BV26" s="214" t="s">
        <v>143</v>
      </c>
      <c r="BW26" s="214" t="s">
        <v>143</v>
      </c>
      <c r="BX26" s="240"/>
      <c r="BY26" s="240"/>
      <c r="CA26" s="214" t="s">
        <v>143</v>
      </c>
      <c r="CB26" s="214" t="s">
        <v>143</v>
      </c>
      <c r="CC26" s="214" t="s">
        <v>143</v>
      </c>
      <c r="CD26" s="214" t="s">
        <v>143</v>
      </c>
      <c r="CE26" s="240"/>
      <c r="CF26" s="240"/>
      <c r="CL26" s="240"/>
      <c r="CM26" s="240"/>
      <c r="CR26" s="295"/>
      <c r="CS26" s="240"/>
      <c r="CT26" s="240"/>
      <c r="CU26" s="295"/>
      <c r="CZ26" s="240"/>
      <c r="DA26" s="240"/>
      <c r="DG26" s="240"/>
      <c r="DH26" s="240"/>
      <c r="DM26" s="215" t="s">
        <v>239</v>
      </c>
      <c r="DN26" s="240"/>
      <c r="DO26" s="240"/>
      <c r="DU26" s="240"/>
      <c r="DV26" s="240"/>
      <c r="DW26" s="295"/>
      <c r="EB26" s="240"/>
      <c r="EC26" s="240"/>
      <c r="EI26" s="240"/>
      <c r="EJ26" s="240"/>
      <c r="EP26" s="240"/>
      <c r="EQ26" s="240"/>
      <c r="ER26" s="295"/>
      <c r="EW26" s="240"/>
      <c r="EX26" s="240"/>
      <c r="FD26" s="240"/>
      <c r="FE26" s="240"/>
      <c r="FK26" s="240"/>
      <c r="FL26" s="240"/>
      <c r="FR26" s="240"/>
      <c r="FS26" s="240"/>
      <c r="FY26" s="240"/>
      <c r="FZ26" s="240"/>
      <c r="GF26" s="240"/>
      <c r="GG26" s="240"/>
      <c r="GM26" s="240"/>
      <c r="GN26" s="240"/>
      <c r="GT26" s="240"/>
      <c r="GU26" s="240"/>
      <c r="HA26" s="240"/>
      <c r="HB26" s="240"/>
      <c r="HH26" s="240"/>
      <c r="HI26" s="240"/>
      <c r="HO26" s="240"/>
      <c r="HP26" s="240"/>
      <c r="HV26" s="240"/>
      <c r="HW26" s="240"/>
      <c r="IC26" s="240"/>
      <c r="ID26" s="240"/>
      <c r="IJ26" s="240"/>
      <c r="IK26" s="240"/>
      <c r="IL26" s="295"/>
      <c r="IQ26" s="240"/>
      <c r="IR26" s="240"/>
      <c r="IX26" s="240"/>
      <c r="IY26" s="240"/>
      <c r="JE26" s="240"/>
      <c r="JF26" s="240"/>
      <c r="JL26" s="240"/>
      <c r="JM26" s="240"/>
      <c r="JS26" s="240"/>
      <c r="JT26" s="240"/>
      <c r="JZ26" s="240"/>
      <c r="KA26" s="240"/>
      <c r="KG26" s="240"/>
      <c r="KH26" s="240"/>
      <c r="KN26" s="240"/>
      <c r="KO26" s="240"/>
      <c r="KU26" s="240"/>
      <c r="KV26" s="240"/>
      <c r="LB26" s="240"/>
      <c r="LC26" s="240"/>
      <c r="LI26" s="240"/>
      <c r="LJ26" s="240"/>
      <c r="LP26" s="240"/>
      <c r="LQ26" s="240"/>
      <c r="LW26" s="240"/>
      <c r="LX26" s="240"/>
      <c r="MD26" s="240"/>
      <c r="ME26" s="240"/>
      <c r="MK26" s="240"/>
      <c r="ML26" s="240"/>
      <c r="MR26" s="240"/>
      <c r="MS26" s="240"/>
      <c r="MX26" s="295"/>
      <c r="MY26" s="240"/>
      <c r="MZ26" s="240"/>
      <c r="NA26" s="295"/>
      <c r="NE26" s="295"/>
      <c r="NF26" s="240"/>
      <c r="NG26" s="240"/>
    </row>
    <row r="27" spans="1:371" ht="15">
      <c r="A27" s="50" t="s">
        <v>358</v>
      </c>
      <c r="B27" s="50" t="s">
        <v>359</v>
      </c>
      <c r="C27" s="255"/>
      <c r="D27" s="295" t="s">
        <v>288</v>
      </c>
      <c r="E27" s="243" t="s">
        <v>141</v>
      </c>
      <c r="F27" s="240"/>
      <c r="G27" s="240"/>
      <c r="H27" s="214" t="s">
        <v>143</v>
      </c>
      <c r="I27" s="214" t="s">
        <v>143</v>
      </c>
      <c r="J27" s="214" t="s">
        <v>143</v>
      </c>
      <c r="K27" s="214" t="s">
        <v>143</v>
      </c>
      <c r="L27" s="214" t="s">
        <v>143</v>
      </c>
      <c r="M27" s="240"/>
      <c r="N27" s="240"/>
      <c r="O27" s="286" t="s">
        <v>143</v>
      </c>
      <c r="P27" s="286" t="s">
        <v>143</v>
      </c>
      <c r="Q27" s="286" t="s">
        <v>143</v>
      </c>
      <c r="R27" s="286" t="s">
        <v>143</v>
      </c>
      <c r="S27" s="286" t="s">
        <v>143</v>
      </c>
      <c r="T27" s="240"/>
      <c r="U27" s="240"/>
      <c r="V27" s="214" t="s">
        <v>143</v>
      </c>
      <c r="W27" s="214" t="s">
        <v>143</v>
      </c>
      <c r="X27" s="214" t="s">
        <v>143</v>
      </c>
      <c r="Y27" s="214" t="s">
        <v>143</v>
      </c>
      <c r="Z27" s="296" t="s">
        <v>264</v>
      </c>
      <c r="AA27" s="240"/>
      <c r="AB27" s="240"/>
      <c r="AC27" s="214" t="s">
        <v>143</v>
      </c>
      <c r="AD27" s="214" t="s">
        <v>143</v>
      </c>
      <c r="AE27" s="214" t="s">
        <v>143</v>
      </c>
      <c r="AF27" s="243" t="s">
        <v>238</v>
      </c>
      <c r="AG27" s="214" t="s">
        <v>143</v>
      </c>
      <c r="AH27" s="240"/>
      <c r="AI27" s="240"/>
      <c r="AJ27" s="214" t="s">
        <v>143</v>
      </c>
      <c r="AK27" s="214" t="s">
        <v>143</v>
      </c>
      <c r="AL27" s="214" t="s">
        <v>143</v>
      </c>
      <c r="AM27" s="292" t="s">
        <v>141</v>
      </c>
      <c r="AN27" s="292" t="s">
        <v>141</v>
      </c>
      <c r="AO27" s="240"/>
      <c r="AP27" s="240"/>
      <c r="AQ27" s="214" t="s">
        <v>143</v>
      </c>
      <c r="AR27" s="82" t="s">
        <v>360</v>
      </c>
      <c r="AS27" s="82" t="s">
        <v>360</v>
      </c>
      <c r="AT27" s="82" t="s">
        <v>360</v>
      </c>
      <c r="AU27" s="82" t="s">
        <v>360</v>
      </c>
      <c r="AV27" s="240"/>
      <c r="AW27" s="240"/>
      <c r="AX27" s="82" t="s">
        <v>326</v>
      </c>
      <c r="AY27" s="214" t="s">
        <v>143</v>
      </c>
      <c r="AZ27" s="214" t="s">
        <v>143</v>
      </c>
      <c r="BA27" s="214" t="s">
        <v>143</v>
      </c>
      <c r="BB27" s="214" t="s">
        <v>143</v>
      </c>
      <c r="BC27" s="240"/>
      <c r="BD27" s="240"/>
      <c r="BE27" s="214" t="s">
        <v>143</v>
      </c>
      <c r="BF27" s="214" t="s">
        <v>143</v>
      </c>
      <c r="BG27" s="214" t="s">
        <v>143</v>
      </c>
      <c r="BH27" s="214" t="s">
        <v>143</v>
      </c>
      <c r="BI27" s="214" t="s">
        <v>143</v>
      </c>
      <c r="BJ27" s="240"/>
      <c r="BK27" s="240"/>
      <c r="BL27" s="214" t="s">
        <v>143</v>
      </c>
      <c r="BM27" s="214" t="s">
        <v>143</v>
      </c>
      <c r="BN27" s="289" t="s">
        <v>355</v>
      </c>
      <c r="BO27" s="214" t="s">
        <v>237</v>
      </c>
      <c r="BP27" s="214" t="s">
        <v>143</v>
      </c>
      <c r="BQ27" s="240"/>
      <c r="BR27" s="240"/>
      <c r="BS27" s="214" t="s">
        <v>143</v>
      </c>
      <c r="BT27" s="214" t="s">
        <v>143</v>
      </c>
      <c r="BU27" s="214" t="s">
        <v>143</v>
      </c>
      <c r="BV27" s="296" t="s">
        <v>266</v>
      </c>
      <c r="BW27" s="214" t="s">
        <v>143</v>
      </c>
      <c r="BX27" s="240"/>
      <c r="BY27" s="240"/>
      <c r="BZ27" s="216" t="s">
        <v>281</v>
      </c>
      <c r="CA27" s="214" t="s">
        <v>143</v>
      </c>
      <c r="CB27" s="214" t="s">
        <v>237</v>
      </c>
      <c r="CC27" s="214" t="s">
        <v>143</v>
      </c>
      <c r="CD27" s="216" t="s">
        <v>281</v>
      </c>
      <c r="CE27" s="240"/>
      <c r="CF27" s="240"/>
      <c r="CG27" s="214" t="s">
        <v>143</v>
      </c>
      <c r="CH27" s="244" t="s">
        <v>141</v>
      </c>
      <c r="CI27" s="293" t="s">
        <v>141</v>
      </c>
      <c r="CJ27" s="214" t="s">
        <v>143</v>
      </c>
      <c r="CK27" s="214" t="s">
        <v>143</v>
      </c>
      <c r="CL27" s="240"/>
      <c r="CM27" s="240"/>
      <c r="CR27" s="295" t="s">
        <v>288</v>
      </c>
      <c r="CS27" s="240"/>
      <c r="CT27" s="240"/>
      <c r="CU27" s="295" t="s">
        <v>288</v>
      </c>
      <c r="CZ27" s="240"/>
      <c r="DA27" s="240"/>
      <c r="DG27" s="240"/>
      <c r="DH27" s="240"/>
      <c r="DM27" s="215" t="s">
        <v>239</v>
      </c>
      <c r="DN27" s="240"/>
      <c r="DO27" s="240"/>
      <c r="DU27" s="240"/>
      <c r="DV27" s="240"/>
      <c r="DW27" s="295" t="s">
        <v>288</v>
      </c>
      <c r="EB27" s="240"/>
      <c r="EC27" s="240"/>
      <c r="EI27" s="240"/>
      <c r="EJ27" s="240"/>
      <c r="EP27" s="240"/>
      <c r="EQ27" s="240"/>
      <c r="ER27" s="295" t="s">
        <v>288</v>
      </c>
      <c r="EW27" s="240"/>
      <c r="EX27" s="240"/>
      <c r="FD27" s="240"/>
      <c r="FE27" s="240"/>
      <c r="FK27" s="240"/>
      <c r="FL27" s="240"/>
      <c r="FR27" s="240"/>
      <c r="FS27" s="240"/>
      <c r="FY27" s="240"/>
      <c r="FZ27" s="240"/>
      <c r="GF27" s="240"/>
      <c r="GG27" s="240"/>
      <c r="GM27" s="240"/>
      <c r="GN27" s="240"/>
      <c r="GT27" s="240"/>
      <c r="GU27" s="240"/>
      <c r="HA27" s="240"/>
      <c r="HB27" s="240"/>
      <c r="HH27" s="240"/>
      <c r="HI27" s="240"/>
      <c r="HO27" s="240"/>
      <c r="HP27" s="240"/>
      <c r="HV27" s="240"/>
      <c r="HW27" s="240"/>
      <c r="IC27" s="240"/>
      <c r="ID27" s="240"/>
      <c r="IJ27" s="240"/>
      <c r="IK27" s="240"/>
      <c r="IL27" s="295" t="s">
        <v>288</v>
      </c>
      <c r="IQ27" s="240"/>
      <c r="IR27" s="240"/>
      <c r="IX27" s="240"/>
      <c r="IY27" s="240"/>
      <c r="JE27" s="240"/>
      <c r="JF27" s="240"/>
      <c r="JL27" s="240"/>
      <c r="JM27" s="240"/>
      <c r="JS27" s="240"/>
      <c r="JT27" s="240"/>
      <c r="JZ27" s="240"/>
      <c r="KA27" s="240"/>
      <c r="KG27" s="240"/>
      <c r="KH27" s="240"/>
      <c r="KN27" s="240"/>
      <c r="KO27" s="240"/>
      <c r="KU27" s="240"/>
      <c r="KV27" s="240"/>
      <c r="LB27" s="240"/>
      <c r="LC27" s="240"/>
      <c r="LI27" s="240"/>
      <c r="LJ27" s="240"/>
      <c r="LP27" s="240"/>
      <c r="LQ27" s="240"/>
      <c r="LW27" s="240"/>
      <c r="LX27" s="240"/>
      <c r="MD27" s="240"/>
      <c r="ME27" s="240"/>
      <c r="MK27" s="240"/>
      <c r="ML27" s="240"/>
      <c r="MR27" s="240"/>
      <c r="MS27" s="240"/>
      <c r="MX27" s="295" t="s">
        <v>288</v>
      </c>
      <c r="MY27" s="240"/>
      <c r="MZ27" s="240"/>
      <c r="NA27" s="295" t="s">
        <v>288</v>
      </c>
      <c r="NE27" s="295" t="s">
        <v>288</v>
      </c>
      <c r="NF27" s="240"/>
      <c r="NG27" s="240"/>
    </row>
    <row r="28" spans="1:371" ht="15">
      <c r="A28" s="50" t="s">
        <v>361</v>
      </c>
      <c r="B28" s="50" t="s">
        <v>15</v>
      </c>
      <c r="C28" s="255"/>
      <c r="D28" s="295" t="s">
        <v>235</v>
      </c>
      <c r="E28" s="246" t="s">
        <v>143</v>
      </c>
      <c r="F28" s="240"/>
      <c r="G28" s="240"/>
      <c r="H28" s="214" t="s">
        <v>143</v>
      </c>
      <c r="I28" s="214" t="s">
        <v>143</v>
      </c>
      <c r="J28" s="214" t="s">
        <v>143</v>
      </c>
      <c r="K28" s="214" t="s">
        <v>143</v>
      </c>
      <c r="L28" s="214" t="s">
        <v>143</v>
      </c>
      <c r="M28" s="240"/>
      <c r="N28" s="240"/>
      <c r="O28" s="286" t="s">
        <v>143</v>
      </c>
      <c r="P28" s="286" t="s">
        <v>143</v>
      </c>
      <c r="Q28" s="286" t="s">
        <v>143</v>
      </c>
      <c r="R28" s="286" t="s">
        <v>143</v>
      </c>
      <c r="S28" s="286" t="s">
        <v>143</v>
      </c>
      <c r="T28" s="240"/>
      <c r="U28" s="240"/>
      <c r="V28" s="214" t="s">
        <v>143</v>
      </c>
      <c r="W28" s="214" t="s">
        <v>143</v>
      </c>
      <c r="X28" s="214" t="s">
        <v>143</v>
      </c>
      <c r="Y28" s="214" t="s">
        <v>143</v>
      </c>
      <c r="Z28" s="214" t="s">
        <v>143</v>
      </c>
      <c r="AA28" s="240"/>
      <c r="AB28" s="240"/>
      <c r="AC28" s="214" t="s">
        <v>143</v>
      </c>
      <c r="AD28" s="214" t="s">
        <v>143</v>
      </c>
      <c r="AE28" s="291" t="s">
        <v>362</v>
      </c>
      <c r="AF28" s="82" t="s">
        <v>354</v>
      </c>
      <c r="AG28" s="291" t="s">
        <v>362</v>
      </c>
      <c r="AH28" s="240"/>
      <c r="AI28" s="291" t="s">
        <v>242</v>
      </c>
      <c r="AJ28" s="214" t="s">
        <v>143</v>
      </c>
      <c r="AK28" s="214" t="s">
        <v>143</v>
      </c>
      <c r="AL28" s="214" t="s">
        <v>363</v>
      </c>
      <c r="AM28" s="82" t="s">
        <v>277</v>
      </c>
      <c r="AN28" s="214" t="s">
        <v>143</v>
      </c>
      <c r="AO28" s="240"/>
      <c r="AP28" s="240"/>
      <c r="AQ28" s="214" t="s">
        <v>143</v>
      </c>
      <c r="AR28" s="214" t="s">
        <v>143</v>
      </c>
      <c r="AS28" s="214" t="s">
        <v>143</v>
      </c>
      <c r="AT28" s="214" t="s">
        <v>143</v>
      </c>
      <c r="AU28" s="214" t="s">
        <v>237</v>
      </c>
      <c r="AV28" s="240"/>
      <c r="AW28" s="240"/>
      <c r="AX28" s="214" t="s">
        <v>143</v>
      </c>
      <c r="AY28" s="294" t="s">
        <v>144</v>
      </c>
      <c r="AZ28" s="294" t="s">
        <v>144</v>
      </c>
      <c r="BA28" s="294" t="s">
        <v>144</v>
      </c>
      <c r="BB28" s="294" t="s">
        <v>144</v>
      </c>
      <c r="BC28" s="240"/>
      <c r="BD28" s="240"/>
      <c r="BE28" s="214" t="s">
        <v>143</v>
      </c>
      <c r="BF28" s="214" t="s">
        <v>143</v>
      </c>
      <c r="BG28" s="214" t="s">
        <v>143</v>
      </c>
      <c r="BH28" s="244" t="s">
        <v>141</v>
      </c>
      <c r="BI28" s="214" t="s">
        <v>143</v>
      </c>
      <c r="BJ28" s="240"/>
      <c r="BK28" s="240"/>
      <c r="BL28" s="214" t="s">
        <v>143</v>
      </c>
      <c r="BM28" s="214" t="s">
        <v>237</v>
      </c>
      <c r="BN28" s="214" t="s">
        <v>143</v>
      </c>
      <c r="BO28" s="214" t="s">
        <v>143</v>
      </c>
      <c r="BP28" s="214" t="s">
        <v>143</v>
      </c>
      <c r="BQ28" s="240"/>
      <c r="BR28" s="240"/>
      <c r="BS28" s="214" t="s">
        <v>143</v>
      </c>
      <c r="BT28" s="214" t="s">
        <v>237</v>
      </c>
      <c r="BU28" s="214" t="s">
        <v>143</v>
      </c>
      <c r="BV28" s="296" t="s">
        <v>298</v>
      </c>
      <c r="BW28" s="214" t="s">
        <v>143</v>
      </c>
      <c r="BX28" s="240"/>
      <c r="BY28" s="240"/>
      <c r="BZ28" s="214" t="s">
        <v>143</v>
      </c>
      <c r="CA28" s="214" t="s">
        <v>143</v>
      </c>
      <c r="CB28" s="82" t="s">
        <v>354</v>
      </c>
      <c r="CC28" s="214" t="s">
        <v>143</v>
      </c>
      <c r="CD28" s="214" t="s">
        <v>143</v>
      </c>
      <c r="CE28" s="240"/>
      <c r="CF28" s="240"/>
      <c r="CG28" s="214" t="s">
        <v>143</v>
      </c>
      <c r="CH28" s="214" t="s">
        <v>143</v>
      </c>
      <c r="CI28" s="214" t="s">
        <v>143</v>
      </c>
      <c r="CJ28" s="214" t="s">
        <v>143</v>
      </c>
      <c r="CK28" s="214" t="s">
        <v>143</v>
      </c>
      <c r="CL28" s="240"/>
      <c r="CM28" s="240"/>
      <c r="CQ28" s="293" t="s">
        <v>141</v>
      </c>
      <c r="CR28" s="295" t="s">
        <v>235</v>
      </c>
      <c r="CS28" s="240"/>
      <c r="CT28" s="240"/>
      <c r="CU28" s="295" t="s">
        <v>235</v>
      </c>
      <c r="CZ28" s="240"/>
      <c r="DA28" s="240"/>
      <c r="DF28" s="294" t="s">
        <v>238</v>
      </c>
      <c r="DG28" s="240"/>
      <c r="DH28" s="240"/>
      <c r="DM28" s="215" t="s">
        <v>239</v>
      </c>
      <c r="DN28" s="240"/>
      <c r="DO28" s="240"/>
      <c r="DU28" s="240"/>
      <c r="DV28" s="240"/>
      <c r="DW28" s="295" t="s">
        <v>235</v>
      </c>
      <c r="EB28" s="240"/>
      <c r="EC28" s="240"/>
      <c r="EI28" s="240"/>
      <c r="EJ28" s="240"/>
      <c r="EP28" s="240"/>
      <c r="EQ28" s="240"/>
      <c r="ER28" s="295" t="s">
        <v>235</v>
      </c>
      <c r="ES28" s="244" t="s">
        <v>141</v>
      </c>
      <c r="ET28" s="244" t="s">
        <v>141</v>
      </c>
      <c r="EU28" s="244" t="s">
        <v>141</v>
      </c>
      <c r="EV28" s="244" t="s">
        <v>141</v>
      </c>
      <c r="EW28" s="240"/>
      <c r="EX28" s="240"/>
      <c r="EY28" s="244" t="s">
        <v>141</v>
      </c>
      <c r="FD28" s="240"/>
      <c r="FE28" s="240"/>
      <c r="FJ28" s="244" t="s">
        <v>141</v>
      </c>
      <c r="FK28" s="240"/>
      <c r="FL28" s="240"/>
      <c r="FM28" s="244" t="s">
        <v>141</v>
      </c>
      <c r="FR28" s="240"/>
      <c r="FS28" s="240"/>
      <c r="FY28" s="240"/>
      <c r="FZ28" s="240"/>
      <c r="GF28" s="240"/>
      <c r="GG28" s="240"/>
      <c r="GM28" s="240"/>
      <c r="GN28" s="240"/>
      <c r="GT28" s="240"/>
      <c r="GU28" s="240"/>
      <c r="HA28" s="240"/>
      <c r="HB28" s="240"/>
      <c r="HH28" s="240"/>
      <c r="HI28" s="240"/>
      <c r="HO28" s="240"/>
      <c r="HP28" s="240"/>
      <c r="HV28" s="240"/>
      <c r="HW28" s="240"/>
      <c r="IB28" s="244" t="s">
        <v>141</v>
      </c>
      <c r="IC28" s="240"/>
      <c r="ID28" s="240"/>
      <c r="IJ28" s="240"/>
      <c r="IK28" s="240"/>
      <c r="IL28" s="295" t="s">
        <v>235</v>
      </c>
      <c r="IQ28" s="240"/>
      <c r="IR28" s="240"/>
      <c r="IX28" s="240"/>
      <c r="IY28" s="240"/>
      <c r="JD28" s="244" t="s">
        <v>141</v>
      </c>
      <c r="JE28" s="240"/>
      <c r="JF28" s="240"/>
      <c r="JG28" s="244" t="s">
        <v>141</v>
      </c>
      <c r="JH28" s="244" t="s">
        <v>141</v>
      </c>
      <c r="JI28" s="244" t="s">
        <v>141</v>
      </c>
      <c r="JJ28" s="244" t="s">
        <v>141</v>
      </c>
      <c r="JK28" s="244" t="s">
        <v>141</v>
      </c>
      <c r="JL28" s="240"/>
      <c r="JM28" s="240"/>
      <c r="JN28" s="244" t="s">
        <v>141</v>
      </c>
      <c r="JO28" s="244" t="s">
        <v>141</v>
      </c>
      <c r="JP28" s="244" t="s">
        <v>141</v>
      </c>
      <c r="JQ28" s="244" t="s">
        <v>141</v>
      </c>
      <c r="JR28" s="244" t="s">
        <v>141</v>
      </c>
      <c r="JS28" s="240"/>
      <c r="JT28" s="240"/>
      <c r="JU28" s="244" t="s">
        <v>141</v>
      </c>
      <c r="JV28" s="244" t="s">
        <v>141</v>
      </c>
      <c r="JW28" s="244" t="s">
        <v>141</v>
      </c>
      <c r="JZ28" s="240"/>
      <c r="KA28" s="240"/>
      <c r="KG28" s="240"/>
      <c r="KH28" s="240"/>
      <c r="KN28" s="240"/>
      <c r="KO28" s="240"/>
      <c r="KU28" s="240"/>
      <c r="KV28" s="240"/>
      <c r="LB28" s="240"/>
      <c r="LC28" s="240"/>
      <c r="LI28" s="240"/>
      <c r="LJ28" s="240"/>
      <c r="LP28" s="240"/>
      <c r="LQ28" s="240"/>
      <c r="LW28" s="240"/>
      <c r="LX28" s="240"/>
      <c r="MD28" s="240"/>
      <c r="ME28" s="240"/>
      <c r="MK28" s="240"/>
      <c r="ML28" s="240"/>
      <c r="MR28" s="240"/>
      <c r="MS28" s="240"/>
      <c r="MX28" s="295" t="s">
        <v>235</v>
      </c>
      <c r="MY28" s="240"/>
      <c r="MZ28" s="240"/>
      <c r="NA28" s="295" t="s">
        <v>235</v>
      </c>
      <c r="NE28" s="295" t="s">
        <v>235</v>
      </c>
      <c r="NF28" s="240"/>
      <c r="NG28" s="240"/>
    </row>
    <row r="29" spans="1:371" hidden="1">
      <c r="A29" s="253" t="s">
        <v>201</v>
      </c>
      <c r="B29" s="254" t="s">
        <v>15</v>
      </c>
      <c r="C29" s="255" t="s">
        <v>15</v>
      </c>
      <c r="D29" s="295"/>
      <c r="E29" s="256" t="s">
        <v>141</v>
      </c>
      <c r="F29" s="240"/>
      <c r="G29" s="240"/>
      <c r="H29" s="257" t="s">
        <v>143</v>
      </c>
      <c r="I29" s="257" t="s">
        <v>143</v>
      </c>
      <c r="J29" s="257" t="s">
        <v>143</v>
      </c>
      <c r="K29" s="257" t="s">
        <v>143</v>
      </c>
      <c r="L29" s="257" t="s">
        <v>143</v>
      </c>
      <c r="M29" s="240"/>
      <c r="N29" s="240"/>
      <c r="O29" s="257" t="s">
        <v>143</v>
      </c>
      <c r="P29" s="257" t="s">
        <v>143</v>
      </c>
      <c r="Q29" s="257" t="s">
        <v>143</v>
      </c>
      <c r="R29" s="257" t="s">
        <v>143</v>
      </c>
      <c r="S29" s="257" t="s">
        <v>143</v>
      </c>
      <c r="T29" s="240"/>
      <c r="U29" s="240"/>
      <c r="V29" s="257" t="s">
        <v>143</v>
      </c>
      <c r="W29" s="257" t="s">
        <v>143</v>
      </c>
      <c r="X29" s="257" t="s">
        <v>143</v>
      </c>
      <c r="Y29" s="257" t="s">
        <v>143</v>
      </c>
      <c r="Z29" s="257" t="s">
        <v>143</v>
      </c>
      <c r="AA29" s="240"/>
      <c r="AB29" s="240"/>
      <c r="AC29" s="257" t="s">
        <v>143</v>
      </c>
      <c r="AD29" s="257" t="s">
        <v>143</v>
      </c>
      <c r="AE29" s="257" t="s">
        <v>143</v>
      </c>
      <c r="AF29" s="257" t="s">
        <v>143</v>
      </c>
      <c r="AG29" s="257" t="s">
        <v>143</v>
      </c>
      <c r="AH29" s="240"/>
      <c r="AI29" s="240"/>
      <c r="AJ29" s="257" t="s">
        <v>143</v>
      </c>
      <c r="AK29" s="257" t="s">
        <v>143</v>
      </c>
      <c r="AL29" s="257" t="s">
        <v>143</v>
      </c>
      <c r="AM29" s="257" t="s">
        <v>143</v>
      </c>
      <c r="AN29" s="257" t="s">
        <v>143</v>
      </c>
      <c r="AO29" s="240"/>
      <c r="AP29" s="240"/>
      <c r="AQ29" s="257" t="s">
        <v>143</v>
      </c>
      <c r="AR29" s="257" t="s">
        <v>143</v>
      </c>
      <c r="AS29" s="257" t="s">
        <v>143</v>
      </c>
      <c r="AT29" s="257" t="s">
        <v>143</v>
      </c>
      <c r="AU29" s="257" t="s">
        <v>143</v>
      </c>
      <c r="AV29" s="240"/>
      <c r="AW29" s="240"/>
      <c r="AX29" s="257" t="s">
        <v>143</v>
      </c>
      <c r="AY29" s="257" t="s">
        <v>143</v>
      </c>
      <c r="AZ29" s="257" t="s">
        <v>143</v>
      </c>
      <c r="BA29" s="257" t="s">
        <v>143</v>
      </c>
      <c r="BB29" s="257" t="s">
        <v>143</v>
      </c>
      <c r="BC29" s="240"/>
      <c r="BD29" s="240"/>
      <c r="BE29" s="257" t="s">
        <v>143</v>
      </c>
      <c r="BF29" s="257" t="s">
        <v>143</v>
      </c>
      <c r="BG29" s="257" t="s">
        <v>143</v>
      </c>
      <c r="BH29" s="257" t="s">
        <v>143</v>
      </c>
      <c r="BI29" s="257" t="s">
        <v>143</v>
      </c>
      <c r="BJ29" s="240"/>
      <c r="BK29" s="240"/>
      <c r="BL29" s="257" t="s">
        <v>143</v>
      </c>
      <c r="BM29" s="257" t="s">
        <v>143</v>
      </c>
      <c r="BN29" s="257" t="s">
        <v>143</v>
      </c>
      <c r="BO29" s="257" t="s">
        <v>143</v>
      </c>
      <c r="BP29" s="257" t="s">
        <v>143</v>
      </c>
      <c r="BQ29" s="240"/>
      <c r="BR29" s="240"/>
      <c r="BS29" s="257" t="s">
        <v>143</v>
      </c>
      <c r="BT29" s="257" t="s">
        <v>143</v>
      </c>
      <c r="BU29" s="257" t="s">
        <v>143</v>
      </c>
      <c r="BV29" s="257" t="s">
        <v>143</v>
      </c>
      <c r="BW29" s="257" t="s">
        <v>143</v>
      </c>
      <c r="BX29" s="240"/>
      <c r="BY29" s="240"/>
      <c r="BZ29" s="257" t="s">
        <v>143</v>
      </c>
      <c r="CA29" s="257" t="s">
        <v>143</v>
      </c>
      <c r="CB29" s="257" t="s">
        <v>143</v>
      </c>
      <c r="CC29" s="257" t="s">
        <v>143</v>
      </c>
      <c r="CD29" s="257" t="s">
        <v>143</v>
      </c>
      <c r="CE29" s="240"/>
      <c r="CF29" s="240"/>
      <c r="CG29" s="1" t="s">
        <v>143</v>
      </c>
      <c r="CH29" s="257" t="s">
        <v>143</v>
      </c>
      <c r="CI29" s="257" t="s">
        <v>143</v>
      </c>
      <c r="CJ29" s="257" t="s">
        <v>143</v>
      </c>
      <c r="CK29" s="257" t="s">
        <v>143</v>
      </c>
      <c r="CL29" s="240"/>
      <c r="CM29" s="240"/>
      <c r="CN29" s="257" t="s">
        <v>143</v>
      </c>
      <c r="CO29" s="257" t="s">
        <v>143</v>
      </c>
      <c r="CP29" s="257" t="s">
        <v>143</v>
      </c>
      <c r="CQ29" s="257" t="s">
        <v>143</v>
      </c>
      <c r="CR29" s="295"/>
      <c r="CS29" s="240"/>
      <c r="CT29" s="240"/>
      <c r="CU29" s="295"/>
      <c r="CV29" s="257" t="s">
        <v>143</v>
      </c>
      <c r="CW29" s="257" t="s">
        <v>143</v>
      </c>
      <c r="CX29" s="257" t="s">
        <v>143</v>
      </c>
      <c r="CY29" s="257" t="s">
        <v>143</v>
      </c>
      <c r="CZ29" s="240"/>
      <c r="DA29" s="240"/>
      <c r="DB29" s="257" t="s">
        <v>143</v>
      </c>
      <c r="DC29" s="257" t="s">
        <v>143</v>
      </c>
      <c r="DD29" s="257" t="s">
        <v>143</v>
      </c>
      <c r="DE29" s="257" t="s">
        <v>143</v>
      </c>
      <c r="DF29" s="257" t="s">
        <v>143</v>
      </c>
      <c r="DG29" s="240"/>
      <c r="DH29" s="240"/>
      <c r="DI29" s="257" t="s">
        <v>143</v>
      </c>
      <c r="DJ29" s="257" t="s">
        <v>143</v>
      </c>
      <c r="DK29" s="257" t="s">
        <v>143</v>
      </c>
      <c r="DL29" s="257" t="s">
        <v>143</v>
      </c>
      <c r="DM29" s="257" t="s">
        <v>143</v>
      </c>
      <c r="DN29" s="240"/>
      <c r="DO29" s="240"/>
      <c r="DP29" s="257" t="s">
        <v>143</v>
      </c>
      <c r="DQ29" s="257" t="s">
        <v>143</v>
      </c>
      <c r="DR29" s="257" t="s">
        <v>143</v>
      </c>
      <c r="DS29" s="257" t="s">
        <v>143</v>
      </c>
      <c r="DT29" s="257" t="s">
        <v>143</v>
      </c>
      <c r="DU29" s="240"/>
      <c r="DV29" s="240"/>
      <c r="DW29" s="295"/>
      <c r="DX29" s="257" t="s">
        <v>143</v>
      </c>
      <c r="DY29" s="257" t="s">
        <v>143</v>
      </c>
      <c r="DZ29" s="257" t="s">
        <v>143</v>
      </c>
      <c r="EA29" s="257" t="s">
        <v>143</v>
      </c>
      <c r="EB29" s="240"/>
      <c r="EC29" s="240"/>
      <c r="ED29" s="257" t="s">
        <v>143</v>
      </c>
      <c r="EE29" s="257" t="s">
        <v>143</v>
      </c>
      <c r="EF29" s="257" t="s">
        <v>143</v>
      </c>
      <c r="EG29" s="257" t="s">
        <v>143</v>
      </c>
      <c r="EH29" s="257" t="s">
        <v>143</v>
      </c>
      <c r="EI29" s="240"/>
      <c r="EJ29" s="240"/>
      <c r="EK29" s="257" t="s">
        <v>143</v>
      </c>
      <c r="EL29" s="257" t="s">
        <v>143</v>
      </c>
      <c r="EM29" s="257" t="s">
        <v>143</v>
      </c>
      <c r="EN29" s="257" t="s">
        <v>143</v>
      </c>
      <c r="EO29" s="257" t="s">
        <v>143</v>
      </c>
      <c r="EP29" s="240"/>
      <c r="EQ29" s="240"/>
      <c r="ER29" s="295"/>
      <c r="ES29" s="257" t="s">
        <v>143</v>
      </c>
      <c r="ET29" s="257" t="s">
        <v>143</v>
      </c>
      <c r="EU29" s="257" t="s">
        <v>143</v>
      </c>
      <c r="EV29" s="257" t="s">
        <v>143</v>
      </c>
      <c r="EW29" s="240"/>
      <c r="EX29" s="240"/>
      <c r="EY29" s="257" t="s">
        <v>143</v>
      </c>
      <c r="EZ29" s="257" t="s">
        <v>143</v>
      </c>
      <c r="FA29" s="257" t="s">
        <v>143</v>
      </c>
      <c r="FB29" s="257" t="s">
        <v>143</v>
      </c>
      <c r="FC29" s="257" t="s">
        <v>143</v>
      </c>
      <c r="FD29" s="240"/>
      <c r="FE29" s="240"/>
      <c r="FF29" s="257" t="s">
        <v>143</v>
      </c>
      <c r="FG29" s="257" t="s">
        <v>143</v>
      </c>
      <c r="FH29" s="257" t="s">
        <v>143</v>
      </c>
      <c r="FI29" s="257" t="s">
        <v>143</v>
      </c>
      <c r="FJ29" s="257" t="s">
        <v>143</v>
      </c>
      <c r="FK29" s="240"/>
      <c r="FL29" s="240"/>
      <c r="FM29" s="257" t="s">
        <v>143</v>
      </c>
      <c r="FN29" s="257" t="s">
        <v>143</v>
      </c>
      <c r="FO29" s="257" t="s">
        <v>143</v>
      </c>
      <c r="FP29" s="257" t="s">
        <v>143</v>
      </c>
      <c r="FQ29" s="257" t="s">
        <v>143</v>
      </c>
      <c r="FR29" s="240"/>
      <c r="FS29" s="240"/>
      <c r="FT29" s="257" t="s">
        <v>143</v>
      </c>
      <c r="FU29" s="257" t="s">
        <v>143</v>
      </c>
      <c r="FV29" s="257" t="s">
        <v>143</v>
      </c>
      <c r="FW29" s="257" t="s">
        <v>143</v>
      </c>
      <c r="FX29" s="257" t="s">
        <v>143</v>
      </c>
      <c r="FY29" s="240"/>
      <c r="FZ29" s="240"/>
      <c r="GA29" s="257" t="s">
        <v>143</v>
      </c>
      <c r="GB29" s="257" t="s">
        <v>143</v>
      </c>
      <c r="GC29" s="257" t="s">
        <v>143</v>
      </c>
      <c r="GD29" s="257" t="s">
        <v>143</v>
      </c>
      <c r="GE29" s="257" t="s">
        <v>143</v>
      </c>
      <c r="GF29" s="240"/>
      <c r="GG29" s="240"/>
      <c r="GH29" s="257" t="s">
        <v>143</v>
      </c>
      <c r="GI29" s="257" t="s">
        <v>143</v>
      </c>
      <c r="GJ29" s="257" t="s">
        <v>143</v>
      </c>
      <c r="GK29" s="257" t="s">
        <v>143</v>
      </c>
      <c r="GL29" s="257" t="s">
        <v>143</v>
      </c>
      <c r="GM29" s="240"/>
      <c r="GN29" s="240"/>
      <c r="GO29" s="257" t="s">
        <v>143</v>
      </c>
      <c r="GP29" s="257" t="s">
        <v>143</v>
      </c>
      <c r="GQ29" s="257" t="s">
        <v>143</v>
      </c>
      <c r="GR29" s="257" t="s">
        <v>143</v>
      </c>
      <c r="GS29" s="257" t="s">
        <v>143</v>
      </c>
      <c r="GT29" s="240"/>
      <c r="GU29" s="240"/>
      <c r="GV29" s="257" t="s">
        <v>143</v>
      </c>
      <c r="GW29" s="257" t="s">
        <v>143</v>
      </c>
      <c r="GX29" s="257" t="s">
        <v>143</v>
      </c>
      <c r="GY29" s="257" t="s">
        <v>143</v>
      </c>
      <c r="GZ29" s="257" t="s">
        <v>143</v>
      </c>
      <c r="HA29" s="240"/>
      <c r="HB29" s="240"/>
      <c r="HC29" s="257" t="s">
        <v>143</v>
      </c>
      <c r="HD29" s="257" t="s">
        <v>143</v>
      </c>
      <c r="HE29" s="257" t="s">
        <v>143</v>
      </c>
      <c r="HF29" s="257" t="s">
        <v>143</v>
      </c>
      <c r="HG29" s="257" t="s">
        <v>143</v>
      </c>
      <c r="HH29" s="240"/>
      <c r="HI29" s="240"/>
      <c r="HJ29" s="257" t="s">
        <v>143</v>
      </c>
      <c r="HK29" s="257" t="s">
        <v>143</v>
      </c>
      <c r="HL29" s="257" t="s">
        <v>143</v>
      </c>
      <c r="HM29" s="257" t="s">
        <v>143</v>
      </c>
      <c r="HN29" s="257" t="s">
        <v>143</v>
      </c>
      <c r="HO29" s="240"/>
      <c r="HP29" s="240"/>
      <c r="HQ29" s="257" t="s">
        <v>143</v>
      </c>
      <c r="HR29" s="257" t="s">
        <v>143</v>
      </c>
      <c r="HS29" s="257" t="s">
        <v>143</v>
      </c>
      <c r="HT29" s="257" t="s">
        <v>143</v>
      </c>
      <c r="HU29" s="257" t="s">
        <v>143</v>
      </c>
      <c r="HV29" s="240"/>
      <c r="HW29" s="240"/>
      <c r="HX29" s="257" t="s">
        <v>143</v>
      </c>
      <c r="HY29" s="257" t="s">
        <v>143</v>
      </c>
      <c r="HZ29" s="257" t="s">
        <v>143</v>
      </c>
      <c r="IA29" s="257" t="s">
        <v>143</v>
      </c>
      <c r="IB29" s="257" t="s">
        <v>143</v>
      </c>
      <c r="IC29" s="240"/>
      <c r="ID29" s="240"/>
      <c r="IE29" s="257" t="s">
        <v>143</v>
      </c>
      <c r="IF29" s="257" t="s">
        <v>143</v>
      </c>
      <c r="IG29" s="257" t="s">
        <v>143</v>
      </c>
      <c r="IH29" s="257" t="s">
        <v>143</v>
      </c>
      <c r="II29" s="257" t="s">
        <v>143</v>
      </c>
      <c r="IJ29" s="240"/>
      <c r="IK29" s="240"/>
      <c r="IL29" s="295"/>
      <c r="IM29" s="257" t="s">
        <v>143</v>
      </c>
      <c r="IN29" s="257" t="s">
        <v>143</v>
      </c>
      <c r="IO29" s="257" t="s">
        <v>143</v>
      </c>
      <c r="IP29" s="257" t="s">
        <v>143</v>
      </c>
      <c r="IQ29" s="240"/>
      <c r="IR29" s="240"/>
      <c r="IS29" s="257" t="s">
        <v>143</v>
      </c>
      <c r="IT29" s="257" t="s">
        <v>143</v>
      </c>
      <c r="IU29" s="257" t="s">
        <v>143</v>
      </c>
      <c r="IV29" s="257" t="s">
        <v>143</v>
      </c>
      <c r="IW29" s="257" t="s">
        <v>143</v>
      </c>
      <c r="IX29" s="240"/>
      <c r="IY29" s="240"/>
      <c r="IZ29" s="257" t="s">
        <v>143</v>
      </c>
      <c r="JA29" s="257" t="s">
        <v>143</v>
      </c>
      <c r="JB29" s="257" t="s">
        <v>143</v>
      </c>
      <c r="JC29" s="257" t="s">
        <v>143</v>
      </c>
      <c r="JD29" s="257" t="s">
        <v>143</v>
      </c>
      <c r="JE29" s="240"/>
      <c r="JF29" s="240"/>
      <c r="JG29" s="257" t="s">
        <v>143</v>
      </c>
      <c r="JH29" s="257" t="s">
        <v>143</v>
      </c>
      <c r="JI29" s="257" t="s">
        <v>143</v>
      </c>
      <c r="JJ29" s="257" t="s">
        <v>143</v>
      </c>
      <c r="JK29" s="257" t="s">
        <v>143</v>
      </c>
      <c r="JL29" s="240"/>
      <c r="JM29" s="240"/>
      <c r="JN29" s="257" t="s">
        <v>143</v>
      </c>
      <c r="JO29" s="257" t="s">
        <v>143</v>
      </c>
      <c r="JP29" s="257" t="s">
        <v>143</v>
      </c>
      <c r="JQ29" s="257" t="s">
        <v>143</v>
      </c>
      <c r="JR29" s="257" t="s">
        <v>143</v>
      </c>
      <c r="JS29" s="240"/>
      <c r="JT29" s="240"/>
      <c r="JU29" s="257" t="s">
        <v>143</v>
      </c>
      <c r="JV29" s="257" t="s">
        <v>143</v>
      </c>
      <c r="JW29" s="257" t="s">
        <v>143</v>
      </c>
      <c r="JX29" s="257" t="s">
        <v>143</v>
      </c>
      <c r="JY29" s="257" t="s">
        <v>143</v>
      </c>
      <c r="JZ29" s="240"/>
      <c r="KA29" s="240"/>
      <c r="KB29" s="257" t="s">
        <v>143</v>
      </c>
      <c r="KC29" s="257" t="s">
        <v>143</v>
      </c>
      <c r="KD29" s="257" t="s">
        <v>143</v>
      </c>
      <c r="KE29" s="257" t="s">
        <v>143</v>
      </c>
      <c r="KF29" s="257" t="s">
        <v>143</v>
      </c>
      <c r="KG29" s="240"/>
      <c r="KH29" s="240"/>
      <c r="KI29" s="257" t="s">
        <v>143</v>
      </c>
      <c r="KJ29" s="257" t="s">
        <v>143</v>
      </c>
      <c r="KK29" s="257" t="s">
        <v>143</v>
      </c>
      <c r="KL29" s="257" t="s">
        <v>143</v>
      </c>
      <c r="KM29" s="257" t="s">
        <v>143</v>
      </c>
      <c r="KN29" s="240"/>
      <c r="KO29" s="240"/>
      <c r="KP29" s="257" t="s">
        <v>143</v>
      </c>
      <c r="KQ29" s="257" t="s">
        <v>143</v>
      </c>
      <c r="KR29" s="257" t="s">
        <v>143</v>
      </c>
      <c r="KS29" s="257" t="s">
        <v>143</v>
      </c>
      <c r="KT29" s="257" t="s">
        <v>143</v>
      </c>
      <c r="KU29" s="240"/>
      <c r="KV29" s="240"/>
      <c r="KW29" s="257" t="s">
        <v>143</v>
      </c>
      <c r="KX29" s="257" t="s">
        <v>143</v>
      </c>
      <c r="KY29" s="257" t="s">
        <v>143</v>
      </c>
      <c r="KZ29" s="257" t="s">
        <v>143</v>
      </c>
      <c r="LA29" s="257" t="s">
        <v>143</v>
      </c>
      <c r="LB29" s="240"/>
      <c r="LC29" s="240"/>
      <c r="LD29" s="257" t="s">
        <v>143</v>
      </c>
      <c r="LE29" s="257" t="s">
        <v>143</v>
      </c>
      <c r="LF29" s="257" t="s">
        <v>143</v>
      </c>
      <c r="LG29" s="257" t="s">
        <v>143</v>
      </c>
      <c r="LH29" s="257" t="s">
        <v>143</v>
      </c>
      <c r="LI29" s="240"/>
      <c r="LJ29" s="240"/>
      <c r="LK29" s="257" t="s">
        <v>143</v>
      </c>
      <c r="LL29" s="257" t="s">
        <v>143</v>
      </c>
      <c r="LM29" s="257" t="s">
        <v>143</v>
      </c>
      <c r="LN29" s="257" t="s">
        <v>143</v>
      </c>
      <c r="LO29" s="257" t="s">
        <v>143</v>
      </c>
      <c r="LP29" s="240"/>
      <c r="LQ29" s="240"/>
      <c r="LR29" s="257" t="s">
        <v>143</v>
      </c>
      <c r="LS29" s="257" t="s">
        <v>143</v>
      </c>
      <c r="LT29" s="257" t="s">
        <v>143</v>
      </c>
      <c r="LU29" s="257" t="s">
        <v>143</v>
      </c>
      <c r="LV29" s="257" t="s">
        <v>143</v>
      </c>
      <c r="LW29" s="240"/>
      <c r="LX29" s="240"/>
      <c r="LY29" s="257" t="s">
        <v>143</v>
      </c>
      <c r="LZ29" s="257" t="s">
        <v>143</v>
      </c>
      <c r="MA29" s="257" t="s">
        <v>143</v>
      </c>
      <c r="MB29" s="257" t="s">
        <v>143</v>
      </c>
      <c r="MC29" s="257" t="s">
        <v>143</v>
      </c>
      <c r="MD29" s="240"/>
      <c r="ME29" s="240"/>
      <c r="MF29" s="257" t="s">
        <v>143</v>
      </c>
      <c r="MG29" s="257" t="s">
        <v>143</v>
      </c>
      <c r="MH29" s="257" t="s">
        <v>143</v>
      </c>
      <c r="MI29" s="257" t="s">
        <v>143</v>
      </c>
      <c r="MJ29" s="257" t="s">
        <v>143</v>
      </c>
      <c r="MK29" s="240"/>
      <c r="ML29" s="240"/>
      <c r="MM29" s="257" t="s">
        <v>143</v>
      </c>
      <c r="MN29" s="257" t="s">
        <v>143</v>
      </c>
      <c r="MO29" s="257" t="s">
        <v>143</v>
      </c>
      <c r="MP29" s="257" t="s">
        <v>143</v>
      </c>
      <c r="MQ29" s="257" t="s">
        <v>143</v>
      </c>
      <c r="MR29" s="240"/>
      <c r="MS29" s="240"/>
      <c r="MT29" s="257" t="s">
        <v>143</v>
      </c>
      <c r="MU29" s="257" t="s">
        <v>143</v>
      </c>
      <c r="MV29" s="257" t="s">
        <v>143</v>
      </c>
      <c r="MW29" s="257" t="s">
        <v>143</v>
      </c>
      <c r="MX29" s="295"/>
      <c r="MY29" s="240"/>
      <c r="MZ29" s="240"/>
      <c r="NA29" s="295"/>
      <c r="NB29" s="257" t="s">
        <v>143</v>
      </c>
      <c r="NC29" s="257" t="s">
        <v>143</v>
      </c>
      <c r="ND29" s="257" t="s">
        <v>143</v>
      </c>
      <c r="NE29" s="295"/>
      <c r="NF29" s="240"/>
      <c r="NG29" s="240"/>
    </row>
    <row r="30" spans="1:371">
      <c r="A30" s="258" t="s">
        <v>364</v>
      </c>
      <c r="B30" s="259"/>
      <c r="C30" s="260"/>
      <c r="D30" s="295" t="s">
        <v>295</v>
      </c>
      <c r="E30" s="245"/>
      <c r="F30" s="241"/>
      <c r="G30" s="241"/>
      <c r="H30" s="245"/>
      <c r="I30" s="245"/>
      <c r="J30" s="245"/>
      <c r="K30" s="245"/>
      <c r="L30" s="245"/>
      <c r="M30" s="241"/>
      <c r="N30" s="241"/>
      <c r="O30" s="245"/>
      <c r="P30" s="245"/>
      <c r="Q30" s="245"/>
      <c r="R30" s="245"/>
      <c r="S30" s="245"/>
      <c r="T30" s="241"/>
      <c r="U30" s="241"/>
      <c r="V30" s="245"/>
      <c r="W30" s="245"/>
      <c r="X30" s="245"/>
      <c r="Y30" s="245"/>
      <c r="Z30" s="245"/>
      <c r="AA30" s="241"/>
      <c r="AB30" s="241"/>
      <c r="AC30" s="245"/>
      <c r="AD30" s="245"/>
      <c r="AE30" s="245"/>
      <c r="AF30" s="245"/>
      <c r="AG30" s="245"/>
      <c r="AH30" s="241"/>
      <c r="AI30" s="241"/>
      <c r="AJ30" s="245"/>
      <c r="AK30" s="245"/>
      <c r="AL30" s="245"/>
      <c r="AM30" s="245"/>
      <c r="AN30" s="245"/>
      <c r="AO30" s="241"/>
      <c r="AP30" s="241"/>
      <c r="AQ30" s="245"/>
      <c r="AR30" s="245"/>
      <c r="AS30" s="245"/>
      <c r="AT30" s="245"/>
      <c r="AU30" s="245"/>
      <c r="AV30" s="241"/>
      <c r="AW30" s="241"/>
      <c r="AX30" s="245"/>
      <c r="AY30" s="245"/>
      <c r="AZ30" s="245"/>
      <c r="BA30" s="245"/>
      <c r="BB30" s="245"/>
      <c r="BC30" s="241"/>
      <c r="BD30" s="241"/>
      <c r="BE30" s="245"/>
      <c r="BF30" s="245"/>
      <c r="BG30" s="245"/>
      <c r="BH30" s="245"/>
      <c r="BI30" s="245"/>
      <c r="BJ30" s="241"/>
      <c r="BK30" s="241"/>
      <c r="BL30" s="245"/>
      <c r="BM30" s="245"/>
      <c r="BN30" s="245"/>
      <c r="BO30" s="245"/>
      <c r="BP30" s="245"/>
      <c r="BQ30" s="241"/>
      <c r="BR30" s="241"/>
      <c r="BS30" s="245"/>
      <c r="BT30" s="245"/>
      <c r="BU30" s="245"/>
      <c r="BV30" s="245"/>
      <c r="BW30" s="245"/>
      <c r="BX30" s="241"/>
      <c r="BY30" s="241"/>
      <c r="BZ30" s="245"/>
      <c r="CA30" s="245"/>
      <c r="CB30" s="245"/>
      <c r="CC30" s="245"/>
      <c r="CD30" s="245"/>
      <c r="CE30" s="241"/>
      <c r="CF30" s="241"/>
      <c r="CG30" s="245"/>
      <c r="CH30" s="245"/>
      <c r="CI30" s="245"/>
      <c r="CJ30" s="245"/>
      <c r="CK30" s="245"/>
      <c r="CL30" s="241"/>
      <c r="CM30" s="241"/>
      <c r="CN30" s="245"/>
      <c r="CO30" s="245"/>
      <c r="CP30" s="245"/>
      <c r="CQ30" s="245"/>
      <c r="CR30" s="262" t="s">
        <v>295</v>
      </c>
      <c r="CS30" s="241"/>
      <c r="CT30" s="241"/>
      <c r="CU30" s="262" t="s">
        <v>295</v>
      </c>
      <c r="CV30" s="245"/>
      <c r="CW30" s="245"/>
      <c r="CX30" s="245"/>
      <c r="CY30" s="245"/>
      <c r="CZ30" s="241"/>
      <c r="DA30" s="241"/>
      <c r="DB30" s="245"/>
      <c r="DC30" s="245"/>
      <c r="DD30" s="245"/>
      <c r="DE30" s="245"/>
      <c r="DF30" s="245"/>
      <c r="DG30" s="241"/>
      <c r="DH30" s="241"/>
      <c r="DI30" s="245"/>
      <c r="DJ30" s="245"/>
      <c r="DK30" s="245"/>
      <c r="DL30" s="245"/>
      <c r="DM30" s="245"/>
      <c r="DN30" s="241"/>
      <c r="DO30" s="241"/>
      <c r="DP30" s="245"/>
      <c r="DQ30" s="245"/>
      <c r="DR30" s="245"/>
      <c r="DS30" s="245"/>
      <c r="DT30" s="245"/>
      <c r="DU30" s="241"/>
      <c r="DV30" s="241"/>
      <c r="DW30" s="262" t="s">
        <v>295</v>
      </c>
      <c r="DX30" s="245"/>
      <c r="DY30" s="245"/>
      <c r="DZ30" s="245"/>
      <c r="EA30" s="245"/>
      <c r="EB30" s="241"/>
      <c r="EC30" s="241"/>
      <c r="ED30" s="245"/>
      <c r="EE30" s="245"/>
      <c r="EF30" s="245"/>
      <c r="EG30" s="245"/>
      <c r="EH30" s="245"/>
      <c r="EI30" s="241"/>
      <c r="EJ30" s="241"/>
      <c r="EK30" s="245"/>
      <c r="EL30" s="245"/>
      <c r="EM30" s="245"/>
      <c r="EN30" s="245"/>
      <c r="EO30" s="245"/>
      <c r="EP30" s="241"/>
      <c r="EQ30" s="241"/>
      <c r="ER30" s="262" t="s">
        <v>295</v>
      </c>
      <c r="ES30" s="245"/>
      <c r="ET30" s="245"/>
      <c r="EU30" s="245"/>
      <c r="EV30" s="245"/>
      <c r="EW30" s="241"/>
      <c r="EX30" s="241"/>
      <c r="EY30" s="245"/>
      <c r="EZ30" s="245"/>
      <c r="FA30" s="245"/>
      <c r="FB30" s="245"/>
      <c r="FC30" s="245"/>
      <c r="FD30" s="241"/>
      <c r="FE30" s="241"/>
      <c r="FF30" s="245"/>
      <c r="FG30" s="245"/>
      <c r="FH30" s="245"/>
      <c r="FI30" s="245"/>
      <c r="FJ30" s="245"/>
      <c r="FK30" s="241"/>
      <c r="FL30" s="241"/>
      <c r="FM30" s="245"/>
      <c r="FN30" s="245"/>
      <c r="FO30" s="245"/>
      <c r="FP30" s="245"/>
      <c r="FQ30" s="245"/>
      <c r="FR30" s="241"/>
      <c r="FS30" s="241"/>
      <c r="FT30" s="245"/>
      <c r="FU30" s="245"/>
      <c r="FV30" s="245"/>
      <c r="FW30" s="245"/>
      <c r="FX30" s="245"/>
      <c r="FY30" s="241"/>
      <c r="FZ30" s="241"/>
      <c r="GA30" s="245"/>
      <c r="GB30" s="245"/>
      <c r="GC30" s="245"/>
      <c r="GD30" s="245"/>
      <c r="GE30" s="245"/>
      <c r="GF30" s="241"/>
      <c r="GG30" s="241"/>
      <c r="GH30" s="245"/>
      <c r="GI30" s="245"/>
      <c r="GJ30" s="245"/>
      <c r="GK30" s="245"/>
      <c r="GL30" s="245"/>
      <c r="GM30" s="241"/>
      <c r="GN30" s="241"/>
      <c r="GO30" s="245"/>
      <c r="GP30" s="245"/>
      <c r="GQ30" s="245"/>
      <c r="GR30" s="245"/>
      <c r="GS30" s="245"/>
      <c r="GT30" s="241"/>
      <c r="GU30" s="241"/>
      <c r="GV30" s="245"/>
      <c r="GW30" s="245"/>
      <c r="GX30" s="245"/>
      <c r="GY30" s="245"/>
      <c r="GZ30" s="245"/>
      <c r="HA30" s="241"/>
      <c r="HB30" s="241"/>
      <c r="HC30" s="245"/>
      <c r="HD30" s="245"/>
      <c r="HE30" s="245"/>
      <c r="HF30" s="245"/>
      <c r="HG30" s="245"/>
      <c r="HH30" s="241"/>
      <c r="HI30" s="241"/>
      <c r="HJ30" s="245"/>
      <c r="HK30" s="245"/>
      <c r="HL30" s="245"/>
      <c r="HM30" s="245"/>
      <c r="HN30" s="245"/>
      <c r="HO30" s="241"/>
      <c r="HP30" s="241"/>
      <c r="HQ30" s="245"/>
      <c r="HR30" s="245"/>
      <c r="HS30" s="245"/>
      <c r="HT30" s="245"/>
      <c r="HU30" s="245"/>
      <c r="HV30" s="241"/>
      <c r="HW30" s="241"/>
      <c r="HX30" s="245"/>
      <c r="HY30" s="245"/>
      <c r="HZ30" s="245"/>
      <c r="IA30" s="245"/>
      <c r="IB30" s="245"/>
      <c r="IC30" s="241"/>
      <c r="ID30" s="241"/>
      <c r="IE30" s="245"/>
      <c r="IF30" s="245"/>
      <c r="IG30" s="245"/>
      <c r="IH30" s="245"/>
      <c r="II30" s="245"/>
      <c r="IJ30" s="241"/>
      <c r="IK30" s="241"/>
      <c r="IL30" s="262" t="s">
        <v>295</v>
      </c>
      <c r="IM30" s="245"/>
      <c r="IN30" s="245"/>
      <c r="IO30" s="245"/>
      <c r="IP30" s="245"/>
      <c r="IQ30" s="241"/>
      <c r="IR30" s="241"/>
      <c r="IS30" s="245"/>
      <c r="IT30" s="245"/>
      <c r="IU30" s="245"/>
      <c r="IV30" s="245"/>
      <c r="IW30" s="245"/>
      <c r="IX30" s="241"/>
      <c r="IY30" s="241"/>
      <c r="IZ30" s="245"/>
      <c r="JA30" s="245"/>
      <c r="JB30" s="245"/>
      <c r="JC30" s="245"/>
      <c r="JD30" s="245"/>
      <c r="JE30" s="241"/>
      <c r="JF30" s="241"/>
      <c r="JG30" s="245"/>
      <c r="JH30" s="245"/>
      <c r="JI30" s="245"/>
      <c r="JJ30" s="245"/>
      <c r="JK30" s="245"/>
      <c r="JL30" s="241"/>
      <c r="JM30" s="241"/>
      <c r="JN30" s="245"/>
      <c r="JO30" s="245"/>
      <c r="JP30" s="245"/>
      <c r="JQ30" s="245"/>
      <c r="JR30" s="245"/>
      <c r="JS30" s="241"/>
      <c r="JT30" s="241"/>
      <c r="JU30" s="245"/>
      <c r="JV30" s="245"/>
      <c r="JW30" s="245"/>
      <c r="JX30" s="245"/>
      <c r="JY30" s="245"/>
      <c r="JZ30" s="241"/>
      <c r="KA30" s="241"/>
      <c r="KB30" s="245"/>
      <c r="KC30" s="245"/>
      <c r="KD30" s="245"/>
      <c r="KE30" s="245"/>
      <c r="KF30" s="245"/>
      <c r="KG30" s="241"/>
      <c r="KH30" s="241"/>
      <c r="KI30" s="245"/>
      <c r="KJ30" s="245"/>
      <c r="KK30" s="245"/>
      <c r="KL30" s="245"/>
      <c r="KM30" s="245"/>
      <c r="KN30" s="241"/>
      <c r="KO30" s="241"/>
      <c r="KP30" s="245"/>
      <c r="KQ30" s="245"/>
      <c r="KR30" s="245"/>
      <c r="KS30" s="245"/>
      <c r="KT30" s="245"/>
      <c r="KU30" s="241"/>
      <c r="KV30" s="241"/>
      <c r="KW30" s="245"/>
      <c r="KX30" s="245"/>
      <c r="KY30" s="245"/>
      <c r="KZ30" s="245"/>
      <c r="LA30" s="245"/>
      <c r="LB30" s="241"/>
      <c r="LC30" s="241"/>
      <c r="LD30" s="245"/>
      <c r="LE30" s="245"/>
      <c r="LF30" s="245"/>
      <c r="LG30" s="245"/>
      <c r="LH30" s="245"/>
      <c r="LI30" s="241"/>
      <c r="LJ30" s="241"/>
      <c r="LK30" s="245"/>
      <c r="LL30" s="245"/>
      <c r="LM30" s="245"/>
      <c r="LN30" s="245"/>
      <c r="LO30" s="245"/>
      <c r="LP30" s="241"/>
      <c r="LQ30" s="241"/>
      <c r="LR30" s="245"/>
      <c r="LS30" s="245"/>
      <c r="LT30" s="245"/>
      <c r="LU30" s="245"/>
      <c r="LV30" s="245"/>
      <c r="LW30" s="241"/>
      <c r="LX30" s="241"/>
      <c r="LY30" s="245"/>
      <c r="LZ30" s="245"/>
      <c r="MA30" s="245"/>
      <c r="MB30" s="245"/>
      <c r="MC30" s="245"/>
      <c r="MD30" s="241"/>
      <c r="ME30" s="241"/>
      <c r="MF30" s="245"/>
      <c r="MG30" s="245"/>
      <c r="MH30" s="245"/>
      <c r="MI30" s="245"/>
      <c r="MJ30" s="245"/>
      <c r="MK30" s="241"/>
      <c r="ML30" s="241"/>
      <c r="MM30" s="245"/>
      <c r="MN30" s="245"/>
      <c r="MO30" s="245"/>
      <c r="MP30" s="245"/>
      <c r="MQ30" s="245"/>
      <c r="MR30" s="241"/>
      <c r="MS30" s="241"/>
      <c r="MT30" s="245"/>
      <c r="MU30" s="245"/>
      <c r="MV30" s="245"/>
      <c r="MW30" s="245"/>
      <c r="MX30" s="262" t="s">
        <v>295</v>
      </c>
      <c r="MY30" s="241"/>
      <c r="MZ30" s="241"/>
      <c r="NA30" s="262" t="s">
        <v>295</v>
      </c>
      <c r="NB30" s="245"/>
      <c r="NC30" s="245"/>
      <c r="ND30" s="245"/>
      <c r="NE30" s="262" t="s">
        <v>295</v>
      </c>
      <c r="NF30" s="241"/>
      <c r="NG30" s="241"/>
    </row>
    <row r="31" spans="1:371">
      <c r="A31" s="241"/>
      <c r="B31" s="241"/>
      <c r="C31" s="241"/>
      <c r="D31" s="261">
        <v>45658</v>
      </c>
      <c r="E31" s="261">
        <v>46024</v>
      </c>
      <c r="F31" s="261">
        <v>46025</v>
      </c>
      <c r="G31" s="261">
        <v>46026</v>
      </c>
      <c r="H31" s="261">
        <v>46027</v>
      </c>
      <c r="I31" s="261">
        <v>46028</v>
      </c>
      <c r="J31" s="261">
        <v>46029</v>
      </c>
      <c r="K31" s="261">
        <v>46030</v>
      </c>
      <c r="L31" s="261">
        <v>46031</v>
      </c>
      <c r="M31" s="261">
        <v>46032</v>
      </c>
      <c r="N31" s="261">
        <v>46033</v>
      </c>
      <c r="O31" s="261">
        <v>46034</v>
      </c>
      <c r="P31" s="261">
        <v>46035</v>
      </c>
      <c r="Q31" s="261">
        <v>46036</v>
      </c>
      <c r="R31" s="261">
        <v>46037</v>
      </c>
      <c r="S31" s="261">
        <v>46038</v>
      </c>
      <c r="T31" s="261">
        <v>46039</v>
      </c>
      <c r="U31" s="261">
        <v>46040</v>
      </c>
      <c r="V31" s="261">
        <v>46041</v>
      </c>
      <c r="W31" s="261">
        <v>46042</v>
      </c>
      <c r="X31" s="261">
        <v>46043</v>
      </c>
      <c r="Y31" s="261">
        <v>46044</v>
      </c>
      <c r="Z31" s="261">
        <v>46045</v>
      </c>
      <c r="AA31" s="261">
        <v>46046</v>
      </c>
      <c r="AB31" s="261">
        <v>46047</v>
      </c>
      <c r="AC31" s="261">
        <v>46048</v>
      </c>
      <c r="AD31" s="261">
        <v>46049</v>
      </c>
      <c r="AE31" s="261">
        <v>46050</v>
      </c>
      <c r="AF31" s="261">
        <v>46051</v>
      </c>
      <c r="AG31" s="261">
        <v>46052</v>
      </c>
      <c r="AH31" s="261">
        <v>46053</v>
      </c>
      <c r="AI31" s="261">
        <v>46054</v>
      </c>
      <c r="AJ31" s="261">
        <v>46055</v>
      </c>
      <c r="AK31" s="261">
        <v>46056</v>
      </c>
      <c r="AL31" s="261">
        <v>46057</v>
      </c>
      <c r="AM31" s="261">
        <v>46058</v>
      </c>
      <c r="AN31" s="261">
        <v>46059</v>
      </c>
      <c r="AO31" s="261">
        <v>46060</v>
      </c>
      <c r="AP31" s="261">
        <v>46061</v>
      </c>
      <c r="AQ31" s="261">
        <v>46062</v>
      </c>
      <c r="AR31" s="261">
        <v>46063</v>
      </c>
      <c r="AS31" s="261">
        <v>46064</v>
      </c>
      <c r="AT31" s="261">
        <v>46065</v>
      </c>
      <c r="AU31" s="261">
        <v>46066</v>
      </c>
      <c r="AV31" s="261">
        <v>46067</v>
      </c>
      <c r="AW31" s="261">
        <v>46068</v>
      </c>
      <c r="AX31" s="261">
        <v>46069</v>
      </c>
      <c r="AY31" s="261">
        <v>46070</v>
      </c>
      <c r="AZ31" s="261">
        <v>46071</v>
      </c>
      <c r="BA31" s="261">
        <v>46072</v>
      </c>
      <c r="BB31" s="261">
        <v>46073</v>
      </c>
      <c r="BC31" s="261">
        <v>46074</v>
      </c>
      <c r="BD31" s="261">
        <v>46075</v>
      </c>
      <c r="BE31" s="261">
        <v>46076</v>
      </c>
      <c r="BF31" s="261">
        <v>46077</v>
      </c>
      <c r="BG31" s="261">
        <v>46078</v>
      </c>
      <c r="BH31" s="261">
        <v>46079</v>
      </c>
      <c r="BI31" s="261">
        <v>46080</v>
      </c>
      <c r="BJ31" s="261">
        <v>46081</v>
      </c>
      <c r="BK31" s="261">
        <v>46082</v>
      </c>
      <c r="BL31" s="261">
        <v>46083</v>
      </c>
      <c r="BM31" s="261">
        <v>46084</v>
      </c>
      <c r="BN31" s="261">
        <v>46085</v>
      </c>
      <c r="BO31" s="261">
        <v>46086</v>
      </c>
      <c r="BP31" s="261">
        <v>46087</v>
      </c>
      <c r="BQ31" s="261">
        <v>46088</v>
      </c>
      <c r="BR31" s="261">
        <v>46089</v>
      </c>
      <c r="BS31" s="261">
        <v>46090</v>
      </c>
      <c r="BT31" s="261">
        <v>46091</v>
      </c>
      <c r="BU31" s="261">
        <v>46092</v>
      </c>
      <c r="BV31" s="261">
        <v>46093</v>
      </c>
      <c r="BW31" s="261">
        <v>46094</v>
      </c>
      <c r="BX31" s="261">
        <v>46095</v>
      </c>
      <c r="BY31" s="261">
        <v>46096</v>
      </c>
      <c r="BZ31" s="261">
        <v>46097</v>
      </c>
      <c r="CA31" s="261">
        <v>46098</v>
      </c>
      <c r="CB31" s="261">
        <v>46099</v>
      </c>
      <c r="CC31" s="261">
        <v>46100</v>
      </c>
      <c r="CD31" s="261">
        <v>46101</v>
      </c>
      <c r="CE31" s="261">
        <v>46102</v>
      </c>
      <c r="CF31" s="261">
        <v>46103</v>
      </c>
      <c r="CG31" s="261">
        <v>46104</v>
      </c>
      <c r="CH31" s="261">
        <v>46105</v>
      </c>
      <c r="CI31" s="261">
        <v>46106</v>
      </c>
      <c r="CJ31" s="261">
        <v>46107</v>
      </c>
      <c r="CK31" s="261">
        <v>46108</v>
      </c>
      <c r="CL31" s="261">
        <v>46109</v>
      </c>
      <c r="CM31" s="261">
        <v>46110</v>
      </c>
      <c r="CN31" s="261">
        <v>46111</v>
      </c>
      <c r="CO31" s="261">
        <v>46112</v>
      </c>
      <c r="CP31" s="261">
        <v>46113</v>
      </c>
      <c r="CQ31" s="261">
        <v>46114</v>
      </c>
      <c r="CR31" s="261">
        <v>46115</v>
      </c>
      <c r="CS31" s="261">
        <v>46116</v>
      </c>
      <c r="CT31" s="261">
        <v>46117</v>
      </c>
      <c r="CU31" s="261">
        <v>46118</v>
      </c>
      <c r="CV31" s="261">
        <v>46119</v>
      </c>
      <c r="CW31" s="261">
        <v>46120</v>
      </c>
      <c r="CX31" s="261">
        <v>46121</v>
      </c>
      <c r="CY31" s="261">
        <v>46122</v>
      </c>
      <c r="CZ31" s="261">
        <v>46123</v>
      </c>
      <c r="DA31" s="261">
        <v>46124</v>
      </c>
      <c r="DB31" s="261">
        <v>46125</v>
      </c>
      <c r="DC31" s="261">
        <v>46126</v>
      </c>
      <c r="DD31" s="261">
        <v>46127</v>
      </c>
      <c r="DE31" s="261">
        <v>46128</v>
      </c>
      <c r="DF31" s="261">
        <v>46129</v>
      </c>
      <c r="DG31" s="261">
        <v>46130</v>
      </c>
      <c r="DH31" s="261">
        <v>46131</v>
      </c>
      <c r="DI31" s="261">
        <v>46132</v>
      </c>
      <c r="DJ31" s="261">
        <v>46133</v>
      </c>
      <c r="DK31" s="261">
        <v>46134</v>
      </c>
      <c r="DL31" s="261">
        <v>46135</v>
      </c>
      <c r="DM31" s="261">
        <v>46136</v>
      </c>
      <c r="DN31" s="261">
        <v>46137</v>
      </c>
      <c r="DO31" s="261">
        <v>46138</v>
      </c>
      <c r="DP31" s="261">
        <v>46139</v>
      </c>
      <c r="DQ31" s="261">
        <v>46140</v>
      </c>
      <c r="DR31" s="261">
        <v>46141</v>
      </c>
      <c r="DS31" s="261">
        <v>46142</v>
      </c>
      <c r="DT31" s="261">
        <v>46143</v>
      </c>
      <c r="DU31" s="261">
        <v>46144</v>
      </c>
      <c r="DV31" s="261">
        <v>46145</v>
      </c>
      <c r="DW31" s="261">
        <v>46146</v>
      </c>
      <c r="DX31" s="261">
        <v>46147</v>
      </c>
      <c r="DY31" s="261">
        <v>46148</v>
      </c>
      <c r="DZ31" s="261">
        <v>46149</v>
      </c>
      <c r="EA31" s="261">
        <v>46150</v>
      </c>
      <c r="EB31" s="261">
        <v>46151</v>
      </c>
      <c r="EC31" s="261">
        <v>46152</v>
      </c>
      <c r="ED31" s="261">
        <v>46153</v>
      </c>
      <c r="EE31" s="261">
        <v>46154</v>
      </c>
      <c r="EF31" s="261">
        <v>46155</v>
      </c>
      <c r="EG31" s="261">
        <v>46156</v>
      </c>
      <c r="EH31" s="261">
        <v>46157</v>
      </c>
      <c r="EI31" s="261">
        <v>46158</v>
      </c>
      <c r="EJ31" s="261">
        <v>46159</v>
      </c>
      <c r="EK31" s="261">
        <v>46160</v>
      </c>
      <c r="EL31" s="261">
        <v>46161</v>
      </c>
      <c r="EM31" s="261">
        <v>46162</v>
      </c>
      <c r="EN31" s="261">
        <v>46163</v>
      </c>
      <c r="EO31" s="261">
        <v>46164</v>
      </c>
      <c r="EP31" s="261">
        <v>46165</v>
      </c>
      <c r="EQ31" s="261">
        <v>46166</v>
      </c>
      <c r="ER31" s="261">
        <v>46167</v>
      </c>
      <c r="ES31" s="261">
        <v>46168</v>
      </c>
      <c r="ET31" s="261">
        <v>46169</v>
      </c>
      <c r="EU31" s="261">
        <v>46170</v>
      </c>
      <c r="EV31" s="261">
        <v>46171</v>
      </c>
      <c r="EW31" s="261">
        <v>46172</v>
      </c>
      <c r="EX31" s="261">
        <v>46173</v>
      </c>
      <c r="EY31" s="261">
        <v>46174</v>
      </c>
      <c r="EZ31" s="261">
        <v>46175</v>
      </c>
      <c r="FA31" s="261">
        <v>46176</v>
      </c>
      <c r="FB31" s="261">
        <v>46177</v>
      </c>
      <c r="FC31" s="261">
        <v>46178</v>
      </c>
      <c r="FD31" s="261">
        <v>46179</v>
      </c>
      <c r="FE31" s="261">
        <v>46180</v>
      </c>
      <c r="FF31" s="261">
        <v>46181</v>
      </c>
      <c r="FG31" s="261">
        <v>46182</v>
      </c>
      <c r="FH31" s="261">
        <v>46183</v>
      </c>
      <c r="FI31" s="261">
        <v>46184</v>
      </c>
      <c r="FJ31" s="261">
        <v>46185</v>
      </c>
      <c r="FK31" s="261">
        <v>46186</v>
      </c>
      <c r="FL31" s="261">
        <v>46187</v>
      </c>
      <c r="FM31" s="261">
        <v>46188</v>
      </c>
      <c r="FN31" s="261">
        <v>46189</v>
      </c>
      <c r="FO31" s="261">
        <v>46190</v>
      </c>
      <c r="FP31" s="261">
        <v>46191</v>
      </c>
      <c r="FQ31" s="261">
        <v>46192</v>
      </c>
      <c r="FR31" s="261">
        <v>46193</v>
      </c>
      <c r="FS31" s="261">
        <v>46194</v>
      </c>
      <c r="FT31" s="261">
        <v>46195</v>
      </c>
      <c r="FU31" s="261">
        <v>46196</v>
      </c>
      <c r="FV31" s="261">
        <v>46197</v>
      </c>
      <c r="FW31" s="261">
        <v>46198</v>
      </c>
      <c r="FX31" s="261">
        <v>46199</v>
      </c>
      <c r="FY31" s="261">
        <v>46200</v>
      </c>
      <c r="FZ31" s="261">
        <v>46201</v>
      </c>
      <c r="GA31" s="261">
        <v>46202</v>
      </c>
      <c r="GB31" s="261">
        <v>46203</v>
      </c>
      <c r="GC31" s="261">
        <v>46204</v>
      </c>
      <c r="GD31" s="261">
        <v>46205</v>
      </c>
      <c r="GE31" s="261">
        <v>46206</v>
      </c>
      <c r="GF31" s="261">
        <v>46207</v>
      </c>
      <c r="GG31" s="261">
        <v>46208</v>
      </c>
      <c r="GH31" s="261">
        <v>46209</v>
      </c>
      <c r="GI31" s="261">
        <v>46210</v>
      </c>
      <c r="GJ31" s="261">
        <v>46211</v>
      </c>
      <c r="GK31" s="261">
        <v>46212</v>
      </c>
      <c r="GL31" s="261">
        <v>46213</v>
      </c>
      <c r="GM31" s="261">
        <v>46214</v>
      </c>
      <c r="GN31" s="261">
        <v>46215</v>
      </c>
      <c r="GO31" s="261">
        <v>46216</v>
      </c>
      <c r="GP31" s="261">
        <v>46217</v>
      </c>
      <c r="GQ31" s="261">
        <v>46218</v>
      </c>
      <c r="GR31" s="261">
        <v>46219</v>
      </c>
      <c r="GS31" s="261">
        <v>46220</v>
      </c>
      <c r="GT31" s="261">
        <v>46221</v>
      </c>
      <c r="GU31" s="261">
        <v>46222</v>
      </c>
      <c r="GV31" s="261">
        <v>46223</v>
      </c>
      <c r="GW31" s="261">
        <v>46224</v>
      </c>
      <c r="GX31" s="261">
        <v>46225</v>
      </c>
      <c r="GY31" s="261">
        <v>46226</v>
      </c>
      <c r="GZ31" s="261">
        <v>46227</v>
      </c>
      <c r="HA31" s="261">
        <v>46228</v>
      </c>
      <c r="HB31" s="261">
        <v>46229</v>
      </c>
      <c r="HC31" s="261">
        <v>46230</v>
      </c>
      <c r="HD31" s="261">
        <v>46231</v>
      </c>
      <c r="HE31" s="261">
        <v>46232</v>
      </c>
      <c r="HF31" s="261">
        <v>46233</v>
      </c>
      <c r="HG31" s="261">
        <v>46234</v>
      </c>
      <c r="HH31" s="261">
        <v>46235</v>
      </c>
      <c r="HI31" s="261">
        <v>46236</v>
      </c>
      <c r="HJ31" s="261">
        <v>46237</v>
      </c>
      <c r="HK31" s="261">
        <v>46238</v>
      </c>
      <c r="HL31" s="261">
        <v>46239</v>
      </c>
      <c r="HM31" s="261">
        <v>46240</v>
      </c>
      <c r="HN31" s="261">
        <v>46241</v>
      </c>
      <c r="HO31" s="261">
        <v>46242</v>
      </c>
      <c r="HP31" s="261">
        <v>46243</v>
      </c>
      <c r="HQ31" s="261">
        <v>46244</v>
      </c>
      <c r="HR31" s="261">
        <v>46245</v>
      </c>
      <c r="HS31" s="261">
        <v>46246</v>
      </c>
      <c r="HT31" s="261">
        <v>46247</v>
      </c>
      <c r="HU31" s="261">
        <v>46248</v>
      </c>
      <c r="HV31" s="261">
        <v>46249</v>
      </c>
      <c r="HW31" s="261">
        <v>46250</v>
      </c>
      <c r="HX31" s="261">
        <v>46251</v>
      </c>
      <c r="HY31" s="261">
        <v>46252</v>
      </c>
      <c r="HZ31" s="261">
        <v>46253</v>
      </c>
      <c r="IA31" s="261">
        <v>46254</v>
      </c>
      <c r="IB31" s="261">
        <v>46255</v>
      </c>
      <c r="IC31" s="261">
        <v>46256</v>
      </c>
      <c r="ID31" s="261">
        <v>46257</v>
      </c>
      <c r="IE31" s="261">
        <v>46258</v>
      </c>
      <c r="IF31" s="261">
        <v>46259</v>
      </c>
      <c r="IG31" s="261">
        <v>46260</v>
      </c>
      <c r="IH31" s="261">
        <v>46261</v>
      </c>
      <c r="II31" s="261">
        <v>46262</v>
      </c>
      <c r="IJ31" s="261">
        <v>46263</v>
      </c>
      <c r="IK31" s="261">
        <v>46264</v>
      </c>
      <c r="IL31" s="261">
        <v>46265</v>
      </c>
      <c r="IM31" s="261">
        <v>46266</v>
      </c>
      <c r="IN31" s="261">
        <v>46267</v>
      </c>
      <c r="IO31" s="261">
        <v>46268</v>
      </c>
      <c r="IP31" s="261">
        <v>46269</v>
      </c>
      <c r="IQ31" s="261">
        <v>46270</v>
      </c>
      <c r="IR31" s="261">
        <v>46271</v>
      </c>
      <c r="IS31" s="261">
        <v>46272</v>
      </c>
      <c r="IT31" s="261">
        <v>46273</v>
      </c>
      <c r="IU31" s="261">
        <v>46274</v>
      </c>
      <c r="IV31" s="261">
        <v>46275</v>
      </c>
      <c r="IW31" s="261">
        <v>46276</v>
      </c>
      <c r="IX31" s="261">
        <v>46277</v>
      </c>
      <c r="IY31" s="261">
        <v>46278</v>
      </c>
      <c r="IZ31" s="261">
        <v>46279</v>
      </c>
      <c r="JA31" s="261">
        <v>46280</v>
      </c>
      <c r="JB31" s="261">
        <v>46281</v>
      </c>
      <c r="JC31" s="261">
        <v>46282</v>
      </c>
      <c r="JD31" s="261">
        <v>46283</v>
      </c>
      <c r="JE31" s="261">
        <v>46284</v>
      </c>
      <c r="JF31" s="261">
        <v>46285</v>
      </c>
      <c r="JG31" s="261">
        <v>46286</v>
      </c>
      <c r="JH31" s="261">
        <v>46287</v>
      </c>
      <c r="JI31" s="261">
        <v>46288</v>
      </c>
      <c r="JJ31" s="261">
        <v>46289</v>
      </c>
      <c r="JK31" s="261">
        <v>46290</v>
      </c>
      <c r="JL31" s="261">
        <v>46291</v>
      </c>
      <c r="JM31" s="261">
        <v>46292</v>
      </c>
      <c r="JN31" s="261">
        <v>46293</v>
      </c>
      <c r="JO31" s="261">
        <v>46294</v>
      </c>
      <c r="JP31" s="261">
        <v>46295</v>
      </c>
      <c r="JQ31" s="261">
        <v>46296</v>
      </c>
      <c r="JR31" s="261">
        <v>46297</v>
      </c>
      <c r="JS31" s="261">
        <v>46298</v>
      </c>
      <c r="JT31" s="261">
        <v>46299</v>
      </c>
      <c r="JU31" s="261">
        <v>46300</v>
      </c>
      <c r="JV31" s="261">
        <v>46301</v>
      </c>
      <c r="JW31" s="261">
        <v>46302</v>
      </c>
      <c r="JX31" s="261">
        <v>46303</v>
      </c>
      <c r="JY31" s="261">
        <v>46304</v>
      </c>
      <c r="JZ31" s="261">
        <v>46305</v>
      </c>
      <c r="KA31" s="261">
        <v>46306</v>
      </c>
      <c r="KB31" s="261">
        <v>46307</v>
      </c>
      <c r="KC31" s="261">
        <v>46308</v>
      </c>
      <c r="KD31" s="261">
        <v>46309</v>
      </c>
      <c r="KE31" s="261">
        <v>46310</v>
      </c>
      <c r="KF31" s="261">
        <v>46311</v>
      </c>
      <c r="KG31" s="261">
        <v>46312</v>
      </c>
      <c r="KH31" s="261">
        <v>46313</v>
      </c>
      <c r="KI31" s="261">
        <v>46314</v>
      </c>
      <c r="KJ31" s="261">
        <v>46315</v>
      </c>
      <c r="KK31" s="261">
        <v>46316</v>
      </c>
      <c r="KL31" s="261">
        <v>46317</v>
      </c>
      <c r="KM31" s="261">
        <v>46318</v>
      </c>
      <c r="KN31" s="261">
        <v>46319</v>
      </c>
      <c r="KO31" s="261">
        <v>46320</v>
      </c>
      <c r="KP31" s="261">
        <v>46321</v>
      </c>
      <c r="KQ31" s="261">
        <v>46322</v>
      </c>
      <c r="KR31" s="261">
        <v>46323</v>
      </c>
      <c r="KS31" s="261">
        <v>46324</v>
      </c>
      <c r="KT31" s="261">
        <v>46325</v>
      </c>
      <c r="KU31" s="261">
        <v>46326</v>
      </c>
      <c r="KV31" s="261">
        <v>46327</v>
      </c>
      <c r="KW31" s="261">
        <v>46328</v>
      </c>
      <c r="KX31" s="261">
        <v>46329</v>
      </c>
      <c r="KY31" s="261">
        <v>46330</v>
      </c>
      <c r="KZ31" s="261">
        <v>46331</v>
      </c>
      <c r="LA31" s="261">
        <v>46332</v>
      </c>
      <c r="LB31" s="261">
        <v>46333</v>
      </c>
      <c r="LC31" s="261">
        <v>46334</v>
      </c>
      <c r="LD31" s="261">
        <v>46335</v>
      </c>
      <c r="LE31" s="261">
        <v>46336</v>
      </c>
      <c r="LF31" s="261">
        <v>46337</v>
      </c>
      <c r="LG31" s="261">
        <v>46338</v>
      </c>
      <c r="LH31" s="261">
        <v>46339</v>
      </c>
      <c r="LI31" s="261">
        <v>46340</v>
      </c>
      <c r="LJ31" s="261">
        <v>46341</v>
      </c>
      <c r="LK31" s="261">
        <v>46342</v>
      </c>
      <c r="LL31" s="261">
        <v>46343</v>
      </c>
      <c r="LM31" s="261">
        <v>46344</v>
      </c>
      <c r="LN31" s="261">
        <v>46345</v>
      </c>
      <c r="LO31" s="261">
        <v>46346</v>
      </c>
      <c r="LP31" s="261">
        <v>46347</v>
      </c>
      <c r="LQ31" s="261">
        <v>46348</v>
      </c>
      <c r="LR31" s="261">
        <v>46349</v>
      </c>
      <c r="LS31" s="261">
        <v>46350</v>
      </c>
      <c r="LT31" s="261">
        <v>46351</v>
      </c>
      <c r="LU31" s="261">
        <v>46352</v>
      </c>
      <c r="LV31" s="261">
        <v>46353</v>
      </c>
      <c r="LW31" s="261">
        <v>46354</v>
      </c>
      <c r="LX31" s="261">
        <v>46355</v>
      </c>
      <c r="LY31" s="261">
        <v>46356</v>
      </c>
      <c r="LZ31" s="261">
        <v>46357</v>
      </c>
      <c r="MA31" s="261">
        <v>46358</v>
      </c>
      <c r="MB31" s="261">
        <v>46359</v>
      </c>
      <c r="MC31" s="261">
        <v>46360</v>
      </c>
      <c r="MD31" s="261">
        <v>46361</v>
      </c>
      <c r="ME31" s="261">
        <v>46362</v>
      </c>
      <c r="MF31" s="261">
        <v>46363</v>
      </c>
      <c r="MG31" s="261">
        <v>46364</v>
      </c>
      <c r="MH31" s="261">
        <v>46365</v>
      </c>
      <c r="MI31" s="261">
        <v>46366</v>
      </c>
      <c r="MJ31" s="261">
        <v>46367</v>
      </c>
      <c r="MK31" s="261">
        <v>46368</v>
      </c>
      <c r="ML31" s="261">
        <v>46369</v>
      </c>
      <c r="MM31" s="261">
        <v>46370</v>
      </c>
      <c r="MN31" s="261">
        <v>46371</v>
      </c>
      <c r="MO31" s="261">
        <v>46372</v>
      </c>
      <c r="MP31" s="261">
        <v>46373</v>
      </c>
      <c r="MQ31" s="261">
        <v>46374</v>
      </c>
      <c r="MR31" s="261">
        <v>46375</v>
      </c>
      <c r="MS31" s="261">
        <v>46376</v>
      </c>
      <c r="MT31" s="261">
        <v>46377</v>
      </c>
      <c r="MU31" s="261">
        <v>46378</v>
      </c>
      <c r="MV31" s="261">
        <v>46379</v>
      </c>
      <c r="MW31" s="261">
        <v>46380</v>
      </c>
      <c r="MX31" s="261">
        <v>46381</v>
      </c>
      <c r="MY31" s="261">
        <v>46382</v>
      </c>
      <c r="MZ31" s="261">
        <v>46383</v>
      </c>
      <c r="NA31" s="261">
        <v>46384</v>
      </c>
      <c r="NB31" s="261">
        <v>46385</v>
      </c>
      <c r="NC31" s="261">
        <v>46386</v>
      </c>
      <c r="ND31" s="261">
        <v>46387</v>
      </c>
      <c r="NE31" s="261">
        <v>46388</v>
      </c>
    </row>
    <row r="32" spans="1:371">
      <c r="A32" s="262" t="s">
        <v>205</v>
      </c>
      <c r="B32" s="241"/>
      <c r="C32" s="241"/>
      <c r="D32" s="262"/>
      <c r="E32" s="263"/>
      <c r="F32" s="262"/>
      <c r="G32" s="262"/>
      <c r="H32" s="263"/>
      <c r="I32" s="263"/>
      <c r="J32" s="263"/>
      <c r="K32" s="263"/>
      <c r="L32" s="263"/>
      <c r="M32" s="262"/>
      <c r="N32" s="262"/>
      <c r="O32" s="263"/>
      <c r="P32" s="263"/>
      <c r="Q32" s="263"/>
      <c r="R32" s="263"/>
      <c r="S32" s="263"/>
      <c r="T32" s="262"/>
      <c r="U32" s="262"/>
      <c r="V32" s="263"/>
      <c r="W32" s="263"/>
      <c r="X32" s="263"/>
      <c r="Y32" s="263"/>
      <c r="Z32" s="263"/>
      <c r="AA32" s="262"/>
      <c r="AB32" s="262"/>
      <c r="AC32" s="263"/>
      <c r="AD32" s="263"/>
      <c r="AE32" s="263"/>
      <c r="AF32" s="263"/>
      <c r="AG32" s="263"/>
      <c r="AH32" s="262"/>
      <c r="AI32" s="262"/>
      <c r="AJ32" s="263"/>
      <c r="AK32" s="263"/>
      <c r="AL32" s="263"/>
      <c r="AM32" s="263"/>
      <c r="AN32" s="263"/>
      <c r="AO32" s="262"/>
      <c r="AP32" s="262"/>
      <c r="AQ32" s="263"/>
      <c r="AR32" s="263"/>
      <c r="AS32" s="263"/>
      <c r="AT32" s="263"/>
      <c r="AU32" s="263"/>
      <c r="AV32" s="262"/>
      <c r="AW32" s="262"/>
      <c r="AX32" s="263"/>
      <c r="AY32" s="263"/>
      <c r="AZ32" s="263"/>
      <c r="BA32" s="263"/>
      <c r="BB32" s="263"/>
      <c r="BC32" s="262"/>
      <c r="BD32" s="262"/>
      <c r="BE32" s="263"/>
      <c r="BF32" s="263"/>
      <c r="BG32" s="263"/>
      <c r="BH32" s="263"/>
      <c r="BI32" s="263"/>
      <c r="BJ32" s="262"/>
      <c r="BK32" s="262"/>
      <c r="BL32" s="263"/>
      <c r="BM32" s="263"/>
      <c r="BN32" s="263"/>
      <c r="BO32" s="263"/>
      <c r="BP32" s="263"/>
      <c r="BQ32" s="262"/>
      <c r="BR32" s="262"/>
      <c r="BS32" s="263"/>
      <c r="BT32" s="263"/>
      <c r="BU32" s="263"/>
      <c r="BV32" s="263"/>
      <c r="BW32" s="263"/>
      <c r="BX32" s="262"/>
      <c r="BY32" s="262"/>
      <c r="BZ32" s="263"/>
      <c r="CA32" s="263"/>
      <c r="CB32" s="263"/>
      <c r="CC32" s="263"/>
      <c r="CD32" s="263"/>
      <c r="CE32" s="262"/>
      <c r="CF32" s="262"/>
      <c r="CG32" s="263"/>
      <c r="CH32" s="263"/>
      <c r="CI32" s="263"/>
      <c r="CJ32" s="263"/>
      <c r="CK32" s="263"/>
      <c r="CL32" s="262"/>
      <c r="CM32" s="262"/>
      <c r="CN32" s="263"/>
      <c r="CO32" s="263"/>
      <c r="CP32" s="263"/>
      <c r="CQ32" s="263"/>
      <c r="CR32" s="262"/>
      <c r="CS32" s="262"/>
      <c r="CT32" s="262"/>
      <c r="CU32" s="262"/>
      <c r="CV32" s="263"/>
      <c r="CW32" s="263"/>
      <c r="CX32" s="263"/>
      <c r="CY32" s="263"/>
      <c r="CZ32" s="262"/>
      <c r="DA32" s="262"/>
      <c r="DB32" s="263"/>
      <c r="DC32" s="263"/>
      <c r="DD32" s="263"/>
      <c r="DE32" s="263"/>
      <c r="DF32" s="263"/>
      <c r="DG32" s="262"/>
      <c r="DH32" s="262"/>
      <c r="DI32" s="263"/>
      <c r="DJ32" s="263"/>
      <c r="DK32" s="263"/>
      <c r="DL32" s="263"/>
      <c r="DM32" s="263"/>
      <c r="DN32" s="262"/>
      <c r="DO32" s="262"/>
      <c r="DP32" s="265"/>
      <c r="DQ32" s="265"/>
      <c r="DR32" s="265"/>
      <c r="DS32" s="265"/>
      <c r="DT32" s="265"/>
      <c r="DU32" s="262"/>
      <c r="DV32" s="262"/>
      <c r="DW32" s="262"/>
      <c r="DX32" s="265"/>
      <c r="DY32" s="265"/>
      <c r="DZ32" s="265"/>
      <c r="EA32" s="265"/>
      <c r="EB32" s="262"/>
      <c r="EC32" s="262"/>
      <c r="ED32" s="265"/>
      <c r="EE32" s="265"/>
      <c r="EF32" s="265"/>
      <c r="EG32" s="265"/>
      <c r="EH32" s="265"/>
      <c r="EI32" s="262"/>
      <c r="EJ32" s="262"/>
      <c r="EK32" s="265"/>
      <c r="EL32" s="265"/>
      <c r="EM32" s="265"/>
      <c r="EN32" s="265"/>
      <c r="EO32" s="265"/>
      <c r="EP32" s="262"/>
      <c r="EQ32" s="262"/>
      <c r="ER32" s="262"/>
      <c r="ES32" s="265"/>
      <c r="ET32" s="265"/>
      <c r="EU32" s="265"/>
      <c r="EV32" s="265"/>
      <c r="EW32" s="262"/>
      <c r="EX32" s="262"/>
      <c r="EY32" s="265"/>
      <c r="EZ32" s="265"/>
      <c r="FA32" s="265"/>
      <c r="FB32" s="265"/>
      <c r="FD32" s="262"/>
      <c r="FE32" s="262"/>
      <c r="FF32" s="265"/>
      <c r="FG32" s="265"/>
      <c r="FH32" s="265"/>
      <c r="FI32" s="265"/>
      <c r="FJ32" s="265"/>
      <c r="FK32" s="262"/>
      <c r="FL32" s="262"/>
      <c r="FM32" s="265"/>
      <c r="FN32" s="265"/>
      <c r="FO32" s="265"/>
      <c r="FP32" s="265"/>
      <c r="FQ32" s="265"/>
      <c r="FR32" s="262"/>
      <c r="FS32" s="262"/>
      <c r="FT32" s="265"/>
      <c r="FU32" s="265"/>
      <c r="FV32" s="265"/>
      <c r="FW32" s="265"/>
      <c r="FX32" s="265"/>
      <c r="FY32" s="262"/>
      <c r="FZ32" s="262"/>
      <c r="GA32" s="265"/>
      <c r="GB32" s="265"/>
      <c r="GC32" s="265"/>
      <c r="GD32" s="265"/>
      <c r="GE32" s="265"/>
      <c r="GF32" s="262"/>
      <c r="GG32" s="262"/>
      <c r="GH32" s="265"/>
      <c r="GI32" s="265"/>
      <c r="GJ32" s="265"/>
      <c r="GK32" s="265"/>
      <c r="GL32" s="265"/>
      <c r="GM32" s="262"/>
      <c r="GN32" s="262"/>
      <c r="GO32" s="265"/>
      <c r="GP32" s="265"/>
      <c r="GQ32" s="265"/>
      <c r="GR32" s="265"/>
      <c r="GS32" s="265"/>
      <c r="GT32" s="262"/>
      <c r="GU32" s="262"/>
      <c r="GV32" s="265"/>
      <c r="GW32" s="265"/>
      <c r="GX32" s="265"/>
      <c r="GY32" s="265"/>
      <c r="GZ32" s="265"/>
      <c r="HA32" s="262"/>
      <c r="HB32" s="262"/>
      <c r="HC32" s="265"/>
      <c r="HD32" s="265"/>
      <c r="HE32" s="265"/>
      <c r="HF32" s="265"/>
      <c r="HG32" s="265"/>
      <c r="HH32" s="262"/>
      <c r="HI32" s="262"/>
      <c r="HJ32" s="265"/>
      <c r="HK32" s="265"/>
      <c r="HL32" s="265"/>
      <c r="HM32" s="265"/>
      <c r="HN32" s="265"/>
      <c r="HO32" s="262"/>
      <c r="HP32" s="262"/>
      <c r="HQ32" s="265"/>
      <c r="HR32" s="265"/>
      <c r="HS32" s="265"/>
      <c r="HT32" s="265"/>
      <c r="HU32" s="265"/>
      <c r="HV32" s="262"/>
      <c r="HW32" s="262"/>
      <c r="HX32" s="265"/>
      <c r="HY32" s="265"/>
      <c r="HZ32" s="265"/>
      <c r="IA32" s="265"/>
      <c r="IB32" s="265"/>
      <c r="IE32" s="266"/>
      <c r="IF32" s="265"/>
      <c r="IG32" s="265"/>
      <c r="IH32" s="265"/>
      <c r="II32" s="265"/>
      <c r="IL32" s="265"/>
      <c r="IM32" s="265"/>
      <c r="IN32" s="265"/>
      <c r="IO32" s="265"/>
      <c r="IP32" s="265"/>
      <c r="IS32" s="265"/>
      <c r="IT32" s="265"/>
      <c r="IU32" s="265"/>
      <c r="IV32" s="265"/>
      <c r="IW32" s="265"/>
      <c r="IZ32" s="265"/>
      <c r="JA32" s="265"/>
      <c r="JB32" s="265"/>
      <c r="JC32" s="265"/>
      <c r="JD32" s="265"/>
      <c r="JG32" s="265"/>
      <c r="JH32" s="265"/>
      <c r="JI32" s="265"/>
      <c r="JJ32" s="265"/>
      <c r="JK32" s="265"/>
      <c r="JN32" s="265"/>
      <c r="JO32" s="265"/>
      <c r="JP32" s="265"/>
      <c r="JQ32" s="265"/>
      <c r="JR32" s="265"/>
      <c r="JU32" s="265"/>
      <c r="JV32" s="265"/>
      <c r="JW32" s="265"/>
      <c r="JX32" s="265"/>
      <c r="JY32" s="265"/>
      <c r="KB32" s="265"/>
      <c r="KC32" s="265"/>
      <c r="KD32" s="265"/>
      <c r="KE32" s="265"/>
      <c r="KF32" s="265"/>
      <c r="KI32" s="265"/>
      <c r="KJ32" s="265"/>
      <c r="KK32" s="265"/>
      <c r="KL32" s="265"/>
      <c r="KM32" s="265"/>
      <c r="KP32" s="265"/>
      <c r="KQ32" s="265"/>
      <c r="KR32" s="265"/>
      <c r="KS32" s="265"/>
      <c r="KT32" s="265"/>
      <c r="KW32" s="265"/>
      <c r="KX32" s="265"/>
      <c r="KY32" s="265"/>
      <c r="KZ32" s="265"/>
      <c r="LA32" s="265"/>
      <c r="LD32" s="265"/>
      <c r="LE32" s="265"/>
      <c r="LF32" s="265"/>
      <c r="LG32" s="265"/>
      <c r="LH32" s="265"/>
      <c r="LK32" s="265"/>
      <c r="LL32" s="265"/>
      <c r="LM32" s="265"/>
      <c r="LN32" s="265"/>
      <c r="LO32" s="265"/>
      <c r="LR32" s="265"/>
      <c r="LS32" s="265"/>
      <c r="LT32" s="265"/>
      <c r="LU32" s="265"/>
      <c r="LV32" s="265"/>
      <c r="LY32" s="265"/>
      <c r="LZ32" s="265"/>
      <c r="MA32" s="265"/>
      <c r="MB32" s="265"/>
      <c r="MC32" s="265"/>
      <c r="MF32" s="265"/>
      <c r="MG32" s="265"/>
      <c r="MH32" s="265"/>
      <c r="MI32" s="265"/>
      <c r="MJ32" s="265"/>
    </row>
    <row r="33" spans="1:369">
      <c r="A33" s="262" t="s">
        <v>365</v>
      </c>
      <c r="B33" s="241"/>
      <c r="C33" s="241"/>
      <c r="D33" s="262"/>
      <c r="E33" s="265">
        <v>38</v>
      </c>
      <c r="F33" s="262"/>
      <c r="G33" s="262"/>
      <c r="H33" s="265">
        <v>70</v>
      </c>
      <c r="I33" s="265">
        <v>57</v>
      </c>
      <c r="J33" s="265">
        <v>57</v>
      </c>
      <c r="K33" s="265">
        <v>68</v>
      </c>
      <c r="L33" s="265">
        <v>49</v>
      </c>
      <c r="M33" s="262"/>
      <c r="N33" s="262"/>
      <c r="O33" s="265">
        <v>58</v>
      </c>
      <c r="P33" s="265">
        <v>52</v>
      </c>
      <c r="Q33" s="265">
        <v>57</v>
      </c>
      <c r="R33" s="265">
        <v>60</v>
      </c>
      <c r="S33" s="265">
        <v>48</v>
      </c>
      <c r="T33" s="262"/>
      <c r="U33" s="262"/>
      <c r="V33" s="265">
        <v>44</v>
      </c>
      <c r="W33" s="265">
        <v>47</v>
      </c>
      <c r="X33" s="265">
        <v>62</v>
      </c>
      <c r="Y33" s="265">
        <v>58</v>
      </c>
      <c r="Z33" s="265">
        <v>42</v>
      </c>
      <c r="AA33" s="262"/>
      <c r="AB33" s="262"/>
      <c r="AC33" s="265">
        <v>59</v>
      </c>
      <c r="AD33" s="265">
        <v>65</v>
      </c>
      <c r="AE33" s="265">
        <v>50</v>
      </c>
      <c r="AF33" s="265">
        <v>44</v>
      </c>
      <c r="AG33" s="265">
        <v>36</v>
      </c>
      <c r="AH33" s="262"/>
      <c r="AI33" s="262"/>
      <c r="AJ33" s="265">
        <v>66</v>
      </c>
      <c r="AK33" s="265">
        <v>73</v>
      </c>
      <c r="AL33" s="265">
        <v>57</v>
      </c>
      <c r="AM33" s="265">
        <v>53</v>
      </c>
      <c r="AN33" s="265">
        <v>56</v>
      </c>
      <c r="AO33" s="262"/>
      <c r="AP33" s="262"/>
      <c r="AQ33" s="265">
        <v>80</v>
      </c>
      <c r="AR33" s="265">
        <v>70</v>
      </c>
      <c r="AS33" s="265">
        <v>111</v>
      </c>
      <c r="AT33" s="265">
        <v>59</v>
      </c>
      <c r="AU33" s="265">
        <v>82</v>
      </c>
      <c r="AV33" s="262"/>
      <c r="AW33" s="262"/>
      <c r="AX33" s="265">
        <v>58</v>
      </c>
      <c r="AY33" s="265">
        <v>47</v>
      </c>
      <c r="AZ33" s="265">
        <v>41</v>
      </c>
      <c r="BA33" s="265">
        <v>34</v>
      </c>
      <c r="BB33" s="265">
        <v>61</v>
      </c>
      <c r="BC33" s="262"/>
      <c r="BD33" s="262"/>
      <c r="BE33" s="265">
        <v>58</v>
      </c>
      <c r="BF33" s="265">
        <v>54</v>
      </c>
      <c r="BG33" s="265">
        <v>78</v>
      </c>
      <c r="BH33" s="265">
        <v>79</v>
      </c>
      <c r="BI33" s="265">
        <v>87</v>
      </c>
      <c r="BJ33" s="262"/>
      <c r="BK33" s="262"/>
      <c r="BL33" s="265">
        <v>70</v>
      </c>
      <c r="BM33" s="265">
        <v>82</v>
      </c>
      <c r="BN33" s="265">
        <v>82</v>
      </c>
      <c r="BO33" s="265">
        <v>80</v>
      </c>
      <c r="BP33" s="265">
        <v>79</v>
      </c>
      <c r="BQ33" s="262"/>
      <c r="BR33" s="262"/>
      <c r="BS33" s="265">
        <v>45</v>
      </c>
      <c r="BT33" s="265">
        <v>50</v>
      </c>
      <c r="BU33" s="265">
        <v>61</v>
      </c>
      <c r="BV33" s="265">
        <v>41</v>
      </c>
      <c r="BW33" s="265">
        <v>57</v>
      </c>
      <c r="BX33" s="262"/>
      <c r="BY33" s="262"/>
      <c r="BZ33" s="265"/>
      <c r="CA33" s="265"/>
      <c r="CB33" s="265"/>
      <c r="CC33" s="265"/>
      <c r="CD33" s="265"/>
      <c r="CE33" s="262"/>
      <c r="CF33" s="262"/>
      <c r="CG33" s="265"/>
      <c r="CH33" s="265"/>
      <c r="CI33" s="265"/>
      <c r="CJ33" s="265"/>
      <c r="CK33" s="265"/>
      <c r="CL33" s="262"/>
      <c r="CM33" s="262"/>
      <c r="CN33" s="265"/>
      <c r="CO33" s="265"/>
      <c r="CP33" s="265"/>
      <c r="CQ33" s="265"/>
      <c r="CR33" s="262"/>
      <c r="CS33" s="262"/>
      <c r="CT33" s="262"/>
      <c r="CU33" s="262"/>
      <c r="CV33" s="265"/>
      <c r="CW33" s="265"/>
      <c r="CX33" s="265"/>
      <c r="CY33" s="265"/>
      <c r="CZ33" s="262"/>
      <c r="DA33" s="262"/>
      <c r="DB33" s="265"/>
      <c r="DC33" s="265"/>
      <c r="DD33" s="265"/>
      <c r="DE33" s="265"/>
      <c r="DF33" s="265"/>
      <c r="DG33" s="262"/>
      <c r="DH33" s="262"/>
      <c r="DI33" s="265"/>
      <c r="DJ33" s="265"/>
      <c r="DK33" s="265"/>
      <c r="DL33" s="265"/>
      <c r="DM33" s="265"/>
      <c r="DN33" s="262"/>
      <c r="DO33" s="262"/>
      <c r="DP33" s="265"/>
      <c r="DQ33" s="265"/>
      <c r="DR33" s="265"/>
      <c r="DS33" s="265"/>
      <c r="DT33" s="265"/>
      <c r="DU33" s="262"/>
      <c r="DV33" s="262"/>
      <c r="DW33" s="262"/>
      <c r="DX33" s="265"/>
      <c r="DY33" s="265"/>
      <c r="DZ33" s="265"/>
      <c r="EA33" s="265"/>
      <c r="EB33" s="262"/>
      <c r="EC33" s="262"/>
      <c r="ED33" s="265"/>
      <c r="EE33" s="265"/>
      <c r="EF33" s="265"/>
      <c r="EG33" s="265"/>
      <c r="EH33" s="265"/>
      <c r="EI33" s="262"/>
      <c r="EJ33" s="262"/>
      <c r="EK33" s="265"/>
      <c r="EL33" s="265"/>
      <c r="EM33" s="265"/>
      <c r="EN33" s="265"/>
      <c r="EO33" s="265"/>
      <c r="EP33" s="262"/>
      <c r="EQ33" s="262"/>
      <c r="ER33" s="262"/>
      <c r="ES33" s="265"/>
      <c r="ET33" s="265"/>
      <c r="EU33" s="265"/>
      <c r="EV33" s="265"/>
      <c r="EW33" s="262"/>
      <c r="EX33" s="262"/>
      <c r="EY33" s="265"/>
      <c r="EZ33" s="265"/>
      <c r="FA33" s="265"/>
      <c r="FB33" s="265"/>
      <c r="FC33" s="265"/>
      <c r="FD33" s="262"/>
      <c r="FE33" s="262"/>
      <c r="FF33" s="265"/>
      <c r="FG33" s="265"/>
      <c r="FH33" s="265"/>
      <c r="FI33" s="265"/>
      <c r="FJ33" s="265"/>
      <c r="FK33" s="262"/>
      <c r="FL33" s="262"/>
      <c r="FM33" s="265"/>
      <c r="FN33" s="265"/>
      <c r="FO33" s="265"/>
      <c r="FP33" s="265"/>
      <c r="FQ33" s="265"/>
      <c r="FR33" s="262"/>
      <c r="FS33" s="262"/>
      <c r="FT33" s="265"/>
      <c r="FU33" s="265"/>
      <c r="FV33" s="265"/>
      <c r="FW33" s="265"/>
      <c r="FX33" s="265"/>
      <c r="FY33" s="262"/>
      <c r="FZ33" s="262"/>
      <c r="GA33" s="265"/>
      <c r="GB33" s="265"/>
      <c r="GC33" s="265"/>
      <c r="GD33" s="265"/>
      <c r="GE33" s="265"/>
      <c r="GF33" s="262"/>
      <c r="GG33" s="262"/>
      <c r="GH33" s="265"/>
      <c r="GI33" s="265"/>
      <c r="GJ33" s="265"/>
      <c r="GK33" s="265"/>
      <c r="GL33" s="265"/>
      <c r="GM33" s="262"/>
      <c r="GN33" s="262"/>
      <c r="GO33" s="265"/>
      <c r="GP33" s="265"/>
      <c r="GQ33" s="265"/>
      <c r="GR33" s="265"/>
      <c r="GS33" s="265"/>
      <c r="GT33" s="262"/>
      <c r="GU33" s="262"/>
      <c r="GV33" s="265"/>
      <c r="GW33" s="265"/>
      <c r="GX33" s="265"/>
      <c r="GY33" s="265"/>
      <c r="GZ33" s="265"/>
      <c r="HA33" s="262"/>
      <c r="HB33" s="262"/>
      <c r="HC33" s="265"/>
      <c r="HD33" s="265"/>
      <c r="HE33" s="265"/>
      <c r="HF33" s="265"/>
      <c r="HG33" s="265"/>
      <c r="HH33" s="262"/>
      <c r="HI33" s="262"/>
      <c r="HJ33" s="265"/>
      <c r="HK33" s="265"/>
      <c r="HL33" s="265"/>
      <c r="HM33" s="265"/>
      <c r="HN33" s="265"/>
      <c r="HO33" s="262"/>
      <c r="HP33" s="262"/>
      <c r="HQ33" s="265"/>
      <c r="HR33" s="265"/>
      <c r="HS33" s="265"/>
      <c r="HT33" s="265"/>
      <c r="HU33" s="265"/>
      <c r="HV33" s="262"/>
      <c r="HW33" s="262"/>
      <c r="HX33" s="265"/>
      <c r="HY33" s="265"/>
      <c r="HZ33" s="265"/>
      <c r="IA33" s="265"/>
      <c r="IB33" s="265"/>
      <c r="IE33" s="266"/>
      <c r="IF33" s="265"/>
      <c r="IG33" s="265"/>
      <c r="IH33" s="265"/>
      <c r="II33" s="265"/>
      <c r="IL33" s="265"/>
      <c r="IM33" s="265"/>
      <c r="IN33" s="265"/>
      <c r="IO33" s="265"/>
      <c r="IP33" s="265"/>
      <c r="IS33" s="265"/>
      <c r="IT33" s="265"/>
      <c r="IU33" s="265"/>
      <c r="IV33" s="265"/>
      <c r="IW33" s="265"/>
      <c r="IZ33" s="265"/>
      <c r="JA33" s="265"/>
      <c r="JB33" s="265"/>
      <c r="JC33" s="265"/>
      <c r="JD33" s="265"/>
      <c r="JG33" s="265"/>
      <c r="JH33" s="265"/>
      <c r="JI33" s="265"/>
      <c r="JJ33" s="265"/>
      <c r="JK33" s="265"/>
      <c r="JN33" s="265"/>
      <c r="JO33" s="265"/>
      <c r="JP33" s="265"/>
      <c r="JQ33" s="265"/>
      <c r="JR33" s="265"/>
      <c r="JU33" s="265"/>
      <c r="JV33" s="265"/>
      <c r="JW33" s="265"/>
      <c r="JX33" s="265"/>
      <c r="JY33" s="265"/>
      <c r="KB33" s="265"/>
      <c r="KC33" s="265"/>
      <c r="KD33" s="265"/>
      <c r="KE33" s="265"/>
      <c r="KF33" s="265"/>
      <c r="KI33" s="265"/>
      <c r="KJ33" s="265"/>
      <c r="KK33" s="265"/>
      <c r="KL33" s="265"/>
      <c r="KM33" s="265"/>
      <c r="KP33" s="265"/>
      <c r="KQ33" s="265"/>
      <c r="KR33" s="265"/>
      <c r="KS33" s="265"/>
      <c r="KT33" s="265"/>
      <c r="KW33" s="265"/>
      <c r="KX33" s="265"/>
      <c r="KY33" s="265"/>
      <c r="KZ33" s="265"/>
      <c r="LA33" s="265"/>
      <c r="LD33" s="265"/>
      <c r="LE33" s="265"/>
      <c r="LF33" s="265"/>
      <c r="LG33" s="265"/>
      <c r="LH33" s="265"/>
      <c r="LK33" s="265"/>
      <c r="LL33" s="265"/>
      <c r="LM33" s="265"/>
      <c r="LN33" s="265"/>
      <c r="LO33" s="265"/>
      <c r="LR33" s="265"/>
      <c r="LS33" s="265"/>
      <c r="LT33" s="265"/>
      <c r="LU33" s="265"/>
      <c r="LV33" s="265"/>
      <c r="LY33" s="265"/>
      <c r="LZ33" s="265"/>
      <c r="MA33" s="265"/>
      <c r="MB33" s="265"/>
      <c r="MC33" s="265"/>
      <c r="MF33" s="265"/>
      <c r="MG33" s="265"/>
      <c r="MH33" s="265"/>
      <c r="MI33" s="265"/>
      <c r="MJ33" s="265"/>
    </row>
    <row r="34" spans="1:369">
      <c r="A34" s="262" t="s">
        <v>211</v>
      </c>
      <c r="B34" s="241"/>
      <c r="C34" s="241"/>
      <c r="D34" s="262"/>
      <c r="E34" s="265">
        <v>44</v>
      </c>
      <c r="F34" s="262"/>
      <c r="G34" s="262"/>
      <c r="H34" s="265">
        <v>69</v>
      </c>
      <c r="I34" s="265">
        <v>56</v>
      </c>
      <c r="J34" s="265">
        <v>65</v>
      </c>
      <c r="K34" s="265">
        <v>48</v>
      </c>
      <c r="L34" s="265">
        <v>56</v>
      </c>
      <c r="M34" s="262"/>
      <c r="N34" s="262"/>
      <c r="O34" s="265">
        <v>70</v>
      </c>
      <c r="P34" s="265">
        <v>42</v>
      </c>
      <c r="Q34" s="265">
        <v>64</v>
      </c>
      <c r="R34" s="265">
        <v>63</v>
      </c>
      <c r="S34" s="265">
        <v>52</v>
      </c>
      <c r="T34" s="262"/>
      <c r="U34" s="262"/>
      <c r="V34" s="265">
        <v>59</v>
      </c>
      <c r="W34" s="265">
        <v>54</v>
      </c>
      <c r="X34" s="265">
        <v>52</v>
      </c>
      <c r="Y34" s="265">
        <v>60</v>
      </c>
      <c r="Z34" s="265">
        <v>47</v>
      </c>
      <c r="AA34" s="262"/>
      <c r="AB34" s="262"/>
      <c r="AC34" s="265">
        <v>83</v>
      </c>
      <c r="AD34" s="265">
        <v>77</v>
      </c>
      <c r="AE34" s="265">
        <v>57</v>
      </c>
      <c r="AF34" s="265">
        <v>46</v>
      </c>
      <c r="AG34" s="265">
        <v>33</v>
      </c>
      <c r="AH34" s="262"/>
      <c r="AI34" s="262"/>
      <c r="AJ34" s="265">
        <v>98</v>
      </c>
      <c r="AK34" s="265">
        <v>53</v>
      </c>
      <c r="AL34" s="265">
        <v>63</v>
      </c>
      <c r="AM34" s="265">
        <v>60</v>
      </c>
      <c r="AN34" s="265">
        <v>69</v>
      </c>
      <c r="AO34" s="262"/>
      <c r="AP34" s="262"/>
      <c r="AQ34" s="265">
        <v>107</v>
      </c>
      <c r="AR34" s="265">
        <v>83</v>
      </c>
      <c r="AS34" s="265">
        <v>109</v>
      </c>
      <c r="AT34" s="265">
        <v>57</v>
      </c>
      <c r="AU34" s="265">
        <v>94</v>
      </c>
      <c r="AV34" s="262"/>
      <c r="AW34" s="262"/>
      <c r="AX34" s="265">
        <v>83</v>
      </c>
      <c r="AY34" s="265">
        <v>38</v>
      </c>
      <c r="AZ34" s="265">
        <v>43</v>
      </c>
      <c r="BA34" s="265">
        <v>37</v>
      </c>
      <c r="BB34" s="265">
        <v>56</v>
      </c>
      <c r="BC34" s="262"/>
      <c r="BD34" s="262"/>
      <c r="BE34" s="265">
        <v>74</v>
      </c>
      <c r="BF34" s="265">
        <v>59</v>
      </c>
      <c r="BG34" s="265">
        <v>56</v>
      </c>
      <c r="BH34" s="265">
        <v>93</v>
      </c>
      <c r="BI34" s="265">
        <v>87</v>
      </c>
      <c r="BJ34" s="262"/>
      <c r="BK34" s="262"/>
      <c r="BL34" s="265">
        <v>97</v>
      </c>
      <c r="BM34" s="265">
        <v>87</v>
      </c>
      <c r="BN34" s="265">
        <v>72</v>
      </c>
      <c r="BO34" s="265">
        <v>91</v>
      </c>
      <c r="BP34" s="265">
        <v>72</v>
      </c>
      <c r="BQ34" s="262"/>
      <c r="BR34" s="262"/>
      <c r="BS34" s="265">
        <v>56</v>
      </c>
      <c r="BT34" s="265">
        <v>60</v>
      </c>
      <c r="BU34" s="265">
        <v>72</v>
      </c>
      <c r="BV34" s="265">
        <v>38</v>
      </c>
      <c r="BW34" s="265">
        <v>52</v>
      </c>
      <c r="BX34" s="262"/>
      <c r="BY34" s="262"/>
      <c r="BZ34" s="265"/>
      <c r="CA34" s="265"/>
      <c r="CB34" s="265"/>
      <c r="CC34" s="265"/>
      <c r="CD34" s="265"/>
      <c r="CE34" s="262"/>
      <c r="CF34" s="262"/>
      <c r="CG34" s="265"/>
      <c r="CH34" s="265"/>
      <c r="CI34" s="265"/>
      <c r="CJ34" s="265"/>
      <c r="CK34" s="265"/>
      <c r="CL34" s="262"/>
      <c r="CM34" s="262"/>
      <c r="CN34" s="265"/>
      <c r="CO34" s="265"/>
      <c r="CP34" s="265"/>
      <c r="CQ34" s="265"/>
      <c r="CR34" s="262"/>
      <c r="CS34" s="262"/>
      <c r="CT34" s="262"/>
      <c r="CU34" s="262"/>
      <c r="CV34" s="265"/>
      <c r="CW34" s="265"/>
      <c r="CX34" s="265"/>
      <c r="CY34" s="265"/>
      <c r="CZ34" s="262"/>
      <c r="DA34" s="262"/>
      <c r="DB34" s="265"/>
      <c r="DC34" s="265"/>
      <c r="DD34" s="265"/>
      <c r="DE34" s="265"/>
      <c r="DF34" s="265"/>
      <c r="DG34" s="262"/>
      <c r="DH34" s="262"/>
      <c r="DI34" s="265"/>
      <c r="DJ34" s="265"/>
      <c r="DK34" s="265"/>
      <c r="DL34" s="265"/>
      <c r="DM34" s="265"/>
      <c r="DN34" s="262"/>
      <c r="DO34" s="262"/>
      <c r="DP34" s="265"/>
      <c r="DQ34" s="265"/>
      <c r="DR34" s="265"/>
      <c r="DS34" s="265"/>
      <c r="DT34" s="265"/>
      <c r="DU34" s="262"/>
      <c r="DV34" s="262"/>
      <c r="DW34" s="262"/>
      <c r="DX34" s="265"/>
      <c r="DY34" s="265"/>
      <c r="DZ34" s="265"/>
      <c r="EA34" s="265"/>
      <c r="EB34" s="262"/>
      <c r="EC34" s="262"/>
      <c r="ED34" s="265"/>
      <c r="EE34" s="265"/>
      <c r="EF34" s="265"/>
      <c r="EG34" s="265"/>
      <c r="EH34" s="265"/>
      <c r="EI34" s="262"/>
      <c r="EJ34" s="262"/>
      <c r="EK34" s="265"/>
      <c r="EL34" s="265"/>
      <c r="EM34" s="265"/>
      <c r="EN34" s="265"/>
      <c r="EO34" s="265"/>
      <c r="EP34" s="262"/>
      <c r="EQ34" s="262"/>
      <c r="ER34" s="262"/>
      <c r="ES34" s="265"/>
      <c r="ET34" s="265"/>
      <c r="EU34" s="265"/>
      <c r="EV34" s="265"/>
      <c r="EW34" s="262"/>
      <c r="EX34" s="262"/>
      <c r="EY34" s="265"/>
      <c r="EZ34" s="265"/>
      <c r="FA34" s="265"/>
      <c r="FB34" s="265"/>
      <c r="FC34" s="265"/>
      <c r="FD34" s="262"/>
      <c r="FE34" s="262"/>
      <c r="FF34" s="265"/>
      <c r="FG34" s="265"/>
      <c r="FH34" s="265"/>
      <c r="FI34" s="265"/>
      <c r="FJ34" s="265"/>
      <c r="FK34" s="262"/>
      <c r="FL34" s="262"/>
      <c r="FM34" s="265"/>
      <c r="FN34" s="265"/>
      <c r="FO34" s="265"/>
      <c r="FP34" s="265"/>
      <c r="FQ34" s="265"/>
      <c r="FR34" s="262"/>
      <c r="FS34" s="262"/>
      <c r="FT34" s="265"/>
      <c r="FU34" s="265"/>
      <c r="FV34" s="265"/>
      <c r="FW34" s="265"/>
      <c r="FX34" s="265"/>
      <c r="FY34" s="262"/>
      <c r="FZ34" s="262"/>
      <c r="GA34" s="265"/>
      <c r="GB34" s="265"/>
      <c r="GC34" s="265"/>
      <c r="GD34" s="265"/>
      <c r="GE34" s="265"/>
      <c r="GF34" s="262"/>
      <c r="GG34" s="262"/>
      <c r="GH34" s="265"/>
      <c r="GI34" s="265"/>
      <c r="GJ34" s="265"/>
      <c r="GK34" s="265"/>
      <c r="GL34" s="265"/>
      <c r="GM34" s="262"/>
      <c r="GN34" s="262"/>
      <c r="GO34" s="265"/>
      <c r="GP34" s="265"/>
      <c r="GQ34" s="265"/>
      <c r="GR34" s="265"/>
      <c r="GS34" s="265"/>
      <c r="GT34" s="262"/>
      <c r="GU34" s="262"/>
      <c r="GV34" s="265"/>
      <c r="GW34" s="265"/>
      <c r="GX34" s="265"/>
      <c r="GY34" s="265"/>
      <c r="GZ34" s="265"/>
      <c r="HA34" s="262"/>
      <c r="HB34" s="262"/>
      <c r="HC34" s="265"/>
      <c r="HD34" s="265"/>
      <c r="HE34" s="265"/>
      <c r="HF34" s="265"/>
      <c r="HG34" s="265"/>
      <c r="HH34" s="262"/>
      <c r="HI34" s="262"/>
      <c r="HJ34" s="265"/>
      <c r="HK34" s="265"/>
      <c r="HL34" s="265"/>
      <c r="HM34" s="265"/>
      <c r="HN34" s="265"/>
      <c r="HO34" s="262"/>
      <c r="HP34" s="262"/>
      <c r="HQ34" s="265"/>
      <c r="HR34" s="265"/>
      <c r="HS34" s="265"/>
      <c r="HT34" s="265"/>
      <c r="HU34" s="265"/>
      <c r="HV34" s="262"/>
      <c r="HW34" s="262"/>
      <c r="HX34" s="265"/>
      <c r="HY34" s="265"/>
      <c r="HZ34" s="265"/>
      <c r="IA34" s="265"/>
      <c r="IB34" s="265"/>
      <c r="IE34" s="266"/>
      <c r="IF34" s="265"/>
      <c r="IG34" s="265"/>
      <c r="IH34" s="265"/>
      <c r="II34" s="265"/>
      <c r="IL34" s="265"/>
      <c r="IM34" s="265"/>
      <c r="IN34" s="265"/>
      <c r="IO34" s="265"/>
      <c r="IP34" s="265"/>
      <c r="IS34" s="265"/>
      <c r="IT34" s="265"/>
      <c r="IU34" s="265"/>
      <c r="IV34" s="265"/>
      <c r="IW34" s="265"/>
      <c r="IZ34" s="265"/>
      <c r="JA34" s="265"/>
      <c r="JB34" s="265"/>
      <c r="JC34" s="265"/>
      <c r="JD34" s="265"/>
      <c r="JG34" s="265"/>
      <c r="JH34" s="265"/>
      <c r="JI34" s="265"/>
      <c r="JJ34" s="265"/>
      <c r="JK34" s="265"/>
      <c r="JN34" s="265"/>
      <c r="JO34" s="265"/>
      <c r="JP34" s="265"/>
      <c r="JQ34" s="265"/>
      <c r="JR34" s="265"/>
      <c r="JU34" s="265"/>
      <c r="JV34" s="265"/>
      <c r="JW34" s="265"/>
      <c r="JX34" s="265"/>
      <c r="JY34" s="265"/>
      <c r="KB34" s="265"/>
      <c r="KC34" s="265"/>
      <c r="KD34" s="265"/>
      <c r="KE34" s="265"/>
      <c r="KF34" s="265"/>
      <c r="KI34" s="265"/>
      <c r="KJ34" s="265"/>
      <c r="KK34" s="265"/>
      <c r="KL34" s="265"/>
      <c r="KM34" s="265"/>
      <c r="KP34" s="265"/>
      <c r="KQ34" s="265"/>
      <c r="KR34" s="265"/>
      <c r="KS34" s="265"/>
      <c r="KT34" s="265"/>
      <c r="KW34" s="265"/>
      <c r="KX34" s="265"/>
      <c r="KY34" s="265"/>
      <c r="KZ34" s="265"/>
      <c r="LA34" s="265"/>
      <c r="LD34" s="265"/>
      <c r="LE34" s="265"/>
      <c r="LF34" s="265"/>
      <c r="LG34" s="265"/>
      <c r="LH34" s="265"/>
      <c r="LK34" s="265"/>
      <c r="LL34" s="265"/>
      <c r="LM34" s="265"/>
      <c r="LN34" s="265"/>
      <c r="LO34" s="265"/>
      <c r="LR34" s="265"/>
      <c r="LS34" s="265"/>
      <c r="LT34" s="265"/>
      <c r="LU34" s="265"/>
      <c r="LV34" s="265"/>
      <c r="LY34" s="265"/>
      <c r="LZ34" s="265"/>
      <c r="MA34" s="265"/>
      <c r="MB34" s="265"/>
      <c r="MC34" s="265"/>
      <c r="MF34" s="265"/>
      <c r="MG34" s="265"/>
      <c r="MH34" s="265"/>
      <c r="MI34" s="265"/>
      <c r="MJ34" s="265"/>
    </row>
    <row r="35" spans="1:369">
      <c r="A35" s="262"/>
      <c r="B35" s="241"/>
      <c r="C35" s="241"/>
      <c r="D35" s="262"/>
      <c r="E35" s="265"/>
      <c r="F35" s="262"/>
      <c r="G35" s="262"/>
      <c r="H35" s="265"/>
      <c r="I35" s="265"/>
      <c r="J35" s="265"/>
      <c r="K35" s="265"/>
      <c r="L35" s="265"/>
      <c r="M35" s="262"/>
      <c r="N35" s="262"/>
      <c r="O35" s="265"/>
      <c r="P35" s="265"/>
      <c r="Q35" s="265"/>
      <c r="R35" s="265"/>
      <c r="S35" s="265"/>
      <c r="T35" s="262"/>
      <c r="U35" s="262"/>
      <c r="V35" s="265"/>
      <c r="W35" s="265"/>
      <c r="X35" s="265"/>
      <c r="Y35" s="265"/>
      <c r="Z35" s="265"/>
      <c r="AA35" s="262"/>
      <c r="AB35" s="262"/>
      <c r="AC35" s="265"/>
      <c r="AD35" s="265"/>
      <c r="AE35" s="265"/>
      <c r="AF35" s="265"/>
      <c r="AG35" s="265"/>
      <c r="AH35" s="262"/>
      <c r="AI35" s="262"/>
      <c r="AJ35" s="265"/>
      <c r="AK35" s="265"/>
      <c r="AL35" s="265"/>
      <c r="AM35" s="265"/>
      <c r="AN35" s="265"/>
      <c r="AO35" s="262"/>
      <c r="AP35" s="262"/>
      <c r="AQ35" s="265"/>
      <c r="AR35" s="265"/>
      <c r="AS35" s="265"/>
      <c r="AT35" s="265"/>
      <c r="AU35" s="265"/>
      <c r="AV35" s="262"/>
      <c r="AW35" s="262"/>
      <c r="AX35" s="265"/>
      <c r="AY35" s="265"/>
      <c r="AZ35" s="265"/>
      <c r="BA35" s="265"/>
      <c r="BB35" s="265"/>
      <c r="BC35" s="262"/>
      <c r="BD35" s="262"/>
      <c r="BE35" s="265"/>
      <c r="BF35" s="265"/>
      <c r="BG35" s="265"/>
      <c r="BH35" s="265"/>
      <c r="BI35" s="265"/>
      <c r="BJ35" s="262"/>
      <c r="BK35" s="262"/>
      <c r="BL35" s="265"/>
      <c r="BM35" s="265"/>
      <c r="BN35" s="265"/>
      <c r="BO35" s="265"/>
      <c r="BP35" s="265"/>
      <c r="BQ35" s="262"/>
      <c r="BR35" s="262"/>
      <c r="BS35" s="265"/>
      <c r="BT35" s="265"/>
      <c r="BU35" s="265"/>
      <c r="BV35" s="265"/>
      <c r="BW35" s="265"/>
      <c r="BX35" s="262"/>
      <c r="BY35" s="262"/>
      <c r="BZ35" s="265"/>
      <c r="CA35" s="265"/>
      <c r="CB35" s="265"/>
      <c r="CC35" s="265"/>
      <c r="CD35" s="265"/>
      <c r="CE35" s="262"/>
      <c r="CF35" s="262"/>
      <c r="CG35" s="265"/>
      <c r="CH35" s="265"/>
      <c r="CI35" s="265"/>
      <c r="CJ35" s="265"/>
      <c r="CK35" s="265"/>
      <c r="CL35" s="262"/>
      <c r="CM35" s="262"/>
      <c r="CN35" s="265"/>
      <c r="CO35" s="265"/>
      <c r="CP35" s="265"/>
      <c r="CQ35" s="265"/>
      <c r="CR35" s="262"/>
      <c r="CS35" s="262"/>
      <c r="CT35" s="262"/>
      <c r="CU35" s="262"/>
      <c r="CV35" s="265"/>
      <c r="CW35" s="265"/>
      <c r="CX35" s="265"/>
      <c r="CY35" s="265"/>
      <c r="CZ35" s="262"/>
      <c r="DA35" s="262"/>
      <c r="DB35" s="265"/>
      <c r="DC35" s="265"/>
      <c r="DD35" s="265"/>
      <c r="DE35" s="265"/>
      <c r="DF35" s="265"/>
      <c r="DG35" s="262"/>
      <c r="DH35" s="262"/>
      <c r="DI35" s="265"/>
      <c r="DJ35" s="265"/>
      <c r="DK35" s="265"/>
      <c r="DL35" s="265"/>
      <c r="DM35" s="265"/>
      <c r="DN35" s="262"/>
      <c r="DO35" s="262"/>
      <c r="DP35" s="265"/>
      <c r="DQ35" s="265"/>
      <c r="DR35" s="265"/>
      <c r="DS35" s="265"/>
      <c r="DT35" s="265"/>
      <c r="DU35" s="262"/>
      <c r="DV35" s="262"/>
      <c r="DW35" s="262"/>
      <c r="DX35" s="265"/>
      <c r="DY35" s="265"/>
      <c r="DZ35" s="265"/>
      <c r="EA35" s="265"/>
      <c r="EB35" s="262"/>
      <c r="EC35" s="262"/>
      <c r="ED35" s="265"/>
      <c r="EE35" s="265"/>
      <c r="EF35" s="265"/>
      <c r="EG35" s="265"/>
      <c r="EH35" s="265"/>
      <c r="EI35" s="262"/>
      <c r="EJ35" s="262"/>
      <c r="EK35" s="265"/>
      <c r="EL35" s="265"/>
      <c r="EM35" s="265"/>
      <c r="EN35" s="265"/>
      <c r="EO35" s="265"/>
      <c r="EP35" s="262"/>
      <c r="EQ35" s="262"/>
      <c r="ER35" s="262"/>
      <c r="ES35" s="265"/>
      <c r="ET35" s="265"/>
      <c r="EU35" s="265"/>
      <c r="EV35" s="265"/>
      <c r="EW35" s="262"/>
      <c r="EX35" s="262"/>
      <c r="EY35" s="265"/>
      <c r="EZ35" s="265"/>
      <c r="FA35" s="265"/>
      <c r="FB35" s="265"/>
      <c r="FC35" s="265"/>
      <c r="FD35" s="262"/>
      <c r="FE35" s="262"/>
      <c r="FF35" s="265"/>
      <c r="FG35" s="265"/>
      <c r="FH35" s="265"/>
      <c r="FI35" s="265"/>
      <c r="FJ35" s="265"/>
      <c r="FK35" s="262"/>
      <c r="FL35" s="262"/>
      <c r="FM35" s="265"/>
      <c r="FN35" s="265"/>
      <c r="FO35" s="265"/>
      <c r="FP35" s="265"/>
      <c r="FQ35" s="265"/>
      <c r="FR35" s="262"/>
      <c r="FS35" s="262"/>
      <c r="FT35" s="265"/>
      <c r="FU35" s="265"/>
      <c r="FV35" s="265"/>
      <c r="FW35" s="265"/>
      <c r="FX35" s="265"/>
      <c r="FY35" s="262"/>
      <c r="FZ35" s="262"/>
      <c r="GA35" s="265"/>
      <c r="GB35" s="265"/>
      <c r="GC35" s="265"/>
      <c r="GD35" s="265"/>
      <c r="GE35" s="265"/>
      <c r="GF35" s="262"/>
      <c r="GG35" s="262"/>
      <c r="GH35" s="265"/>
      <c r="GI35" s="265"/>
      <c r="GJ35" s="265"/>
      <c r="GK35" s="265"/>
      <c r="GL35" s="265"/>
      <c r="GM35" s="262"/>
      <c r="GN35" s="262"/>
      <c r="GO35" s="265"/>
      <c r="GP35" s="265"/>
      <c r="GQ35" s="265"/>
      <c r="GR35" s="265"/>
      <c r="GS35" s="265"/>
      <c r="GT35" s="262"/>
      <c r="GU35" s="262"/>
      <c r="GV35" s="265"/>
      <c r="GW35" s="265"/>
      <c r="GX35" s="265"/>
      <c r="GY35" s="265"/>
      <c r="GZ35" s="265"/>
      <c r="HA35" s="262"/>
      <c r="HB35" s="262"/>
      <c r="HC35" s="265"/>
      <c r="HD35" s="265"/>
      <c r="HE35" s="265"/>
      <c r="HF35" s="265"/>
      <c r="HG35" s="265"/>
      <c r="HH35" s="262"/>
      <c r="HI35" s="262"/>
      <c r="HJ35" s="265"/>
      <c r="HK35" s="265"/>
      <c r="HL35" s="265"/>
      <c r="HM35" s="265"/>
      <c r="HN35" s="265"/>
      <c r="HO35" s="262"/>
      <c r="HP35" s="262"/>
      <c r="HQ35" s="265"/>
      <c r="HR35" s="265"/>
      <c r="HS35" s="265"/>
      <c r="HT35" s="265"/>
      <c r="HU35" s="265"/>
      <c r="HV35" s="262"/>
      <c r="HW35" s="262"/>
      <c r="HX35" s="265"/>
      <c r="HY35" s="265"/>
      <c r="HZ35" s="265"/>
      <c r="IA35" s="265"/>
      <c r="IB35" s="265"/>
      <c r="IE35" s="266"/>
      <c r="IF35" s="265"/>
      <c r="IG35" s="265"/>
      <c r="IH35" s="265"/>
      <c r="II35" s="265"/>
      <c r="IL35" s="265"/>
      <c r="IM35" s="265"/>
      <c r="IN35" s="265"/>
      <c r="IO35" s="265"/>
      <c r="IP35" s="265"/>
      <c r="IS35" s="265"/>
      <c r="IT35" s="265"/>
      <c r="IU35" s="265"/>
      <c r="IV35" s="265"/>
      <c r="IW35" s="265"/>
      <c r="IZ35" s="265"/>
      <c r="JA35" s="265"/>
      <c r="JB35" s="265"/>
      <c r="JC35" s="265"/>
      <c r="JD35" s="265"/>
      <c r="JG35" s="265"/>
      <c r="JH35" s="265"/>
      <c r="JI35" s="265"/>
      <c r="JJ35" s="265"/>
      <c r="JK35" s="265"/>
      <c r="JN35" s="265"/>
      <c r="JO35" s="265"/>
      <c r="JP35" s="265"/>
      <c r="JQ35" s="265"/>
      <c r="JR35" s="265"/>
      <c r="JU35" s="265"/>
      <c r="JV35" s="265"/>
      <c r="JW35" s="265"/>
      <c r="JX35" s="265"/>
      <c r="JY35" s="265"/>
      <c r="KB35" s="265"/>
      <c r="KC35" s="265"/>
      <c r="KD35" s="265"/>
      <c r="KE35" s="265"/>
      <c r="KF35" s="265"/>
      <c r="KI35" s="265"/>
      <c r="KJ35" s="265"/>
      <c r="KK35" s="265"/>
      <c r="KL35" s="265"/>
      <c r="KM35" s="265"/>
      <c r="KP35" s="265"/>
      <c r="KQ35" s="265"/>
      <c r="KR35" s="265"/>
      <c r="KS35" s="265"/>
      <c r="KT35" s="265"/>
      <c r="KW35" s="265"/>
      <c r="KX35" s="265"/>
      <c r="KY35" s="265"/>
      <c r="KZ35" s="265"/>
      <c r="LA35" s="265"/>
      <c r="LD35" s="265"/>
      <c r="LE35" s="265"/>
      <c r="LF35" s="265"/>
      <c r="LG35" s="265"/>
      <c r="LH35" s="265"/>
      <c r="LK35" s="265"/>
      <c r="LL35" s="265"/>
      <c r="LM35" s="265"/>
      <c r="LN35" s="265"/>
      <c r="LO35" s="265"/>
      <c r="LR35" s="265"/>
      <c r="LS35" s="265"/>
      <c r="LT35" s="265"/>
      <c r="LU35" s="265"/>
      <c r="LV35" s="265"/>
      <c r="LY35" s="265"/>
      <c r="LZ35" s="265"/>
      <c r="MA35" s="265"/>
      <c r="MB35" s="265"/>
      <c r="MC35" s="265"/>
      <c r="MF35" s="265"/>
      <c r="MG35" s="265"/>
      <c r="MH35" s="265"/>
      <c r="MI35" s="265"/>
      <c r="MJ35" s="265"/>
    </row>
    <row r="36" spans="1:369" s="236" customFormat="1">
      <c r="A36" s="267" t="s">
        <v>212</v>
      </c>
      <c r="B36" s="267"/>
      <c r="C36" s="267"/>
      <c r="D36" s="262"/>
      <c r="E36" s="268">
        <f>E33-E34</f>
        <v>-6</v>
      </c>
      <c r="F36" s="262"/>
      <c r="G36" s="262"/>
      <c r="H36" s="269">
        <f t="shared" ref="H36:BI36" si="0">H33-H34</f>
        <v>1</v>
      </c>
      <c r="I36" s="269">
        <f t="shared" si="0"/>
        <v>1</v>
      </c>
      <c r="J36" s="269">
        <f t="shared" si="0"/>
        <v>-8</v>
      </c>
      <c r="K36" s="269">
        <f t="shared" si="0"/>
        <v>20</v>
      </c>
      <c r="L36" s="269">
        <f t="shared" si="0"/>
        <v>-7</v>
      </c>
      <c r="M36" s="262"/>
      <c r="N36" s="262"/>
      <c r="O36" s="269">
        <f t="shared" si="0"/>
        <v>-12</v>
      </c>
      <c r="P36" s="269">
        <f t="shared" si="0"/>
        <v>10</v>
      </c>
      <c r="Q36" s="269">
        <f t="shared" si="0"/>
        <v>-7</v>
      </c>
      <c r="R36" s="268">
        <f t="shared" si="0"/>
        <v>-3</v>
      </c>
      <c r="S36" s="269">
        <f t="shared" si="0"/>
        <v>-4</v>
      </c>
      <c r="T36" s="262"/>
      <c r="U36" s="262"/>
      <c r="V36" s="269">
        <f t="shared" si="0"/>
        <v>-15</v>
      </c>
      <c r="W36" s="268">
        <f t="shared" si="0"/>
        <v>-7</v>
      </c>
      <c r="X36" s="269">
        <f t="shared" si="0"/>
        <v>10</v>
      </c>
      <c r="Y36" s="269">
        <f t="shared" si="0"/>
        <v>-2</v>
      </c>
      <c r="Z36" s="268">
        <f t="shared" si="0"/>
        <v>-5</v>
      </c>
      <c r="AA36" s="262"/>
      <c r="AB36" s="262"/>
      <c r="AC36" s="269">
        <f t="shared" si="0"/>
        <v>-24</v>
      </c>
      <c r="AD36" s="268">
        <f t="shared" si="0"/>
        <v>-12</v>
      </c>
      <c r="AE36" s="269">
        <f t="shared" si="0"/>
        <v>-7</v>
      </c>
      <c r="AF36" s="269">
        <f t="shared" si="0"/>
        <v>-2</v>
      </c>
      <c r="AG36" s="269">
        <f t="shared" si="0"/>
        <v>3</v>
      </c>
      <c r="AH36" s="262"/>
      <c r="AI36" s="262"/>
      <c r="AJ36" s="269">
        <f t="shared" si="0"/>
        <v>-32</v>
      </c>
      <c r="AK36" s="269">
        <f t="shared" si="0"/>
        <v>20</v>
      </c>
      <c r="AL36" s="268">
        <f t="shared" si="0"/>
        <v>-6</v>
      </c>
      <c r="AM36" s="268">
        <f t="shared" si="0"/>
        <v>-7</v>
      </c>
      <c r="AN36" s="269">
        <f t="shared" si="0"/>
        <v>-13</v>
      </c>
      <c r="AO36" s="262"/>
      <c r="AP36" s="262"/>
      <c r="AQ36" s="269">
        <f t="shared" si="0"/>
        <v>-27</v>
      </c>
      <c r="AR36" s="268">
        <f t="shared" si="0"/>
        <v>-13</v>
      </c>
      <c r="AS36" s="268">
        <f t="shared" si="0"/>
        <v>2</v>
      </c>
      <c r="AT36" s="269">
        <f t="shared" si="0"/>
        <v>2</v>
      </c>
      <c r="AU36" s="269">
        <f t="shared" si="0"/>
        <v>-12</v>
      </c>
      <c r="AV36" s="262"/>
      <c r="AW36" s="262"/>
      <c r="AX36" s="269">
        <f t="shared" si="0"/>
        <v>-25</v>
      </c>
      <c r="AY36" s="269">
        <f t="shared" si="0"/>
        <v>9</v>
      </c>
      <c r="AZ36" s="268">
        <f t="shared" si="0"/>
        <v>-2</v>
      </c>
      <c r="BA36" s="268">
        <f t="shared" si="0"/>
        <v>-3</v>
      </c>
      <c r="BB36" s="269">
        <f t="shared" si="0"/>
        <v>5</v>
      </c>
      <c r="BC36" s="262"/>
      <c r="BD36" s="262"/>
      <c r="BE36" s="269">
        <f t="shared" si="0"/>
        <v>-16</v>
      </c>
      <c r="BF36" s="268">
        <f t="shared" si="0"/>
        <v>-5</v>
      </c>
      <c r="BG36" s="269">
        <f t="shared" si="0"/>
        <v>22</v>
      </c>
      <c r="BH36" s="269">
        <f t="shared" si="0"/>
        <v>-14</v>
      </c>
      <c r="BI36" s="269">
        <f t="shared" si="0"/>
        <v>0</v>
      </c>
      <c r="BJ36" s="262"/>
      <c r="BK36" s="262"/>
      <c r="BL36" s="269">
        <f>BL33-BL34</f>
        <v>-27</v>
      </c>
      <c r="BM36" s="269">
        <f>BM33-BM34</f>
        <v>-5</v>
      </c>
      <c r="BN36" s="268">
        <f>BN33-BN34</f>
        <v>10</v>
      </c>
      <c r="BO36" s="269">
        <f>BO33-BO34</f>
        <v>-11</v>
      </c>
      <c r="BP36" s="269">
        <f>BP33-BP34</f>
        <v>7</v>
      </c>
      <c r="BQ36" s="262"/>
      <c r="BR36" s="262"/>
      <c r="BS36" s="269">
        <f>BS33-BS34</f>
        <v>-11</v>
      </c>
      <c r="BT36" s="269">
        <f>BT33-BT34</f>
        <v>-10</v>
      </c>
      <c r="BU36" s="269">
        <f>BU33-BU34</f>
        <v>-11</v>
      </c>
      <c r="BV36" s="268">
        <f>BV33-BV34</f>
        <v>3</v>
      </c>
      <c r="BW36" s="269">
        <f>BW33-BW34</f>
        <v>5</v>
      </c>
      <c r="BX36" s="262"/>
      <c r="BY36" s="262"/>
      <c r="BZ36" s="269">
        <f>BZ33-BZ34</f>
        <v>0</v>
      </c>
      <c r="CA36" s="268">
        <f>CA33-CA34</f>
        <v>0</v>
      </c>
      <c r="CB36" s="269">
        <f>CB33-CB34</f>
        <v>0</v>
      </c>
      <c r="CC36" s="268">
        <f>CC33-CC34</f>
        <v>0</v>
      </c>
      <c r="CD36" s="269">
        <f>CD33-CD34</f>
        <v>0</v>
      </c>
      <c r="CE36" s="262"/>
      <c r="CF36" s="262"/>
      <c r="CG36" s="269">
        <f t="shared" ref="CG36:CQ36" si="1">CG33-CG34</f>
        <v>0</v>
      </c>
      <c r="CH36" s="269">
        <f t="shared" si="1"/>
        <v>0</v>
      </c>
      <c r="CI36" s="269">
        <f t="shared" si="1"/>
        <v>0</v>
      </c>
      <c r="CJ36" s="268">
        <f t="shared" si="1"/>
        <v>0</v>
      </c>
      <c r="CK36" s="269">
        <f t="shared" si="1"/>
        <v>0</v>
      </c>
      <c r="CL36" s="262"/>
      <c r="CM36" s="262"/>
      <c r="CN36" s="269">
        <f t="shared" si="1"/>
        <v>0</v>
      </c>
      <c r="CO36" s="269">
        <f t="shared" si="1"/>
        <v>0</v>
      </c>
      <c r="CP36" s="269">
        <f t="shared" si="1"/>
        <v>0</v>
      </c>
      <c r="CQ36" s="268">
        <f t="shared" si="1"/>
        <v>0</v>
      </c>
      <c r="CR36" s="262"/>
      <c r="CS36" s="262"/>
      <c r="CT36" s="262"/>
      <c r="CU36" s="262"/>
      <c r="CV36" s="268">
        <f>CV33-CV34</f>
        <v>0</v>
      </c>
      <c r="CW36" s="268">
        <f>CW33-CW34</f>
        <v>0</v>
      </c>
      <c r="CX36" s="269">
        <f>CX33-CX34</f>
        <v>0</v>
      </c>
      <c r="CY36" s="269">
        <f>CY33-CY34</f>
        <v>0</v>
      </c>
      <c r="CZ36" s="262"/>
      <c r="DA36" s="262"/>
      <c r="DB36" s="269">
        <f>DB33-DB34</f>
        <v>0</v>
      </c>
      <c r="DC36" s="268">
        <f>DC33-DC34</f>
        <v>0</v>
      </c>
      <c r="DD36" s="269">
        <f>DD33-DD34</f>
        <v>0</v>
      </c>
      <c r="DE36" s="270">
        <f>DE33-DE34</f>
        <v>0</v>
      </c>
      <c r="DF36" s="270">
        <f>DF33-DF34</f>
        <v>0</v>
      </c>
      <c r="DG36" s="262"/>
      <c r="DH36" s="262"/>
      <c r="DI36" s="270">
        <f>DI33-DI34</f>
        <v>0</v>
      </c>
      <c r="DJ36" s="270">
        <f>DJ33-DJ34</f>
        <v>0</v>
      </c>
      <c r="DK36" s="270">
        <f>DK33-DK34</f>
        <v>0</v>
      </c>
      <c r="DL36" s="270">
        <f>DL33-DL34</f>
        <v>0</v>
      </c>
      <c r="DM36" s="270">
        <f>DM33-DM34</f>
        <v>0</v>
      </c>
      <c r="DN36" s="262"/>
      <c r="DO36" s="262"/>
      <c r="DP36" s="268">
        <f>DP33-DP34</f>
        <v>0</v>
      </c>
      <c r="DQ36" s="270">
        <f>DQ33-DQ34</f>
        <v>0</v>
      </c>
      <c r="DR36" s="270">
        <f>DR33-DR34</f>
        <v>0</v>
      </c>
      <c r="DS36" s="270">
        <f>DS33-DS34</f>
        <v>0</v>
      </c>
      <c r="DT36" s="270">
        <f>DT33-DT34</f>
        <v>0</v>
      </c>
      <c r="DU36" s="262"/>
      <c r="DV36" s="262"/>
      <c r="DW36" s="262"/>
      <c r="DX36" s="268">
        <f>DX33-DX34</f>
        <v>0</v>
      </c>
      <c r="DY36" s="270">
        <f>DY33-DY34</f>
        <v>0</v>
      </c>
      <c r="DZ36" s="268">
        <f>DZ33-DZ34</f>
        <v>0</v>
      </c>
      <c r="EA36" s="270">
        <f>EA33-EA34</f>
        <v>0</v>
      </c>
      <c r="EB36" s="262"/>
      <c r="EC36" s="262"/>
      <c r="ED36" s="270">
        <f>ED33-ED34</f>
        <v>0</v>
      </c>
      <c r="EE36" s="268">
        <f>EE33-EE34</f>
        <v>0</v>
      </c>
      <c r="EF36" s="270">
        <f>EF33-EF34</f>
        <v>0</v>
      </c>
      <c r="EG36" s="270">
        <f>EG33-EG34</f>
        <v>0</v>
      </c>
      <c r="EH36" s="270">
        <f>EH33-EH34</f>
        <v>0</v>
      </c>
      <c r="EI36" s="262"/>
      <c r="EJ36" s="262"/>
      <c r="EK36" s="270">
        <f>EK33-EK34</f>
        <v>0</v>
      </c>
      <c r="EL36" s="270">
        <f>EL33-EL34</f>
        <v>0</v>
      </c>
      <c r="EM36" s="268">
        <f>EM33-EM34</f>
        <v>0</v>
      </c>
      <c r="EN36" s="268">
        <f>EN33-EN34</f>
        <v>0</v>
      </c>
      <c r="EO36" s="270">
        <f>EO33-EO34</f>
        <v>0</v>
      </c>
      <c r="EP36" s="262"/>
      <c r="EQ36" s="262"/>
      <c r="ER36" s="262"/>
      <c r="ES36" s="270">
        <f>ES33-ES34</f>
        <v>0</v>
      </c>
      <c r="ET36" s="268">
        <f t="shared" ref="ET36:EV36" si="2">ET33-ET34</f>
        <v>0</v>
      </c>
      <c r="EU36" s="270">
        <f t="shared" si="2"/>
        <v>0</v>
      </c>
      <c r="EV36" s="270">
        <f t="shared" si="2"/>
        <v>0</v>
      </c>
      <c r="EW36" s="262"/>
      <c r="EX36" s="262"/>
      <c r="EY36" s="270">
        <f>EY33-EY34</f>
        <v>0</v>
      </c>
      <c r="EZ36" s="268">
        <f t="shared" ref="EZ36:FC36" si="3">EZ33-EZ34</f>
        <v>0</v>
      </c>
      <c r="FA36" s="270">
        <f t="shared" si="3"/>
        <v>0</v>
      </c>
      <c r="FB36" s="270">
        <f t="shared" si="3"/>
        <v>0</v>
      </c>
      <c r="FC36" s="270">
        <f t="shared" si="3"/>
        <v>0</v>
      </c>
      <c r="FD36" s="262"/>
      <c r="FE36" s="262"/>
      <c r="FF36" s="270">
        <f>FF33-FF34</f>
        <v>0</v>
      </c>
      <c r="FG36" s="268">
        <f t="shared" ref="FG36:FJ36" si="4">FG33-FG34</f>
        <v>0</v>
      </c>
      <c r="FH36" s="270">
        <f t="shared" si="4"/>
        <v>0</v>
      </c>
      <c r="FI36" s="270">
        <f t="shared" si="4"/>
        <v>0</v>
      </c>
      <c r="FJ36" s="270">
        <f t="shared" si="4"/>
        <v>0</v>
      </c>
      <c r="FK36" s="262"/>
      <c r="FL36" s="262"/>
      <c r="FM36" s="270">
        <f>FM33-FM34</f>
        <v>0</v>
      </c>
      <c r="FN36" s="268">
        <f t="shared" ref="FN36:FQ36" si="5">FN33-FN34</f>
        <v>0</v>
      </c>
      <c r="FO36" s="270">
        <f t="shared" si="5"/>
        <v>0</v>
      </c>
      <c r="FP36" s="270">
        <f t="shared" si="5"/>
        <v>0</v>
      </c>
      <c r="FQ36" s="270">
        <f t="shared" si="5"/>
        <v>0</v>
      </c>
      <c r="FR36" s="262"/>
      <c r="FS36" s="262"/>
      <c r="FT36" s="270">
        <f>FT33-FT34</f>
        <v>0</v>
      </c>
      <c r="FU36" s="268">
        <f t="shared" ref="FU36:FX36" si="6">FU33-FU34</f>
        <v>0</v>
      </c>
      <c r="FV36" s="270">
        <f t="shared" si="6"/>
        <v>0</v>
      </c>
      <c r="FW36" s="270">
        <f t="shared" si="6"/>
        <v>0</v>
      </c>
      <c r="FX36" s="270">
        <f t="shared" si="6"/>
        <v>0</v>
      </c>
      <c r="FY36" s="262"/>
      <c r="FZ36" s="262"/>
      <c r="GA36" s="270">
        <f>GA33-GA34</f>
        <v>0</v>
      </c>
      <c r="GB36" s="268">
        <f t="shared" ref="GB36:GE36" si="7">GB33-GB34</f>
        <v>0</v>
      </c>
      <c r="GC36" s="270">
        <f t="shared" si="7"/>
        <v>0</v>
      </c>
      <c r="GD36" s="270">
        <f t="shared" si="7"/>
        <v>0</v>
      </c>
      <c r="GE36" s="270">
        <f t="shared" si="7"/>
        <v>0</v>
      </c>
      <c r="GF36" s="262"/>
      <c r="GG36" s="262"/>
      <c r="GH36" s="270">
        <f>GH33-GH34</f>
        <v>0</v>
      </c>
      <c r="GI36" s="268">
        <f t="shared" ref="GI36:GL36" si="8">GI33-GI34</f>
        <v>0</v>
      </c>
      <c r="GJ36" s="270">
        <f t="shared" si="8"/>
        <v>0</v>
      </c>
      <c r="GK36" s="270">
        <f t="shared" si="8"/>
        <v>0</v>
      </c>
      <c r="GL36" s="270">
        <f t="shared" si="8"/>
        <v>0</v>
      </c>
      <c r="GM36" s="262"/>
      <c r="GN36" s="262"/>
      <c r="GO36" s="270">
        <f>GO33-GO34</f>
        <v>0</v>
      </c>
      <c r="GP36" s="268">
        <f t="shared" ref="GP36:GS36" si="9">GP33-GP34</f>
        <v>0</v>
      </c>
      <c r="GQ36" s="270">
        <f t="shared" si="9"/>
        <v>0</v>
      </c>
      <c r="GR36" s="270">
        <f t="shared" si="9"/>
        <v>0</v>
      </c>
      <c r="GS36" s="270">
        <f t="shared" si="9"/>
        <v>0</v>
      </c>
      <c r="GT36" s="262"/>
      <c r="GU36" s="262"/>
      <c r="GV36" s="270">
        <f>GV33-GV34</f>
        <v>0</v>
      </c>
      <c r="GW36" s="268">
        <f t="shared" ref="GW36:GZ36" si="10">GW33-GW34</f>
        <v>0</v>
      </c>
      <c r="GX36" s="270">
        <f t="shared" si="10"/>
        <v>0</v>
      </c>
      <c r="GY36" s="270">
        <f t="shared" si="10"/>
        <v>0</v>
      </c>
      <c r="GZ36" s="270">
        <f t="shared" si="10"/>
        <v>0</v>
      </c>
      <c r="HA36" s="262"/>
      <c r="HB36" s="262"/>
      <c r="HC36" s="270">
        <f>HC33-HC34</f>
        <v>0</v>
      </c>
      <c r="HD36" s="268">
        <f t="shared" ref="HD36:HG36" si="11">HD33-HD34</f>
        <v>0</v>
      </c>
      <c r="HE36" s="270">
        <f t="shared" si="11"/>
        <v>0</v>
      </c>
      <c r="HF36" s="270">
        <f t="shared" si="11"/>
        <v>0</v>
      </c>
      <c r="HG36" s="270">
        <f t="shared" si="11"/>
        <v>0</v>
      </c>
      <c r="HH36" s="262"/>
      <c r="HI36" s="262"/>
      <c r="HJ36" s="270">
        <f>HJ33-HJ34</f>
        <v>0</v>
      </c>
      <c r="HK36" s="268">
        <f t="shared" ref="HK36:HN36" si="12">HK33-HK34</f>
        <v>0</v>
      </c>
      <c r="HL36" s="270">
        <f t="shared" si="12"/>
        <v>0</v>
      </c>
      <c r="HM36" s="270">
        <f t="shared" si="12"/>
        <v>0</v>
      </c>
      <c r="HN36" s="270">
        <f t="shared" si="12"/>
        <v>0</v>
      </c>
      <c r="HO36" s="262"/>
      <c r="HP36" s="262"/>
      <c r="HQ36" s="270">
        <f>HQ33-HQ34</f>
        <v>0</v>
      </c>
      <c r="HR36" s="268">
        <f t="shared" ref="HR36:HU36" si="13">HR33-HR34</f>
        <v>0</v>
      </c>
      <c r="HS36" s="270">
        <f t="shared" si="13"/>
        <v>0</v>
      </c>
      <c r="HT36" s="270">
        <f t="shared" si="13"/>
        <v>0</v>
      </c>
      <c r="HU36" s="270">
        <f t="shared" si="13"/>
        <v>0</v>
      </c>
      <c r="HV36" s="262"/>
      <c r="HW36" s="262"/>
      <c r="HX36" s="270">
        <f>HX33-HX34</f>
        <v>0</v>
      </c>
      <c r="HY36" s="268">
        <f t="shared" ref="HY36:IB36" si="14">HY33-HY34</f>
        <v>0</v>
      </c>
      <c r="HZ36" s="270">
        <f t="shared" si="14"/>
        <v>0</v>
      </c>
      <c r="IA36" s="270">
        <f t="shared" si="14"/>
        <v>0</v>
      </c>
      <c r="IB36" s="270">
        <f t="shared" si="14"/>
        <v>0</v>
      </c>
      <c r="IE36" s="266"/>
      <c r="IF36" s="270">
        <f>IF33-IF34</f>
        <v>0</v>
      </c>
      <c r="IG36" s="268">
        <f t="shared" ref="IG36:II36" si="15">IG33-IG34</f>
        <v>0</v>
      </c>
      <c r="IH36" s="270">
        <f t="shared" si="15"/>
        <v>0</v>
      </c>
      <c r="II36" s="270">
        <f t="shared" si="15"/>
        <v>0</v>
      </c>
      <c r="IL36" s="270">
        <f>IL33-IL34</f>
        <v>0</v>
      </c>
      <c r="IM36" s="268">
        <f t="shared" ref="IM36:IP36" si="16">IM33-IM34</f>
        <v>0</v>
      </c>
      <c r="IN36" s="270">
        <f t="shared" si="16"/>
        <v>0</v>
      </c>
      <c r="IO36" s="270">
        <f t="shared" si="16"/>
        <v>0</v>
      </c>
      <c r="IP36" s="270">
        <f t="shared" si="16"/>
        <v>0</v>
      </c>
      <c r="IS36" s="270">
        <f>IS33-IS34</f>
        <v>0</v>
      </c>
      <c r="IT36" s="268">
        <f t="shared" ref="IT36:IW36" si="17">IT33-IT34</f>
        <v>0</v>
      </c>
      <c r="IU36" s="270">
        <f t="shared" si="17"/>
        <v>0</v>
      </c>
      <c r="IV36" s="270">
        <f t="shared" si="17"/>
        <v>0</v>
      </c>
      <c r="IW36" s="270">
        <f t="shared" si="17"/>
        <v>0</v>
      </c>
      <c r="IZ36" s="270">
        <f>IZ33-IZ34</f>
        <v>0</v>
      </c>
      <c r="JA36" s="268">
        <f t="shared" ref="JA36:JD36" si="18">JA33-JA34</f>
        <v>0</v>
      </c>
      <c r="JB36" s="270">
        <f t="shared" si="18"/>
        <v>0</v>
      </c>
      <c r="JC36" s="270">
        <f t="shared" si="18"/>
        <v>0</v>
      </c>
      <c r="JD36" s="270">
        <f t="shared" si="18"/>
        <v>0</v>
      </c>
      <c r="JG36" s="270">
        <f>JG33-JG34</f>
        <v>0</v>
      </c>
      <c r="JH36" s="268">
        <f t="shared" ref="JH36:JK36" si="19">JH33-JH34</f>
        <v>0</v>
      </c>
      <c r="JI36" s="270">
        <f t="shared" si="19"/>
        <v>0</v>
      </c>
      <c r="JJ36" s="270">
        <f t="shared" si="19"/>
        <v>0</v>
      </c>
      <c r="JK36" s="270">
        <f t="shared" si="19"/>
        <v>0</v>
      </c>
      <c r="JN36" s="270">
        <f>JN33-JN34</f>
        <v>0</v>
      </c>
      <c r="JO36" s="268">
        <f t="shared" ref="JO36:JR36" si="20">JO33-JO34</f>
        <v>0</v>
      </c>
      <c r="JP36" s="270">
        <f t="shared" si="20"/>
        <v>0</v>
      </c>
      <c r="JQ36" s="270">
        <f t="shared" si="20"/>
        <v>0</v>
      </c>
      <c r="JR36" s="270">
        <f t="shared" si="20"/>
        <v>0</v>
      </c>
      <c r="JU36" s="270">
        <f>JU33-JU34</f>
        <v>0</v>
      </c>
      <c r="JV36" s="268">
        <f t="shared" ref="JV36:JY36" si="21">JV33-JV34</f>
        <v>0</v>
      </c>
      <c r="JW36" s="270">
        <f t="shared" si="21"/>
        <v>0</v>
      </c>
      <c r="JX36" s="270">
        <f t="shared" si="21"/>
        <v>0</v>
      </c>
      <c r="JY36" s="270">
        <f t="shared" si="21"/>
        <v>0</v>
      </c>
      <c r="KB36" s="270">
        <f>KB33-KB34</f>
        <v>0</v>
      </c>
      <c r="KC36" s="268">
        <f t="shared" ref="KC36:KF36" si="22">KC33-KC34</f>
        <v>0</v>
      </c>
      <c r="KD36" s="270">
        <f t="shared" si="22"/>
        <v>0</v>
      </c>
      <c r="KE36" s="270">
        <f t="shared" si="22"/>
        <v>0</v>
      </c>
      <c r="KF36" s="270">
        <f t="shared" si="22"/>
        <v>0</v>
      </c>
      <c r="KI36" s="270">
        <f>KI33-KI34</f>
        <v>0</v>
      </c>
      <c r="KJ36" s="268">
        <f t="shared" ref="KJ36:KM36" si="23">KJ33-KJ34</f>
        <v>0</v>
      </c>
      <c r="KK36" s="270">
        <f t="shared" si="23"/>
        <v>0</v>
      </c>
      <c r="KL36" s="270">
        <f t="shared" si="23"/>
        <v>0</v>
      </c>
      <c r="KM36" s="270">
        <f t="shared" si="23"/>
        <v>0</v>
      </c>
      <c r="KP36" s="270">
        <f>KP33-KP34</f>
        <v>0</v>
      </c>
      <c r="KQ36" s="268">
        <f t="shared" ref="KQ36:KT36" si="24">KQ33-KQ34</f>
        <v>0</v>
      </c>
      <c r="KR36" s="270">
        <f t="shared" si="24"/>
        <v>0</v>
      </c>
      <c r="KS36" s="270">
        <f t="shared" si="24"/>
        <v>0</v>
      </c>
      <c r="KT36" s="270">
        <f t="shared" si="24"/>
        <v>0</v>
      </c>
      <c r="KW36" s="270">
        <f>KW33-KW34</f>
        <v>0</v>
      </c>
      <c r="KX36" s="268">
        <f t="shared" ref="KX36:LA36" si="25">KX33-KX34</f>
        <v>0</v>
      </c>
      <c r="KY36" s="270">
        <f t="shared" si="25"/>
        <v>0</v>
      </c>
      <c r="KZ36" s="270">
        <f t="shared" si="25"/>
        <v>0</v>
      </c>
      <c r="LA36" s="270">
        <f t="shared" si="25"/>
        <v>0</v>
      </c>
      <c r="LD36" s="270">
        <f>LD33-LD34</f>
        <v>0</v>
      </c>
      <c r="LE36" s="268">
        <f t="shared" ref="LE36:LH36" si="26">LE33-LE34</f>
        <v>0</v>
      </c>
      <c r="LF36" s="270">
        <f t="shared" si="26"/>
        <v>0</v>
      </c>
      <c r="LG36" s="270">
        <f t="shared" si="26"/>
        <v>0</v>
      </c>
      <c r="LH36" s="270">
        <f t="shared" si="26"/>
        <v>0</v>
      </c>
      <c r="LK36" s="270">
        <f>LK33-LK34</f>
        <v>0</v>
      </c>
      <c r="LL36" s="268">
        <f t="shared" ref="LL36:LO36" si="27">LL33-LL34</f>
        <v>0</v>
      </c>
      <c r="LM36" s="270">
        <f t="shared" si="27"/>
        <v>0</v>
      </c>
      <c r="LN36" s="270">
        <f t="shared" si="27"/>
        <v>0</v>
      </c>
      <c r="LO36" s="270">
        <f t="shared" si="27"/>
        <v>0</v>
      </c>
      <c r="LR36" s="270">
        <f>LR33-LR34</f>
        <v>0</v>
      </c>
      <c r="LS36" s="268">
        <f t="shared" ref="LS36:LV36" si="28">LS33-LS34</f>
        <v>0</v>
      </c>
      <c r="LT36" s="270">
        <f t="shared" si="28"/>
        <v>0</v>
      </c>
      <c r="LU36" s="270">
        <f t="shared" si="28"/>
        <v>0</v>
      </c>
      <c r="LV36" s="270">
        <f t="shared" si="28"/>
        <v>0</v>
      </c>
      <c r="LY36" s="270">
        <f>LY33-LY34</f>
        <v>0</v>
      </c>
      <c r="LZ36" s="268">
        <f t="shared" ref="LZ36:MC36" si="29">LZ33-LZ34</f>
        <v>0</v>
      </c>
      <c r="MA36" s="270">
        <f t="shared" si="29"/>
        <v>0</v>
      </c>
      <c r="MB36" s="270">
        <f t="shared" si="29"/>
        <v>0</v>
      </c>
      <c r="MC36" s="270">
        <f t="shared" si="29"/>
        <v>0</v>
      </c>
      <c r="MF36" s="270">
        <f>MF33-MF34</f>
        <v>0</v>
      </c>
      <c r="MG36" s="268">
        <f t="shared" ref="MG36:MJ36" si="30">MG33-MG34</f>
        <v>0</v>
      </c>
      <c r="MH36" s="270">
        <f t="shared" si="30"/>
        <v>0</v>
      </c>
      <c r="MI36" s="270">
        <f t="shared" si="30"/>
        <v>0</v>
      </c>
      <c r="MJ36" s="270">
        <f t="shared" si="30"/>
        <v>0</v>
      </c>
    </row>
    <row r="37" spans="1:369" ht="15">
      <c r="A37" s="262"/>
      <c r="B37" s="241" t="s">
        <v>15</v>
      </c>
      <c r="C37" s="241"/>
      <c r="D37" s="262"/>
      <c r="E37" s="60">
        <f>2/5</f>
        <v>0.4</v>
      </c>
      <c r="F37" s="262"/>
      <c r="G37" s="262"/>
      <c r="H37" s="271">
        <f>4/5</f>
        <v>0.8</v>
      </c>
      <c r="I37" s="271">
        <f>4/5</f>
        <v>0.8</v>
      </c>
      <c r="J37" s="271">
        <f>3/5</f>
        <v>0.6</v>
      </c>
      <c r="K37" s="271">
        <f>3/5</f>
        <v>0.6</v>
      </c>
      <c r="L37" s="271">
        <f t="shared" ref="L37" si="31">4/5</f>
        <v>0.8</v>
      </c>
      <c r="M37" s="262"/>
      <c r="N37" s="262"/>
      <c r="O37" s="271">
        <f t="shared" ref="O37:S37" si="32">4/5</f>
        <v>0.8</v>
      </c>
      <c r="P37" s="271">
        <f t="shared" si="32"/>
        <v>0.8</v>
      </c>
      <c r="Q37" s="271">
        <f t="shared" ref="Q37:R37" si="33">3/5</f>
        <v>0.6</v>
      </c>
      <c r="R37" s="271">
        <f t="shared" si="33"/>
        <v>0.6</v>
      </c>
      <c r="S37" s="271">
        <f t="shared" si="32"/>
        <v>0.8</v>
      </c>
      <c r="T37" s="262"/>
      <c r="U37" s="262"/>
      <c r="V37" s="271">
        <f t="shared" ref="V37:Z37" si="34">4/5</f>
        <v>0.8</v>
      </c>
      <c r="W37" s="271">
        <f t="shared" si="34"/>
        <v>0.8</v>
      </c>
      <c r="X37" s="271">
        <f t="shared" ref="X37:Y37" si="35">3/5</f>
        <v>0.6</v>
      </c>
      <c r="Y37" s="271">
        <f t="shared" si="35"/>
        <v>0.6</v>
      </c>
      <c r="Z37" s="271">
        <f t="shared" si="34"/>
        <v>0.8</v>
      </c>
      <c r="AA37" s="262"/>
      <c r="AB37" s="262"/>
      <c r="AC37" s="271">
        <f>3/5</f>
        <v>0.6</v>
      </c>
      <c r="AD37" s="271">
        <f t="shared" ref="AD37:AG37" si="36">4/5</f>
        <v>0.8</v>
      </c>
      <c r="AE37" s="271">
        <f t="shared" ref="AE37:AF37" si="37">3/5</f>
        <v>0.6</v>
      </c>
      <c r="AF37" s="271">
        <f t="shared" si="37"/>
        <v>0.6</v>
      </c>
      <c r="AG37" s="271">
        <f t="shared" si="36"/>
        <v>0.8</v>
      </c>
      <c r="AH37" s="262"/>
      <c r="AI37" s="262"/>
      <c r="AJ37" s="271">
        <f>4/5</f>
        <v>0.8</v>
      </c>
      <c r="AK37" s="271">
        <f t="shared" ref="AK37:AN37" si="38">4/5</f>
        <v>0.8</v>
      </c>
      <c r="AL37" s="271">
        <f t="shared" ref="AL37:AM37" si="39">3/5</f>
        <v>0.6</v>
      </c>
      <c r="AM37" s="271">
        <f t="shared" si="39"/>
        <v>0.6</v>
      </c>
      <c r="AN37" s="271">
        <f t="shared" si="38"/>
        <v>0.8</v>
      </c>
      <c r="AO37" s="262"/>
      <c r="AP37" s="262"/>
      <c r="AQ37" s="271">
        <f>4/5</f>
        <v>0.8</v>
      </c>
      <c r="AR37" s="271">
        <f>3/5</f>
        <v>0.6</v>
      </c>
      <c r="AS37" s="271">
        <f>2/5</f>
        <v>0.4</v>
      </c>
      <c r="AT37" s="271">
        <f>2/5</f>
        <v>0.4</v>
      </c>
      <c r="AU37" s="271">
        <f>3/5</f>
        <v>0.6</v>
      </c>
      <c r="AV37" s="262"/>
      <c r="AW37" s="262"/>
      <c r="AX37" s="271">
        <f>4/5</f>
        <v>0.8</v>
      </c>
      <c r="AY37" s="271">
        <f>2/5</f>
        <v>0.4</v>
      </c>
      <c r="AZ37" s="271">
        <f>1/5</f>
        <v>0.2</v>
      </c>
      <c r="BA37" s="271">
        <f>1/5</f>
        <v>0.2</v>
      </c>
      <c r="BB37" s="271">
        <f>3/5</f>
        <v>0.6</v>
      </c>
      <c r="BC37" s="262"/>
      <c r="BD37" s="262"/>
      <c r="BE37" s="271">
        <f>4/5</f>
        <v>0.8</v>
      </c>
      <c r="BF37" s="271">
        <f>2.5/5</f>
        <v>0.5</v>
      </c>
      <c r="BG37" s="271">
        <f t="shared" ref="BG37" si="40">3/5</f>
        <v>0.6</v>
      </c>
      <c r="BH37" s="271">
        <f>2/5</f>
        <v>0.4</v>
      </c>
      <c r="BI37" s="271">
        <f>2/5</f>
        <v>0.4</v>
      </c>
      <c r="BJ37" s="262"/>
      <c r="BK37" s="262"/>
      <c r="BL37" s="271">
        <f>3/5</f>
        <v>0.6</v>
      </c>
      <c r="BM37" s="271">
        <f t="shared" ref="BM37:BP37" si="41">3/5</f>
        <v>0.6</v>
      </c>
      <c r="BN37" s="271">
        <f t="shared" si="41"/>
        <v>0.6</v>
      </c>
      <c r="BO37" s="271">
        <f t="shared" si="41"/>
        <v>0.6</v>
      </c>
      <c r="BP37" s="271">
        <f t="shared" si="41"/>
        <v>0.6</v>
      </c>
      <c r="BQ37" s="262"/>
      <c r="BR37" s="262"/>
      <c r="BS37" s="271">
        <f>4/5</f>
        <v>0.8</v>
      </c>
      <c r="BT37" s="271">
        <f t="shared" ref="BT37:BW37" si="42">4/5</f>
        <v>0.8</v>
      </c>
      <c r="BU37" s="271">
        <f t="shared" ref="BU37:BV37" si="43">3/5</f>
        <v>0.6</v>
      </c>
      <c r="BV37" s="271">
        <f t="shared" si="43"/>
        <v>0.6</v>
      </c>
      <c r="BW37" s="271">
        <f t="shared" si="42"/>
        <v>0.8</v>
      </c>
      <c r="BX37" s="262"/>
      <c r="BY37" s="262"/>
      <c r="BZ37" s="271">
        <f>4/5</f>
        <v>0.8</v>
      </c>
      <c r="CA37" s="271">
        <f t="shared" ref="CA37:CD37" si="44">4/5</f>
        <v>0.8</v>
      </c>
      <c r="CB37" s="271">
        <f>3/5</f>
        <v>0.6</v>
      </c>
      <c r="CC37" s="271">
        <f>3/5</f>
        <v>0.6</v>
      </c>
      <c r="CD37" s="271">
        <f t="shared" si="44"/>
        <v>0.8</v>
      </c>
      <c r="CE37" s="262"/>
      <c r="CF37" s="262"/>
      <c r="CG37" s="271">
        <f>4/5</f>
        <v>0.8</v>
      </c>
      <c r="CH37" s="271">
        <f>3/5</f>
        <v>0.6</v>
      </c>
      <c r="CI37" s="271">
        <f>2/5</f>
        <v>0.4</v>
      </c>
      <c r="CJ37" s="271">
        <f t="shared" ref="CI37:CJ37" si="45">3/5</f>
        <v>0.6</v>
      </c>
      <c r="CK37" s="271">
        <f t="shared" ref="CH37:CK37" si="46">4/5</f>
        <v>0.8</v>
      </c>
      <c r="CL37" s="262"/>
      <c r="CM37" s="262"/>
      <c r="CN37" s="271">
        <f>3/5</f>
        <v>0.6</v>
      </c>
      <c r="CO37" s="271">
        <f t="shared" ref="CO37" si="47">3/5</f>
        <v>0.6</v>
      </c>
      <c r="CP37" s="271">
        <f>5/5</f>
        <v>1</v>
      </c>
      <c r="CQ37" s="271">
        <f>5/5</f>
        <v>1</v>
      </c>
      <c r="CR37" s="262"/>
      <c r="CS37" s="262"/>
      <c r="CT37" s="262"/>
      <c r="CU37" s="262"/>
      <c r="CV37" s="271">
        <f t="shared" ref="CV37:CY37" si="48">5/5</f>
        <v>1</v>
      </c>
      <c r="CW37" s="271">
        <f t="shared" si="48"/>
        <v>1</v>
      </c>
      <c r="CX37" s="271">
        <f t="shared" si="48"/>
        <v>1</v>
      </c>
      <c r="CY37" s="271">
        <f t="shared" si="48"/>
        <v>1</v>
      </c>
      <c r="CZ37" s="262"/>
      <c r="DA37" s="262"/>
      <c r="DB37" s="271">
        <f t="shared" ref="DB37:DF37" si="49">5/5</f>
        <v>1</v>
      </c>
      <c r="DC37" s="271">
        <f t="shared" si="49"/>
        <v>1</v>
      </c>
      <c r="DD37" s="271">
        <f t="shared" si="49"/>
        <v>1</v>
      </c>
      <c r="DE37" s="271">
        <f t="shared" si="49"/>
        <v>1</v>
      </c>
      <c r="DF37" s="271">
        <f>4.5/5</f>
        <v>0.9</v>
      </c>
      <c r="DG37" s="262"/>
      <c r="DH37" s="262"/>
      <c r="DI37" s="271">
        <f t="shared" ref="DI37:DM37" si="50">5/5</f>
        <v>1</v>
      </c>
      <c r="DJ37" s="271">
        <f t="shared" si="50"/>
        <v>1</v>
      </c>
      <c r="DK37" s="271">
        <f t="shared" si="50"/>
        <v>1</v>
      </c>
      <c r="DL37" s="271">
        <f t="shared" si="50"/>
        <v>1</v>
      </c>
      <c r="DM37" s="271">
        <f t="shared" si="50"/>
        <v>1</v>
      </c>
      <c r="DN37" s="262"/>
      <c r="DO37" s="262"/>
      <c r="DP37" s="271">
        <f t="shared" ref="DP37:DT37" si="51">5/5</f>
        <v>1</v>
      </c>
      <c r="DQ37" s="271">
        <f t="shared" si="51"/>
        <v>1</v>
      </c>
      <c r="DR37" s="271">
        <f t="shared" si="51"/>
        <v>1</v>
      </c>
      <c r="DS37" s="271">
        <f t="shared" si="51"/>
        <v>1</v>
      </c>
      <c r="DT37" s="271">
        <f t="shared" si="51"/>
        <v>1</v>
      </c>
      <c r="DU37" s="262"/>
      <c r="DV37" s="262"/>
      <c r="DW37" s="262"/>
      <c r="DX37" s="271">
        <f t="shared" ref="DX37:EA37" si="52">5/5</f>
        <v>1</v>
      </c>
      <c r="DY37" s="271">
        <f t="shared" si="52"/>
        <v>1</v>
      </c>
      <c r="DZ37" s="271">
        <f t="shared" si="52"/>
        <v>1</v>
      </c>
      <c r="EA37" s="271">
        <f t="shared" si="52"/>
        <v>1</v>
      </c>
      <c r="EB37" s="262"/>
      <c r="EC37" s="262"/>
      <c r="ED37" s="271">
        <f t="shared" ref="ED37:EH37" si="53">5/5</f>
        <v>1</v>
      </c>
      <c r="EE37" s="271">
        <f t="shared" si="53"/>
        <v>1</v>
      </c>
      <c r="EF37" s="271">
        <f t="shared" si="53"/>
        <v>1</v>
      </c>
      <c r="EG37" s="271">
        <f t="shared" si="53"/>
        <v>1</v>
      </c>
      <c r="EH37" s="271">
        <f t="shared" si="53"/>
        <v>1</v>
      </c>
      <c r="EI37" s="262"/>
      <c r="EJ37" s="262"/>
      <c r="EK37" s="271">
        <f t="shared" ref="EK37:EO37" si="54">5/5</f>
        <v>1</v>
      </c>
      <c r="EL37" s="271">
        <f t="shared" si="54"/>
        <v>1</v>
      </c>
      <c r="EM37" s="271">
        <f t="shared" si="54"/>
        <v>1</v>
      </c>
      <c r="EN37" s="271">
        <f t="shared" si="54"/>
        <v>1</v>
      </c>
      <c r="EO37" s="271">
        <f t="shared" si="54"/>
        <v>1</v>
      </c>
      <c r="EP37" s="262"/>
      <c r="EQ37" s="262"/>
      <c r="ER37" s="262"/>
      <c r="ES37" s="271">
        <f>4/5</f>
        <v>0.8</v>
      </c>
      <c r="ET37" s="271">
        <f t="shared" ref="ET37:EY37" si="55">4/5</f>
        <v>0.8</v>
      </c>
      <c r="EU37" s="271">
        <f t="shared" si="55"/>
        <v>0.8</v>
      </c>
      <c r="EV37" s="271">
        <f t="shared" si="55"/>
        <v>0.8</v>
      </c>
      <c r="EW37" s="271"/>
      <c r="EX37" s="271"/>
      <c r="EY37" s="271">
        <f t="shared" si="55"/>
        <v>0.8</v>
      </c>
      <c r="EZ37" s="271">
        <f t="shared" ref="EY37:FC37" si="56">5/5</f>
        <v>1</v>
      </c>
      <c r="FA37" s="271">
        <f t="shared" si="56"/>
        <v>1</v>
      </c>
      <c r="FB37" s="271">
        <f t="shared" si="56"/>
        <v>1</v>
      </c>
      <c r="FC37" s="271">
        <f t="shared" si="56"/>
        <v>1</v>
      </c>
      <c r="FD37" s="262"/>
      <c r="FE37" s="262"/>
      <c r="FF37" s="271">
        <f t="shared" ref="FF37:FJ37" si="57">5/5</f>
        <v>1</v>
      </c>
      <c r="FG37" s="271">
        <f t="shared" si="57"/>
        <v>1</v>
      </c>
      <c r="FH37" s="271">
        <f t="shared" si="57"/>
        <v>1</v>
      </c>
      <c r="FI37" s="271">
        <f t="shared" si="57"/>
        <v>1</v>
      </c>
      <c r="FJ37" s="271">
        <f t="shared" si="57"/>
        <v>1</v>
      </c>
      <c r="FK37" s="262"/>
      <c r="FL37" s="262"/>
      <c r="FM37" s="271">
        <f t="shared" ref="FM37:FQ37" si="58">5/5</f>
        <v>1</v>
      </c>
      <c r="FN37" s="271">
        <f t="shared" si="58"/>
        <v>1</v>
      </c>
      <c r="FO37" s="271">
        <f t="shared" si="58"/>
        <v>1</v>
      </c>
      <c r="FP37" s="271">
        <f t="shared" si="58"/>
        <v>1</v>
      </c>
      <c r="FQ37" s="271">
        <f t="shared" si="58"/>
        <v>1</v>
      </c>
      <c r="FR37" s="262"/>
      <c r="FS37" s="262"/>
      <c r="FT37" s="271">
        <f t="shared" ref="FT37:FX37" si="59">5/5</f>
        <v>1</v>
      </c>
      <c r="FU37" s="271">
        <f t="shared" si="59"/>
        <v>1</v>
      </c>
      <c r="FV37" s="271">
        <f t="shared" si="59"/>
        <v>1</v>
      </c>
      <c r="FW37" s="271">
        <f t="shared" si="59"/>
        <v>1</v>
      </c>
      <c r="FX37" s="271">
        <f t="shared" si="59"/>
        <v>1</v>
      </c>
      <c r="FY37" s="262"/>
      <c r="FZ37" s="262"/>
      <c r="GA37" s="271">
        <f t="shared" ref="GA37:GE37" si="60">5/5</f>
        <v>1</v>
      </c>
      <c r="GB37" s="271">
        <f t="shared" si="60"/>
        <v>1</v>
      </c>
      <c r="GC37" s="271">
        <f t="shared" si="60"/>
        <v>1</v>
      </c>
      <c r="GD37" s="271">
        <f t="shared" si="60"/>
        <v>1</v>
      </c>
      <c r="GE37" s="271">
        <f t="shared" si="60"/>
        <v>1</v>
      </c>
      <c r="GF37" s="262"/>
      <c r="GG37" s="262"/>
      <c r="GH37" s="271">
        <f t="shared" ref="GH37:GL37" si="61">5/5</f>
        <v>1</v>
      </c>
      <c r="GI37" s="271">
        <f t="shared" si="61"/>
        <v>1</v>
      </c>
      <c r="GJ37" s="271">
        <f t="shared" si="61"/>
        <v>1</v>
      </c>
      <c r="GK37" s="271">
        <f t="shared" si="61"/>
        <v>1</v>
      </c>
      <c r="GL37" s="271">
        <f t="shared" si="61"/>
        <v>1</v>
      </c>
      <c r="GM37" s="262"/>
      <c r="GN37" s="262"/>
      <c r="GO37" s="271">
        <f t="shared" ref="GO37:GS37" si="62">5/5</f>
        <v>1</v>
      </c>
      <c r="GP37" s="271">
        <f t="shared" si="62"/>
        <v>1</v>
      </c>
      <c r="GQ37" s="271">
        <f t="shared" si="62"/>
        <v>1</v>
      </c>
      <c r="GR37" s="271">
        <f t="shared" si="62"/>
        <v>1</v>
      </c>
      <c r="GS37" s="271">
        <f t="shared" si="62"/>
        <v>1</v>
      </c>
      <c r="GT37" s="262"/>
      <c r="GU37" s="262"/>
      <c r="GV37" s="271">
        <f t="shared" ref="GV37:GZ37" si="63">5/5</f>
        <v>1</v>
      </c>
      <c r="GW37" s="271">
        <f t="shared" si="63"/>
        <v>1</v>
      </c>
      <c r="GX37" s="271">
        <f t="shared" si="63"/>
        <v>1</v>
      </c>
      <c r="GY37" s="271">
        <f t="shared" si="63"/>
        <v>1</v>
      </c>
      <c r="GZ37" s="271">
        <f t="shared" si="63"/>
        <v>1</v>
      </c>
      <c r="HA37" s="262"/>
      <c r="HB37" s="262"/>
      <c r="HC37" s="271">
        <f t="shared" ref="HC37:HG37" si="64">5/5</f>
        <v>1</v>
      </c>
      <c r="HD37" s="271">
        <f t="shared" si="64"/>
        <v>1</v>
      </c>
      <c r="HE37" s="271">
        <f t="shared" si="64"/>
        <v>1</v>
      </c>
      <c r="HF37" s="271">
        <f t="shared" si="64"/>
        <v>1</v>
      </c>
      <c r="HG37" s="271">
        <f t="shared" si="64"/>
        <v>1</v>
      </c>
      <c r="HH37" s="262"/>
      <c r="HI37" s="262"/>
      <c r="HJ37" s="271">
        <f t="shared" ref="HJ37:HN37" si="65">5/5</f>
        <v>1</v>
      </c>
      <c r="HK37" s="271">
        <f t="shared" si="65"/>
        <v>1</v>
      </c>
      <c r="HL37" s="271">
        <f t="shared" si="65"/>
        <v>1</v>
      </c>
      <c r="HM37" s="271">
        <f t="shared" si="65"/>
        <v>1</v>
      </c>
      <c r="HN37" s="271">
        <f t="shared" si="65"/>
        <v>1</v>
      </c>
      <c r="HO37" s="262"/>
      <c r="HP37" s="262"/>
      <c r="HQ37" s="271">
        <f t="shared" ref="HQ37:HU37" si="66">5/5</f>
        <v>1</v>
      </c>
      <c r="HR37" s="271">
        <f t="shared" si="66"/>
        <v>1</v>
      </c>
      <c r="HS37" s="271">
        <f t="shared" si="66"/>
        <v>1</v>
      </c>
      <c r="HT37" s="271">
        <f t="shared" si="66"/>
        <v>1</v>
      </c>
      <c r="HU37" s="271">
        <f t="shared" si="66"/>
        <v>1</v>
      </c>
      <c r="HV37" s="262"/>
      <c r="HW37" s="262"/>
      <c r="HX37" s="271">
        <f t="shared" ref="HX37:IA37" si="67">5/5</f>
        <v>1</v>
      </c>
      <c r="HY37" s="271">
        <f t="shared" si="67"/>
        <v>1</v>
      </c>
      <c r="HZ37" s="271">
        <f t="shared" si="67"/>
        <v>1</v>
      </c>
      <c r="IA37" s="271">
        <f t="shared" si="67"/>
        <v>1</v>
      </c>
      <c r="IB37" s="271">
        <f>4/5</f>
        <v>0.8</v>
      </c>
      <c r="IE37" s="271">
        <f t="shared" ref="IE37:II37" si="68">5/5</f>
        <v>1</v>
      </c>
      <c r="IF37" s="271">
        <f t="shared" si="68"/>
        <v>1</v>
      </c>
      <c r="IG37" s="271">
        <f t="shared" si="68"/>
        <v>1</v>
      </c>
      <c r="IH37" s="271">
        <f t="shared" si="68"/>
        <v>1</v>
      </c>
      <c r="II37" s="271">
        <f t="shared" si="68"/>
        <v>1</v>
      </c>
      <c r="IL37" s="271"/>
      <c r="IM37" s="271">
        <f t="shared" ref="IM37:IP37" si="69">5/5</f>
        <v>1</v>
      </c>
      <c r="IN37" s="271">
        <f t="shared" si="69"/>
        <v>1</v>
      </c>
      <c r="IO37" s="271">
        <f t="shared" si="69"/>
        <v>1</v>
      </c>
      <c r="IP37" s="271">
        <f t="shared" si="69"/>
        <v>1</v>
      </c>
      <c r="IS37" s="271">
        <f t="shared" ref="IS37:IW37" si="70">5/5</f>
        <v>1</v>
      </c>
      <c r="IT37" s="271">
        <f t="shared" si="70"/>
        <v>1</v>
      </c>
      <c r="IU37" s="271">
        <f t="shared" si="70"/>
        <v>1</v>
      </c>
      <c r="IV37" s="271">
        <f t="shared" si="70"/>
        <v>1</v>
      </c>
      <c r="IW37" s="271">
        <f t="shared" si="70"/>
        <v>1</v>
      </c>
      <c r="IZ37" s="271">
        <f t="shared" ref="IZ37:JD37" si="71">5/5</f>
        <v>1</v>
      </c>
      <c r="JA37" s="271">
        <f t="shared" si="71"/>
        <v>1</v>
      </c>
      <c r="JB37" s="271">
        <f t="shared" si="71"/>
        <v>1</v>
      </c>
      <c r="JC37" s="271">
        <f t="shared" si="71"/>
        <v>1</v>
      </c>
      <c r="JD37" s="271">
        <f t="shared" si="71"/>
        <v>1</v>
      </c>
      <c r="JG37" s="271">
        <f t="shared" ref="JG37:JK37" si="72">5/5</f>
        <v>1</v>
      </c>
      <c r="JH37" s="271">
        <f t="shared" si="72"/>
        <v>1</v>
      </c>
      <c r="JI37" s="271">
        <f t="shared" si="72"/>
        <v>1</v>
      </c>
      <c r="JJ37" s="271">
        <f t="shared" si="72"/>
        <v>1</v>
      </c>
      <c r="JK37" s="271">
        <f t="shared" si="72"/>
        <v>1</v>
      </c>
      <c r="JN37" s="271">
        <f t="shared" ref="JN37:JR37" si="73">5/5</f>
        <v>1</v>
      </c>
      <c r="JO37" s="271">
        <f t="shared" si="73"/>
        <v>1</v>
      </c>
      <c r="JP37" s="271">
        <f t="shared" si="73"/>
        <v>1</v>
      </c>
      <c r="JQ37" s="271">
        <f t="shared" si="73"/>
        <v>1</v>
      </c>
      <c r="JR37" s="271">
        <f t="shared" si="73"/>
        <v>1</v>
      </c>
      <c r="JU37" s="271">
        <f t="shared" ref="JU37:JY37" si="74">5/5</f>
        <v>1</v>
      </c>
      <c r="JV37" s="271">
        <f t="shared" si="74"/>
        <v>1</v>
      </c>
      <c r="JW37" s="271">
        <f t="shared" si="74"/>
        <v>1</v>
      </c>
      <c r="JX37" s="271">
        <f t="shared" si="74"/>
        <v>1</v>
      </c>
      <c r="JY37" s="271">
        <f t="shared" si="74"/>
        <v>1</v>
      </c>
      <c r="KB37" s="271">
        <f t="shared" ref="KB37:KF37" si="75">5/5</f>
        <v>1</v>
      </c>
      <c r="KC37" s="271">
        <f t="shared" si="75"/>
        <v>1</v>
      </c>
      <c r="KD37" s="271">
        <f t="shared" si="75"/>
        <v>1</v>
      </c>
      <c r="KE37" s="271">
        <f t="shared" si="75"/>
        <v>1</v>
      </c>
      <c r="KF37" s="271">
        <f t="shared" si="75"/>
        <v>1</v>
      </c>
      <c r="KI37" s="271">
        <f t="shared" ref="KI37:KM37" si="76">5/5</f>
        <v>1</v>
      </c>
      <c r="KJ37" s="271">
        <f t="shared" si="76"/>
        <v>1</v>
      </c>
      <c r="KK37" s="271">
        <f t="shared" si="76"/>
        <v>1</v>
      </c>
      <c r="KL37" s="271">
        <f t="shared" si="76"/>
        <v>1</v>
      </c>
      <c r="KM37" s="271">
        <f t="shared" si="76"/>
        <v>1</v>
      </c>
      <c r="KP37" s="271">
        <f t="shared" ref="KP37:KT37" si="77">5/5</f>
        <v>1</v>
      </c>
      <c r="KQ37" s="271">
        <f t="shared" si="77"/>
        <v>1</v>
      </c>
      <c r="KR37" s="271">
        <f t="shared" si="77"/>
        <v>1</v>
      </c>
      <c r="KS37" s="271">
        <f t="shared" si="77"/>
        <v>1</v>
      </c>
      <c r="KT37" s="271">
        <f t="shared" si="77"/>
        <v>1</v>
      </c>
      <c r="KW37" s="271">
        <f t="shared" ref="KW37:LA37" si="78">5/5</f>
        <v>1</v>
      </c>
      <c r="KX37" s="271">
        <f t="shared" si="78"/>
        <v>1</v>
      </c>
      <c r="KY37" s="271">
        <f t="shared" si="78"/>
        <v>1</v>
      </c>
      <c r="KZ37" s="271">
        <f t="shared" si="78"/>
        <v>1</v>
      </c>
      <c r="LA37" s="271">
        <f t="shared" si="78"/>
        <v>1</v>
      </c>
      <c r="LD37" s="271">
        <f t="shared" ref="LD37:LH37" si="79">5/5</f>
        <v>1</v>
      </c>
      <c r="LE37" s="271">
        <f t="shared" si="79"/>
        <v>1</v>
      </c>
      <c r="LF37" s="271">
        <f t="shared" si="79"/>
        <v>1</v>
      </c>
      <c r="LG37" s="271">
        <f t="shared" si="79"/>
        <v>1</v>
      </c>
      <c r="LH37" s="271">
        <f t="shared" si="79"/>
        <v>1</v>
      </c>
      <c r="LK37" s="271">
        <f t="shared" ref="LK37:LO37" si="80">5/5</f>
        <v>1</v>
      </c>
      <c r="LL37" s="271">
        <f t="shared" si="80"/>
        <v>1</v>
      </c>
      <c r="LM37" s="271">
        <f t="shared" si="80"/>
        <v>1</v>
      </c>
      <c r="LN37" s="271">
        <f t="shared" si="80"/>
        <v>1</v>
      </c>
      <c r="LO37" s="271">
        <f t="shared" si="80"/>
        <v>1</v>
      </c>
      <c r="LR37" s="271">
        <f t="shared" ref="LR37:LV37" si="81">5/5</f>
        <v>1</v>
      </c>
      <c r="LS37" s="271">
        <f t="shared" si="81"/>
        <v>1</v>
      </c>
      <c r="LT37" s="271">
        <f t="shared" si="81"/>
        <v>1</v>
      </c>
      <c r="LU37" s="271">
        <f t="shared" si="81"/>
        <v>1</v>
      </c>
      <c r="LV37" s="271">
        <f t="shared" si="81"/>
        <v>1</v>
      </c>
      <c r="LY37" s="271">
        <f t="shared" ref="LY37:MC37" si="82">5/5</f>
        <v>1</v>
      </c>
      <c r="LZ37" s="271">
        <f t="shared" si="82"/>
        <v>1</v>
      </c>
      <c r="MA37" s="271">
        <f t="shared" si="82"/>
        <v>1</v>
      </c>
      <c r="MB37" s="271">
        <f t="shared" si="82"/>
        <v>1</v>
      </c>
      <c r="MC37" s="271">
        <f t="shared" si="82"/>
        <v>1</v>
      </c>
      <c r="MF37" s="271">
        <f t="shared" ref="MF37:MJ37" si="83">5/5</f>
        <v>1</v>
      </c>
      <c r="MG37" s="271">
        <f t="shared" si="83"/>
        <v>1</v>
      </c>
      <c r="MH37" s="271">
        <f t="shared" si="83"/>
        <v>1</v>
      </c>
      <c r="MI37" s="271">
        <f t="shared" si="83"/>
        <v>1</v>
      </c>
      <c r="MJ37" s="271">
        <f t="shared" si="83"/>
        <v>1</v>
      </c>
      <c r="MM37" s="271">
        <f t="shared" ref="MM37:MQ37" si="84">5/5</f>
        <v>1</v>
      </c>
      <c r="MN37" s="271">
        <f t="shared" si="84"/>
        <v>1</v>
      </c>
      <c r="MO37" s="271">
        <f t="shared" si="84"/>
        <v>1</v>
      </c>
      <c r="MP37" s="271">
        <f t="shared" si="84"/>
        <v>1</v>
      </c>
      <c r="MQ37" s="271">
        <f t="shared" si="84"/>
        <v>1</v>
      </c>
      <c r="MT37" s="271">
        <f t="shared" ref="MT37:MW37" si="85">5/5</f>
        <v>1</v>
      </c>
      <c r="MU37" s="271">
        <f t="shared" si="85"/>
        <v>1</v>
      </c>
      <c r="MV37" s="271">
        <f t="shared" si="85"/>
        <v>1</v>
      </c>
      <c r="MW37" s="271">
        <f t="shared" si="85"/>
        <v>1</v>
      </c>
      <c r="MX37" s="271"/>
      <c r="NB37" s="271">
        <f t="shared" ref="NB37:ND37" si="86">5/5</f>
        <v>1</v>
      </c>
      <c r="NC37" s="271">
        <f t="shared" si="86"/>
        <v>1</v>
      </c>
      <c r="ND37" s="271">
        <f t="shared" si="86"/>
        <v>1</v>
      </c>
    </row>
    <row r="38" spans="1:369">
      <c r="A38" s="262"/>
      <c r="B38" s="241" t="s">
        <v>213</v>
      </c>
      <c r="C38" s="241"/>
      <c r="D38" s="241"/>
      <c r="E38" s="60">
        <f>5/8</f>
        <v>0.625</v>
      </c>
      <c r="F38" s="241"/>
      <c r="G38" s="241"/>
      <c r="H38" s="271">
        <f>7/8</f>
        <v>0.875</v>
      </c>
      <c r="I38" s="271">
        <f>6/8</f>
        <v>0.75</v>
      </c>
      <c r="J38" s="271">
        <f t="shared" ref="J38" si="87">6/8</f>
        <v>0.75</v>
      </c>
      <c r="K38" s="271">
        <f>5.5/8</f>
        <v>0.6875</v>
      </c>
      <c r="L38" s="271">
        <f>5.5/8</f>
        <v>0.6875</v>
      </c>
      <c r="M38" s="241"/>
      <c r="N38" s="241"/>
      <c r="O38" s="271">
        <f>6/8</f>
        <v>0.75</v>
      </c>
      <c r="P38" s="271">
        <f t="shared" ref="P38:S38" si="88">7/8</f>
        <v>0.875</v>
      </c>
      <c r="Q38" s="271">
        <f>7/8</f>
        <v>0.875</v>
      </c>
      <c r="R38" s="271">
        <f>6/8</f>
        <v>0.75</v>
      </c>
      <c r="S38" s="271">
        <f t="shared" si="88"/>
        <v>0.875</v>
      </c>
      <c r="T38" s="241"/>
      <c r="U38" s="241"/>
      <c r="V38" s="271">
        <f>7/8</f>
        <v>0.875</v>
      </c>
      <c r="W38" s="271">
        <f>8/8</f>
        <v>1</v>
      </c>
      <c r="X38" s="271">
        <f t="shared" ref="X38:Y38" si="89">8/8</f>
        <v>1</v>
      </c>
      <c r="Y38" s="271">
        <f t="shared" si="89"/>
        <v>1</v>
      </c>
      <c r="Z38" s="271">
        <f>7/8</f>
        <v>0.875</v>
      </c>
      <c r="AA38" s="241"/>
      <c r="AB38" s="241"/>
      <c r="AC38" s="271">
        <f t="shared" ref="AC38:AE38" si="90">8/8</f>
        <v>1</v>
      </c>
      <c r="AD38" s="271">
        <f t="shared" si="90"/>
        <v>1</v>
      </c>
      <c r="AE38" s="271">
        <f t="shared" si="90"/>
        <v>1</v>
      </c>
      <c r="AF38" s="271">
        <f>9/8</f>
        <v>1.125</v>
      </c>
      <c r="AG38" s="271">
        <f>6.5/8</f>
        <v>0.8125</v>
      </c>
      <c r="AH38" s="241"/>
      <c r="AI38" s="241"/>
      <c r="AJ38" s="271">
        <f>8/8</f>
        <v>1</v>
      </c>
      <c r="AK38" s="271">
        <f t="shared" ref="AK38:AN38" si="91">8/8</f>
        <v>1</v>
      </c>
      <c r="AL38" s="271">
        <f t="shared" si="91"/>
        <v>1</v>
      </c>
      <c r="AM38" s="271">
        <f>8/8</f>
        <v>1</v>
      </c>
      <c r="AN38" s="271">
        <f t="shared" si="91"/>
        <v>1</v>
      </c>
      <c r="AO38" s="241"/>
      <c r="AP38" s="241"/>
      <c r="AQ38" s="271">
        <f>7/8</f>
        <v>0.875</v>
      </c>
      <c r="AR38" s="271">
        <f t="shared" ref="AR38" si="92">7/8</f>
        <v>0.875</v>
      </c>
      <c r="AS38" s="271">
        <f>6/8</f>
        <v>0.75</v>
      </c>
      <c r="AT38" s="271">
        <f>6/8</f>
        <v>0.75</v>
      </c>
      <c r="AU38" s="271">
        <f>6/8</f>
        <v>0.75</v>
      </c>
      <c r="AV38" s="241"/>
      <c r="AW38" s="241"/>
      <c r="AX38" s="271">
        <f>8/8</f>
        <v>1</v>
      </c>
      <c r="AY38" s="271">
        <f>6/8</f>
        <v>0.75</v>
      </c>
      <c r="AZ38" s="271">
        <f>7/8</f>
        <v>0.875</v>
      </c>
      <c r="BA38" s="271">
        <f>5/8</f>
        <v>0.625</v>
      </c>
      <c r="BB38" s="271">
        <f>7/8</f>
        <v>0.875</v>
      </c>
      <c r="BC38" s="241"/>
      <c r="BD38" s="241"/>
      <c r="BE38" s="271">
        <f t="shared" ref="BE38:BG38" si="93">7/8</f>
        <v>0.875</v>
      </c>
      <c r="BF38" s="271">
        <f t="shared" si="93"/>
        <v>0.875</v>
      </c>
      <c r="BG38" s="271">
        <f t="shared" si="93"/>
        <v>0.875</v>
      </c>
      <c r="BH38" s="271">
        <f>7/8</f>
        <v>0.875</v>
      </c>
      <c r="BI38" s="271">
        <f>8/8</f>
        <v>1</v>
      </c>
      <c r="BJ38" s="241"/>
      <c r="BK38" s="241"/>
      <c r="BL38" s="271">
        <f>5/8</f>
        <v>0.625</v>
      </c>
      <c r="BM38" s="271">
        <f>6/8</f>
        <v>0.75</v>
      </c>
      <c r="BN38" s="271">
        <f t="shared" ref="BN38:BP38" si="94">7/8</f>
        <v>0.875</v>
      </c>
      <c r="BO38" s="271">
        <f t="shared" si="94"/>
        <v>0.875</v>
      </c>
      <c r="BP38" s="271">
        <f t="shared" si="94"/>
        <v>0.875</v>
      </c>
      <c r="BQ38" s="241"/>
      <c r="BR38" s="241"/>
      <c r="BS38" s="271">
        <f>6/8</f>
        <v>0.75</v>
      </c>
      <c r="BT38" s="271">
        <f>5/8</f>
        <v>0.625</v>
      </c>
      <c r="BU38" s="271">
        <f t="shared" ref="BT38:BW38" si="95">8/8</f>
        <v>1</v>
      </c>
      <c r="BV38" s="271">
        <f t="shared" si="95"/>
        <v>1</v>
      </c>
      <c r="BW38" s="271">
        <f>7/8</f>
        <v>0.875</v>
      </c>
      <c r="BX38" s="241"/>
      <c r="BY38" s="241"/>
      <c r="BZ38" s="271">
        <f>7/8</f>
        <v>0.875</v>
      </c>
      <c r="CA38" s="271">
        <f>6/8</f>
        <v>0.75</v>
      </c>
      <c r="CB38" s="271">
        <f>6/8</f>
        <v>0.75</v>
      </c>
      <c r="CC38" s="271">
        <f>6/8</f>
        <v>0.75</v>
      </c>
      <c r="CD38" s="271">
        <f>6/8</f>
        <v>0.75</v>
      </c>
      <c r="CE38" s="241"/>
      <c r="CF38" s="241"/>
      <c r="CG38" s="271">
        <f>8/8</f>
        <v>1</v>
      </c>
      <c r="CH38" s="271">
        <f t="shared" ref="CH38:CJ38" si="96">8/8</f>
        <v>1</v>
      </c>
      <c r="CI38" s="271">
        <f t="shared" si="96"/>
        <v>1</v>
      </c>
      <c r="CJ38" s="271">
        <f t="shared" si="96"/>
        <v>1</v>
      </c>
      <c r="CK38" s="271">
        <f>6/8</f>
        <v>0.75</v>
      </c>
      <c r="CL38" s="241"/>
      <c r="CM38" s="241"/>
      <c r="CN38" s="271">
        <f>5/8</f>
        <v>0.625</v>
      </c>
      <c r="CO38" s="271">
        <f>6.5/8</f>
        <v>0.8125</v>
      </c>
      <c r="CP38" s="271">
        <f>6.5/8</f>
        <v>0.8125</v>
      </c>
      <c r="CQ38" s="271">
        <f>8/8</f>
        <v>1</v>
      </c>
      <c r="CR38" s="241"/>
      <c r="CS38" s="241"/>
      <c r="CT38" s="241"/>
      <c r="CU38" s="241"/>
      <c r="CV38" s="271">
        <f t="shared" ref="CV38:CY38" si="97">8/8</f>
        <v>1</v>
      </c>
      <c r="CW38" s="271">
        <f t="shared" si="97"/>
        <v>1</v>
      </c>
      <c r="CX38" s="271">
        <f t="shared" si="97"/>
        <v>1</v>
      </c>
      <c r="CY38" s="271">
        <f t="shared" si="97"/>
        <v>1</v>
      </c>
      <c r="CZ38" s="241"/>
      <c r="DA38" s="241"/>
      <c r="DB38" s="271">
        <f t="shared" ref="DB38:DF38" si="98">8/8</f>
        <v>1</v>
      </c>
      <c r="DC38" s="271">
        <f t="shared" si="98"/>
        <v>1</v>
      </c>
      <c r="DD38" s="271">
        <f t="shared" si="98"/>
        <v>1</v>
      </c>
      <c r="DE38" s="271">
        <f t="shared" si="98"/>
        <v>1</v>
      </c>
      <c r="DF38" s="271">
        <f t="shared" si="98"/>
        <v>1</v>
      </c>
      <c r="DG38" s="241"/>
      <c r="DH38" s="241"/>
      <c r="DI38" s="271">
        <f t="shared" ref="DI38:DM38" si="99">8/8</f>
        <v>1</v>
      </c>
      <c r="DJ38" s="271">
        <f t="shared" si="99"/>
        <v>1</v>
      </c>
      <c r="DK38" s="271">
        <f t="shared" si="99"/>
        <v>1</v>
      </c>
      <c r="DL38" s="271">
        <f t="shared" si="99"/>
        <v>1</v>
      </c>
      <c r="DM38" s="271">
        <f t="shared" si="99"/>
        <v>1</v>
      </c>
      <c r="DN38" s="241"/>
      <c r="DO38" s="241"/>
      <c r="DP38" s="271">
        <f t="shared" ref="DP38:DT38" si="100">8/8</f>
        <v>1</v>
      </c>
      <c r="DQ38" s="271">
        <f t="shared" si="100"/>
        <v>1</v>
      </c>
      <c r="DR38" s="271">
        <f t="shared" si="100"/>
        <v>1</v>
      </c>
      <c r="DS38" s="271">
        <f t="shared" si="100"/>
        <v>1</v>
      </c>
      <c r="DT38" s="271">
        <f t="shared" si="100"/>
        <v>1</v>
      </c>
      <c r="DU38" s="241"/>
      <c r="DV38" s="241"/>
      <c r="DW38" s="241"/>
      <c r="DX38" s="271">
        <f t="shared" ref="DX38:EA38" si="101">8/8</f>
        <v>1</v>
      </c>
      <c r="DY38" s="271">
        <f t="shared" si="101"/>
        <v>1</v>
      </c>
      <c r="DZ38" s="271">
        <f t="shared" si="101"/>
        <v>1</v>
      </c>
      <c r="EA38" s="271">
        <f t="shared" si="101"/>
        <v>1</v>
      </c>
      <c r="EB38" s="241"/>
      <c r="EC38" s="241"/>
      <c r="ED38" s="271">
        <f t="shared" ref="ED38:EH38" si="102">8/8</f>
        <v>1</v>
      </c>
      <c r="EE38" s="271">
        <f t="shared" si="102"/>
        <v>1</v>
      </c>
      <c r="EF38" s="271">
        <f t="shared" si="102"/>
        <v>1</v>
      </c>
      <c r="EG38" s="271">
        <f t="shared" si="102"/>
        <v>1</v>
      </c>
      <c r="EH38" s="271">
        <f t="shared" si="102"/>
        <v>1</v>
      </c>
      <c r="EI38" s="241"/>
      <c r="EJ38" s="241"/>
      <c r="EK38" s="271">
        <f t="shared" ref="EK38:EO38" si="103">8/8</f>
        <v>1</v>
      </c>
      <c r="EL38" s="271">
        <f t="shared" si="103"/>
        <v>1</v>
      </c>
      <c r="EM38" s="271">
        <f t="shared" si="103"/>
        <v>1</v>
      </c>
      <c r="EN38" s="271">
        <f t="shared" si="103"/>
        <v>1</v>
      </c>
      <c r="EO38" s="271">
        <f>6/8</f>
        <v>0.75</v>
      </c>
      <c r="EP38" s="241"/>
      <c r="EQ38" s="241"/>
      <c r="ER38" s="241"/>
      <c r="ES38" s="271">
        <f>6/8</f>
        <v>0.75</v>
      </c>
      <c r="ET38" s="271">
        <f t="shared" ref="ES38:EV38" si="104">8/8</f>
        <v>1</v>
      </c>
      <c r="EU38" s="271">
        <f t="shared" si="104"/>
        <v>1</v>
      </c>
      <c r="EV38" s="271">
        <f t="shared" si="104"/>
        <v>1</v>
      </c>
      <c r="EW38" s="241"/>
      <c r="EX38" s="241"/>
      <c r="EY38" s="271">
        <f t="shared" ref="EY38:FC38" si="105">8/8</f>
        <v>1</v>
      </c>
      <c r="EZ38" s="271">
        <f t="shared" si="105"/>
        <v>1</v>
      </c>
      <c r="FA38" s="271">
        <f t="shared" si="105"/>
        <v>1</v>
      </c>
      <c r="FB38" s="271">
        <f t="shared" si="105"/>
        <v>1</v>
      </c>
      <c r="FC38" s="271">
        <f t="shared" si="105"/>
        <v>1</v>
      </c>
      <c r="FD38" s="241"/>
      <c r="FE38" s="241"/>
      <c r="FF38" s="271">
        <f t="shared" ref="FF38:FJ38" si="106">8/8</f>
        <v>1</v>
      </c>
      <c r="FG38" s="271">
        <f t="shared" si="106"/>
        <v>1</v>
      </c>
      <c r="FH38" s="271">
        <f t="shared" si="106"/>
        <v>1</v>
      </c>
      <c r="FI38" s="271">
        <f t="shared" si="106"/>
        <v>1</v>
      </c>
      <c r="FJ38" s="271">
        <f t="shared" si="106"/>
        <v>1</v>
      </c>
      <c r="FK38" s="241"/>
      <c r="FL38" s="241"/>
      <c r="FM38" s="271">
        <f t="shared" ref="FM38:FQ38" si="107">8/8</f>
        <v>1</v>
      </c>
      <c r="FN38" s="271">
        <f t="shared" si="107"/>
        <v>1</v>
      </c>
      <c r="FO38" s="271">
        <f t="shared" si="107"/>
        <v>1</v>
      </c>
      <c r="FP38" s="271">
        <f t="shared" si="107"/>
        <v>1</v>
      </c>
      <c r="FQ38" s="271">
        <f t="shared" si="107"/>
        <v>1</v>
      </c>
      <c r="FR38" s="241"/>
      <c r="FS38" s="241"/>
      <c r="FT38" s="271">
        <f t="shared" ref="FT38:FX38" si="108">8/8</f>
        <v>1</v>
      </c>
      <c r="FU38" s="271">
        <f t="shared" si="108"/>
        <v>1</v>
      </c>
      <c r="FV38" s="271">
        <f t="shared" si="108"/>
        <v>1</v>
      </c>
      <c r="FW38" s="271">
        <f t="shared" si="108"/>
        <v>1</v>
      </c>
      <c r="FX38" s="271">
        <f t="shared" si="108"/>
        <v>1</v>
      </c>
      <c r="FY38" s="241"/>
      <c r="FZ38" s="241"/>
      <c r="GA38" s="271">
        <f t="shared" ref="GA38:GE38" si="109">8/8</f>
        <v>1</v>
      </c>
      <c r="GB38" s="271">
        <f t="shared" si="109"/>
        <v>1</v>
      </c>
      <c r="GC38" s="271">
        <f t="shared" si="109"/>
        <v>1</v>
      </c>
      <c r="GD38" s="271">
        <f t="shared" si="109"/>
        <v>1</v>
      </c>
      <c r="GE38" s="271">
        <f t="shared" si="109"/>
        <v>1</v>
      </c>
      <c r="GF38" s="241"/>
      <c r="GG38" s="241"/>
      <c r="GH38" s="271">
        <f t="shared" ref="GH38:GL38" si="110">8/8</f>
        <v>1</v>
      </c>
      <c r="GI38" s="271">
        <f t="shared" si="110"/>
        <v>1</v>
      </c>
      <c r="GJ38" s="271">
        <f t="shared" si="110"/>
        <v>1</v>
      </c>
      <c r="GK38" s="271">
        <f t="shared" si="110"/>
        <v>1</v>
      </c>
      <c r="GL38" s="271">
        <f t="shared" si="110"/>
        <v>1</v>
      </c>
      <c r="GM38" s="241"/>
      <c r="GN38" s="241"/>
      <c r="GO38" s="271">
        <f t="shared" ref="GO38:GS38" si="111">8/8</f>
        <v>1</v>
      </c>
      <c r="GP38" s="271">
        <f t="shared" si="111"/>
        <v>1</v>
      </c>
      <c r="GQ38" s="271">
        <f t="shared" si="111"/>
        <v>1</v>
      </c>
      <c r="GR38" s="271">
        <f t="shared" si="111"/>
        <v>1</v>
      </c>
      <c r="GS38" s="271">
        <f t="shared" si="111"/>
        <v>1</v>
      </c>
      <c r="GT38" s="241"/>
      <c r="GU38" s="241"/>
      <c r="GV38" s="271">
        <f t="shared" ref="GV38:GZ38" si="112">8/8</f>
        <v>1</v>
      </c>
      <c r="GW38" s="271">
        <f t="shared" si="112"/>
        <v>1</v>
      </c>
      <c r="GX38" s="271">
        <f t="shared" si="112"/>
        <v>1</v>
      </c>
      <c r="GY38" s="271">
        <f t="shared" si="112"/>
        <v>1</v>
      </c>
      <c r="GZ38" s="271">
        <f t="shared" si="112"/>
        <v>1</v>
      </c>
      <c r="HA38" s="241"/>
      <c r="HB38" s="241"/>
      <c r="HC38" s="271">
        <f t="shared" ref="HC38:HG38" si="113">8/8</f>
        <v>1</v>
      </c>
      <c r="HD38" s="271">
        <f t="shared" si="113"/>
        <v>1</v>
      </c>
      <c r="HE38" s="271">
        <f t="shared" si="113"/>
        <v>1</v>
      </c>
      <c r="HF38" s="271">
        <f t="shared" si="113"/>
        <v>1</v>
      </c>
      <c r="HG38" s="271">
        <f t="shared" si="113"/>
        <v>1</v>
      </c>
      <c r="HH38" s="241"/>
      <c r="HI38" s="241"/>
      <c r="HJ38" s="271">
        <f t="shared" ref="HJ38:HN38" si="114">8/8</f>
        <v>1</v>
      </c>
      <c r="HK38" s="271">
        <f t="shared" si="114"/>
        <v>1</v>
      </c>
      <c r="HL38" s="271">
        <f t="shared" si="114"/>
        <v>1</v>
      </c>
      <c r="HM38" s="271">
        <f t="shared" si="114"/>
        <v>1</v>
      </c>
      <c r="HN38" s="271">
        <f t="shared" si="114"/>
        <v>1</v>
      </c>
      <c r="HO38" s="241"/>
      <c r="HP38" s="241"/>
      <c r="HQ38" s="271">
        <f t="shared" ref="HQ38:HU38" si="115">8/8</f>
        <v>1</v>
      </c>
      <c r="HR38" s="271">
        <f t="shared" si="115"/>
        <v>1</v>
      </c>
      <c r="HS38" s="271">
        <f t="shared" si="115"/>
        <v>1</v>
      </c>
      <c r="HT38" s="271">
        <f t="shared" si="115"/>
        <v>1</v>
      </c>
      <c r="HU38" s="271">
        <f t="shared" si="115"/>
        <v>1</v>
      </c>
      <c r="HV38" s="241"/>
      <c r="HW38" s="241"/>
      <c r="HX38" s="271">
        <f t="shared" ref="HX38:IB38" si="116">8/8</f>
        <v>1</v>
      </c>
      <c r="HY38" s="271">
        <f t="shared" si="116"/>
        <v>1</v>
      </c>
      <c r="HZ38" s="271">
        <f t="shared" si="116"/>
        <v>1</v>
      </c>
      <c r="IA38" s="271">
        <f t="shared" si="116"/>
        <v>1</v>
      </c>
      <c r="IB38" s="271">
        <f t="shared" si="116"/>
        <v>1</v>
      </c>
      <c r="IE38" s="271">
        <f t="shared" ref="IE38:II38" si="117">8/8</f>
        <v>1</v>
      </c>
      <c r="IF38" s="271">
        <f t="shared" si="117"/>
        <v>1</v>
      </c>
      <c r="IG38" s="271">
        <f t="shared" si="117"/>
        <v>1</v>
      </c>
      <c r="IH38" s="271">
        <f t="shared" si="117"/>
        <v>1</v>
      </c>
      <c r="II38" s="271">
        <f t="shared" si="117"/>
        <v>1</v>
      </c>
      <c r="IL38" s="271"/>
      <c r="IM38" s="271">
        <f t="shared" ref="IM38:IP38" si="118">8/8</f>
        <v>1</v>
      </c>
      <c r="IN38" s="271">
        <f t="shared" si="118"/>
        <v>1</v>
      </c>
      <c r="IO38" s="271">
        <f t="shared" si="118"/>
        <v>1</v>
      </c>
      <c r="IP38" s="271">
        <f t="shared" si="118"/>
        <v>1</v>
      </c>
      <c r="IS38" s="271">
        <f t="shared" ref="IS38:IW38" si="119">8/8</f>
        <v>1</v>
      </c>
      <c r="IT38" s="271">
        <f t="shared" si="119"/>
        <v>1</v>
      </c>
      <c r="IU38" s="271">
        <f t="shared" si="119"/>
        <v>1</v>
      </c>
      <c r="IV38" s="271">
        <f t="shared" si="119"/>
        <v>1</v>
      </c>
      <c r="IW38" s="271">
        <f t="shared" si="119"/>
        <v>1</v>
      </c>
      <c r="IZ38" s="271">
        <f t="shared" ref="IZ38:JD38" si="120">8/8</f>
        <v>1</v>
      </c>
      <c r="JA38" s="271">
        <f t="shared" si="120"/>
        <v>1</v>
      </c>
      <c r="JB38" s="271">
        <f t="shared" si="120"/>
        <v>1</v>
      </c>
      <c r="JC38" s="271">
        <f t="shared" si="120"/>
        <v>1</v>
      </c>
      <c r="JD38" s="271">
        <f t="shared" si="120"/>
        <v>1</v>
      </c>
      <c r="JG38" s="271">
        <f t="shared" ref="JG38:JK38" si="121">8/8</f>
        <v>1</v>
      </c>
      <c r="JH38" s="271">
        <f t="shared" si="121"/>
        <v>1</v>
      </c>
      <c r="JI38" s="271">
        <f t="shared" si="121"/>
        <v>1</v>
      </c>
      <c r="JJ38" s="271">
        <f t="shared" si="121"/>
        <v>1</v>
      </c>
      <c r="JK38" s="271">
        <f t="shared" si="121"/>
        <v>1</v>
      </c>
      <c r="JN38" s="271">
        <f t="shared" ref="JN38:JR38" si="122">8/8</f>
        <v>1</v>
      </c>
      <c r="JO38" s="271">
        <f t="shared" si="122"/>
        <v>1</v>
      </c>
      <c r="JP38" s="271">
        <f t="shared" si="122"/>
        <v>1</v>
      </c>
      <c r="JQ38" s="271">
        <f t="shared" si="122"/>
        <v>1</v>
      </c>
      <c r="JR38" s="271">
        <f t="shared" si="122"/>
        <v>1</v>
      </c>
      <c r="JU38" s="271">
        <f>8/8</f>
        <v>1</v>
      </c>
      <c r="JV38" s="271">
        <f t="shared" ref="JV38:JY38" si="123">8/8</f>
        <v>1</v>
      </c>
      <c r="JW38" s="271">
        <f t="shared" si="123"/>
        <v>1</v>
      </c>
      <c r="JX38" s="271">
        <f t="shared" si="123"/>
        <v>1</v>
      </c>
      <c r="JY38" s="271">
        <f t="shared" si="123"/>
        <v>1</v>
      </c>
      <c r="KB38" s="271">
        <f t="shared" ref="KB38:KF38" si="124">8/8</f>
        <v>1</v>
      </c>
      <c r="KC38" s="271">
        <f t="shared" si="124"/>
        <v>1</v>
      </c>
      <c r="KD38" s="271">
        <f t="shared" si="124"/>
        <v>1</v>
      </c>
      <c r="KE38" s="271">
        <f t="shared" si="124"/>
        <v>1</v>
      </c>
      <c r="KF38" s="271">
        <f t="shared" si="124"/>
        <v>1</v>
      </c>
      <c r="KI38" s="271">
        <f t="shared" ref="KI38:KM38" si="125">8/8</f>
        <v>1</v>
      </c>
      <c r="KJ38" s="271">
        <f t="shared" si="125"/>
        <v>1</v>
      </c>
      <c r="KK38" s="271">
        <f t="shared" si="125"/>
        <v>1</v>
      </c>
      <c r="KL38" s="271">
        <f t="shared" si="125"/>
        <v>1</v>
      </c>
      <c r="KM38" s="271">
        <f t="shared" si="125"/>
        <v>1</v>
      </c>
      <c r="KP38" s="271">
        <f t="shared" ref="KP38:KT38" si="126">8/8</f>
        <v>1</v>
      </c>
      <c r="KQ38" s="271">
        <f t="shared" si="126"/>
        <v>1</v>
      </c>
      <c r="KR38" s="271">
        <f t="shared" si="126"/>
        <v>1</v>
      </c>
      <c r="KS38" s="271">
        <f t="shared" si="126"/>
        <v>1</v>
      </c>
      <c r="KT38" s="271">
        <f t="shared" si="126"/>
        <v>1</v>
      </c>
      <c r="KW38" s="271">
        <f t="shared" ref="KW38" si="127">8/8</f>
        <v>1</v>
      </c>
      <c r="KX38" s="271">
        <f>7/8</f>
        <v>0.875</v>
      </c>
      <c r="KY38" s="271">
        <f t="shared" ref="KY38:LA38" si="128">7/8</f>
        <v>0.875</v>
      </c>
      <c r="KZ38" s="271">
        <f t="shared" si="128"/>
        <v>0.875</v>
      </c>
      <c r="LA38" s="271">
        <f t="shared" si="128"/>
        <v>0.875</v>
      </c>
      <c r="LD38" s="271">
        <f>7/8</f>
        <v>0.875</v>
      </c>
      <c r="LE38" s="271">
        <f t="shared" ref="LE38:LH38" si="129">7/8</f>
        <v>0.875</v>
      </c>
      <c r="LF38" s="271">
        <f t="shared" si="129"/>
        <v>0.875</v>
      </c>
      <c r="LG38" s="271">
        <f t="shared" si="129"/>
        <v>0.875</v>
      </c>
      <c r="LH38" s="271">
        <f t="shared" si="129"/>
        <v>0.875</v>
      </c>
      <c r="LK38" s="271">
        <f>7/8</f>
        <v>0.875</v>
      </c>
      <c r="LL38" s="271">
        <f t="shared" ref="LL38:LO38" si="130">7/8</f>
        <v>0.875</v>
      </c>
      <c r="LM38" s="271">
        <f t="shared" si="130"/>
        <v>0.875</v>
      </c>
      <c r="LN38" s="271">
        <f t="shared" si="130"/>
        <v>0.875</v>
      </c>
      <c r="LO38" s="271">
        <f t="shared" si="130"/>
        <v>0.875</v>
      </c>
      <c r="LR38" s="271">
        <f>7/8</f>
        <v>0.875</v>
      </c>
      <c r="LS38" s="271">
        <f t="shared" ref="LS38:LV38" si="131">7/8</f>
        <v>0.875</v>
      </c>
      <c r="LT38" s="271">
        <f t="shared" si="131"/>
        <v>0.875</v>
      </c>
      <c r="LU38" s="271">
        <f t="shared" si="131"/>
        <v>0.875</v>
      </c>
      <c r="LV38" s="271">
        <f t="shared" si="131"/>
        <v>0.875</v>
      </c>
      <c r="LY38" s="271">
        <f t="shared" ref="LY38:MC38" si="132">8/8</f>
        <v>1</v>
      </c>
      <c r="LZ38" s="271">
        <f t="shared" si="132"/>
        <v>1</v>
      </c>
      <c r="MA38" s="271">
        <f t="shared" si="132"/>
        <v>1</v>
      </c>
      <c r="MB38" s="271">
        <f t="shared" si="132"/>
        <v>1</v>
      </c>
      <c r="MC38" s="271">
        <f t="shared" si="132"/>
        <v>1</v>
      </c>
      <c r="MF38" s="271">
        <f t="shared" ref="MF38:MJ38" si="133">8/8</f>
        <v>1</v>
      </c>
      <c r="MG38" s="271">
        <f t="shared" si="133"/>
        <v>1</v>
      </c>
      <c r="MH38" s="271">
        <f t="shared" si="133"/>
        <v>1</v>
      </c>
      <c r="MI38" s="271">
        <f t="shared" si="133"/>
        <v>1</v>
      </c>
      <c r="MJ38" s="271">
        <f t="shared" si="133"/>
        <v>1</v>
      </c>
      <c r="MM38" s="271">
        <f t="shared" ref="MM38:MQ38" si="134">8/8</f>
        <v>1</v>
      </c>
      <c r="MN38" s="271">
        <f t="shared" si="134"/>
        <v>1</v>
      </c>
      <c r="MO38" s="271">
        <f t="shared" si="134"/>
        <v>1</v>
      </c>
      <c r="MP38" s="271">
        <f t="shared" si="134"/>
        <v>1</v>
      </c>
      <c r="MQ38" s="271">
        <f t="shared" si="134"/>
        <v>1</v>
      </c>
      <c r="MT38" s="271">
        <f t="shared" ref="MT38:MW38" si="135">8/8</f>
        <v>1</v>
      </c>
      <c r="MU38" s="271">
        <f t="shared" si="135"/>
        <v>1</v>
      </c>
      <c r="MV38" s="271">
        <f t="shared" si="135"/>
        <v>1</v>
      </c>
      <c r="MW38" s="271">
        <f t="shared" si="135"/>
        <v>1</v>
      </c>
      <c r="MX38" s="271"/>
      <c r="NB38" s="271">
        <f t="shared" ref="NB38:ND38" si="136">8/8</f>
        <v>1</v>
      </c>
      <c r="NC38" s="271">
        <f t="shared" si="136"/>
        <v>1</v>
      </c>
      <c r="ND38" s="271">
        <f t="shared" si="136"/>
        <v>1</v>
      </c>
    </row>
    <row r="39" spans="1:369">
      <c r="A39" s="262"/>
      <c r="B39" s="241" t="s">
        <v>214</v>
      </c>
      <c r="C39" s="241"/>
      <c r="D39" s="241"/>
      <c r="E39" s="60">
        <f>1.5/2</f>
        <v>0.75</v>
      </c>
      <c r="F39" s="241"/>
      <c r="G39" s="241"/>
      <c r="H39" s="271">
        <f>1/2</f>
        <v>0.5</v>
      </c>
      <c r="I39" s="271">
        <f>1/2</f>
        <v>0.5</v>
      </c>
      <c r="J39" s="271">
        <f t="shared" ref="J39:L39" si="137">1/2</f>
        <v>0.5</v>
      </c>
      <c r="K39" s="271">
        <f t="shared" si="137"/>
        <v>0.5</v>
      </c>
      <c r="L39" s="271">
        <f t="shared" si="137"/>
        <v>0.5</v>
      </c>
      <c r="M39" s="241"/>
      <c r="N39" s="241"/>
      <c r="O39" s="271">
        <f t="shared" ref="O39:S39" si="138">1/2</f>
        <v>0.5</v>
      </c>
      <c r="P39" s="271">
        <f t="shared" si="138"/>
        <v>0.5</v>
      </c>
      <c r="Q39" s="271">
        <f t="shared" si="138"/>
        <v>0.5</v>
      </c>
      <c r="R39" s="271">
        <f t="shared" si="138"/>
        <v>0.5</v>
      </c>
      <c r="S39" s="271">
        <f t="shared" si="138"/>
        <v>0.5</v>
      </c>
      <c r="T39" s="241"/>
      <c r="U39" s="241"/>
      <c r="V39" s="271">
        <f>2/2</f>
        <v>1</v>
      </c>
      <c r="W39" s="271">
        <f t="shared" ref="W39:Y39" si="139">2/2</f>
        <v>1</v>
      </c>
      <c r="X39" s="271">
        <f t="shared" si="139"/>
        <v>1</v>
      </c>
      <c r="Y39" s="271">
        <f t="shared" si="139"/>
        <v>1</v>
      </c>
      <c r="Z39" s="271">
        <f>1/2</f>
        <v>0.5</v>
      </c>
      <c r="AA39" s="241"/>
      <c r="AB39" s="241"/>
      <c r="AC39" s="271">
        <f>1/2</f>
        <v>0.5</v>
      </c>
      <c r="AD39" s="271">
        <f t="shared" ref="AD39:AG39" si="140">2/2</f>
        <v>1</v>
      </c>
      <c r="AE39" s="271">
        <f t="shared" si="140"/>
        <v>1</v>
      </c>
      <c r="AF39" s="271">
        <f t="shared" si="140"/>
        <v>1</v>
      </c>
      <c r="AG39" s="271">
        <f t="shared" si="140"/>
        <v>1</v>
      </c>
      <c r="AH39" s="241"/>
      <c r="AI39" s="241"/>
      <c r="AJ39" s="271">
        <f>1.5/2</f>
        <v>0.75</v>
      </c>
      <c r="AK39" s="271">
        <f>1/2</f>
        <v>0.5</v>
      </c>
      <c r="AL39" s="271">
        <f>1.5/2</f>
        <v>0.75</v>
      </c>
      <c r="AM39" s="271">
        <f t="shared" ref="AM39:AN40" si="141">2/2</f>
        <v>1</v>
      </c>
      <c r="AN39" s="271">
        <f t="shared" si="141"/>
        <v>1</v>
      </c>
      <c r="AO39" s="241"/>
      <c r="AP39" s="241"/>
      <c r="AQ39" s="271">
        <f>2/2</f>
        <v>1</v>
      </c>
      <c r="AR39" s="271">
        <f>1/2</f>
        <v>0.5</v>
      </c>
      <c r="AS39" s="271">
        <f>1/2</f>
        <v>0.5</v>
      </c>
      <c r="AT39" s="271">
        <f t="shared" ref="AR39:AU40" si="142">2/2</f>
        <v>1</v>
      </c>
      <c r="AU39" s="271">
        <f t="shared" si="142"/>
        <v>1</v>
      </c>
      <c r="AV39" s="241"/>
      <c r="AW39" s="241"/>
      <c r="AX39" s="271">
        <f>0/2</f>
        <v>0</v>
      </c>
      <c r="AY39" s="271">
        <f>1/2</f>
        <v>0.5</v>
      </c>
      <c r="AZ39" s="271">
        <f>0/2</f>
        <v>0</v>
      </c>
      <c r="BA39" s="271">
        <f>1.5/2</f>
        <v>0.75</v>
      </c>
      <c r="BB39" s="271">
        <f>0/2</f>
        <v>0</v>
      </c>
      <c r="BC39" s="241"/>
      <c r="BD39" s="241"/>
      <c r="BE39" s="271">
        <f t="shared" ref="BE39:BI40" si="143">1/2</f>
        <v>0.5</v>
      </c>
      <c r="BF39" s="271">
        <f t="shared" si="143"/>
        <v>0.5</v>
      </c>
      <c r="BG39" s="271">
        <f>0/2</f>
        <v>0</v>
      </c>
      <c r="BH39" s="271">
        <f t="shared" si="143"/>
        <v>0.5</v>
      </c>
      <c r="BI39" s="271">
        <f t="shared" si="143"/>
        <v>0.5</v>
      </c>
      <c r="BJ39" s="241"/>
      <c r="BK39" s="241"/>
      <c r="BL39" s="271">
        <f>1/2</f>
        <v>0.5</v>
      </c>
      <c r="BM39" s="271">
        <f>1/2</f>
        <v>0.5</v>
      </c>
      <c r="BN39" s="271">
        <f>2/2</f>
        <v>1</v>
      </c>
      <c r="BO39" s="271">
        <f t="shared" ref="BM39:BP40" si="144">2/2</f>
        <v>1</v>
      </c>
      <c r="BP39" s="271">
        <f t="shared" si="144"/>
        <v>1</v>
      </c>
      <c r="BQ39" s="241"/>
      <c r="BR39" s="241"/>
      <c r="BS39" s="271">
        <f>1/2</f>
        <v>0.5</v>
      </c>
      <c r="BT39" s="271">
        <f>1/2</f>
        <v>0.5</v>
      </c>
      <c r="BU39" s="271">
        <f>1/2</f>
        <v>0.5</v>
      </c>
      <c r="BV39" s="271">
        <f>1/2</f>
        <v>0.5</v>
      </c>
      <c r="BW39" s="271">
        <f>1/2</f>
        <v>0.5</v>
      </c>
      <c r="BX39" s="241"/>
      <c r="BY39" s="241"/>
      <c r="BZ39" s="271">
        <f>2/2</f>
        <v>1</v>
      </c>
      <c r="CA39" s="271">
        <f t="shared" ref="CA39:CD40" si="145">2/2</f>
        <v>1</v>
      </c>
      <c r="CB39" s="271">
        <f t="shared" si="145"/>
        <v>1</v>
      </c>
      <c r="CC39" s="271">
        <f t="shared" si="145"/>
        <v>1</v>
      </c>
      <c r="CD39" s="271">
        <f t="shared" si="145"/>
        <v>1</v>
      </c>
      <c r="CE39" s="241"/>
      <c r="CF39" s="241"/>
      <c r="CG39" s="271">
        <f>1/2</f>
        <v>0.5</v>
      </c>
      <c r="CH39" s="271">
        <f>1/2</f>
        <v>0.5</v>
      </c>
      <c r="CI39" s="271">
        <f>1/2</f>
        <v>0.5</v>
      </c>
      <c r="CJ39" s="271">
        <f>1/2</f>
        <v>0.5</v>
      </c>
      <c r="CK39" s="271">
        <f>1/2</f>
        <v>0.5</v>
      </c>
      <c r="CL39" s="241"/>
      <c r="CM39" s="241"/>
      <c r="CN39" s="271">
        <f t="shared" ref="CN39:CO40" si="146">2/2</f>
        <v>1</v>
      </c>
      <c r="CO39" s="271">
        <f t="shared" si="146"/>
        <v>1</v>
      </c>
      <c r="CP39" s="271">
        <f>2/2</f>
        <v>1</v>
      </c>
      <c r="CQ39" s="271">
        <f>2/2</f>
        <v>1</v>
      </c>
      <c r="CR39" s="241"/>
      <c r="CS39" s="241"/>
      <c r="CT39" s="241"/>
      <c r="CU39" s="241"/>
      <c r="CV39" s="271">
        <f t="shared" ref="CV39:CY40" si="147">2/2</f>
        <v>1</v>
      </c>
      <c r="CW39" s="271">
        <f t="shared" si="147"/>
        <v>1</v>
      </c>
      <c r="CX39" s="271">
        <f t="shared" si="147"/>
        <v>1</v>
      </c>
      <c r="CY39" s="271">
        <f t="shared" si="147"/>
        <v>1</v>
      </c>
      <c r="CZ39" s="241"/>
      <c r="DA39" s="241"/>
      <c r="DB39" s="271">
        <f t="shared" ref="DB39:DF40" si="148">2/2</f>
        <v>1</v>
      </c>
      <c r="DC39" s="271">
        <f t="shared" si="148"/>
        <v>1</v>
      </c>
      <c r="DD39" s="271">
        <f t="shared" si="148"/>
        <v>1</v>
      </c>
      <c r="DE39" s="271">
        <f t="shared" si="148"/>
        <v>1</v>
      </c>
      <c r="DF39" s="271">
        <f t="shared" si="148"/>
        <v>1</v>
      </c>
      <c r="DG39" s="241"/>
      <c r="DH39" s="241"/>
      <c r="DI39" s="271">
        <f t="shared" ref="DI39:DM40" si="149">2/2</f>
        <v>1</v>
      </c>
      <c r="DJ39" s="271">
        <f t="shared" si="149"/>
        <v>1</v>
      </c>
      <c r="DK39" s="271">
        <f t="shared" si="149"/>
        <v>1</v>
      </c>
      <c r="DL39" s="271">
        <f t="shared" si="149"/>
        <v>1</v>
      </c>
      <c r="DM39" s="271">
        <f t="shared" si="149"/>
        <v>1</v>
      </c>
      <c r="DN39" s="241"/>
      <c r="DO39" s="241"/>
      <c r="DP39" s="271">
        <f t="shared" ref="DP39:DT40" si="150">2/2</f>
        <v>1</v>
      </c>
      <c r="DQ39" s="271">
        <f t="shared" si="150"/>
        <v>1</v>
      </c>
      <c r="DR39" s="271">
        <f t="shared" si="150"/>
        <v>1</v>
      </c>
      <c r="DS39" s="271">
        <f t="shared" si="150"/>
        <v>1</v>
      </c>
      <c r="DT39" s="271">
        <f t="shared" si="150"/>
        <v>1</v>
      </c>
      <c r="DU39" s="241"/>
      <c r="DV39" s="241"/>
      <c r="DW39" s="241"/>
      <c r="DX39" s="271">
        <f t="shared" ref="DX39:EA40" si="151">2/2</f>
        <v>1</v>
      </c>
      <c r="DY39" s="271">
        <f t="shared" si="151"/>
        <v>1</v>
      </c>
      <c r="DZ39" s="271">
        <f t="shared" si="151"/>
        <v>1</v>
      </c>
      <c r="EA39" s="271">
        <f t="shared" si="151"/>
        <v>1</v>
      </c>
      <c r="EB39" s="241"/>
      <c r="EC39" s="241"/>
      <c r="ED39" s="271">
        <f t="shared" ref="ED39:EH40" si="152">2/2</f>
        <v>1</v>
      </c>
      <c r="EE39" s="271">
        <f t="shared" si="152"/>
        <v>1</v>
      </c>
      <c r="EF39" s="271">
        <f t="shared" si="152"/>
        <v>1</v>
      </c>
      <c r="EG39" s="271">
        <f t="shared" si="152"/>
        <v>1</v>
      </c>
      <c r="EH39" s="271">
        <f t="shared" si="152"/>
        <v>1</v>
      </c>
      <c r="EI39" s="241"/>
      <c r="EJ39" s="241"/>
      <c r="EK39" s="271">
        <f t="shared" ref="EK39:EO40" si="153">2/2</f>
        <v>1</v>
      </c>
      <c r="EL39" s="271">
        <f t="shared" si="153"/>
        <v>1</v>
      </c>
      <c r="EM39" s="271">
        <f t="shared" si="153"/>
        <v>1</v>
      </c>
      <c r="EN39" s="271">
        <f t="shared" si="153"/>
        <v>1</v>
      </c>
      <c r="EO39" s="271">
        <f t="shared" si="153"/>
        <v>1</v>
      </c>
      <c r="EP39" s="241"/>
      <c r="EQ39" s="241"/>
      <c r="ER39" s="241"/>
      <c r="ES39" s="271">
        <f t="shared" ref="ES39:EV40" si="154">2/2</f>
        <v>1</v>
      </c>
      <c r="ET39" s="271">
        <f t="shared" si="154"/>
        <v>1</v>
      </c>
      <c r="EU39" s="271">
        <f t="shared" si="154"/>
        <v>1</v>
      </c>
      <c r="EV39" s="271">
        <f t="shared" si="154"/>
        <v>1</v>
      </c>
      <c r="EW39" s="241"/>
      <c r="EX39" s="241"/>
      <c r="EY39" s="271">
        <f t="shared" ref="EY39:FC40" si="155">2/2</f>
        <v>1</v>
      </c>
      <c r="EZ39" s="271">
        <f t="shared" si="155"/>
        <v>1</v>
      </c>
      <c r="FA39" s="271">
        <f t="shared" si="155"/>
        <v>1</v>
      </c>
      <c r="FB39" s="271">
        <f t="shared" si="155"/>
        <v>1</v>
      </c>
      <c r="FC39" s="271">
        <f t="shared" si="155"/>
        <v>1</v>
      </c>
      <c r="FD39" s="241"/>
      <c r="FE39" s="241"/>
      <c r="FF39" s="271">
        <f t="shared" ref="FF39:FJ40" si="156">2/2</f>
        <v>1</v>
      </c>
      <c r="FG39" s="271">
        <f t="shared" si="156"/>
        <v>1</v>
      </c>
      <c r="FH39" s="271">
        <f t="shared" si="156"/>
        <v>1</v>
      </c>
      <c r="FI39" s="271">
        <f t="shared" si="156"/>
        <v>1</v>
      </c>
      <c r="FJ39" s="271">
        <f t="shared" si="156"/>
        <v>1</v>
      </c>
      <c r="FK39" s="241"/>
      <c r="FL39" s="241"/>
      <c r="FM39" s="271">
        <f t="shared" ref="FM39:FQ40" si="157">2/2</f>
        <v>1</v>
      </c>
      <c r="FN39" s="271">
        <f t="shared" si="157"/>
        <v>1</v>
      </c>
      <c r="FO39" s="271">
        <f t="shared" si="157"/>
        <v>1</v>
      </c>
      <c r="FP39" s="271">
        <f t="shared" si="157"/>
        <v>1</v>
      </c>
      <c r="FQ39" s="271">
        <f t="shared" si="157"/>
        <v>1</v>
      </c>
      <c r="FR39" s="241"/>
      <c r="FS39" s="241"/>
      <c r="FT39" s="271">
        <f t="shared" ref="FT39:FX40" si="158">2/2</f>
        <v>1</v>
      </c>
      <c r="FU39" s="271">
        <f t="shared" si="158"/>
        <v>1</v>
      </c>
      <c r="FV39" s="271">
        <f t="shared" si="158"/>
        <v>1</v>
      </c>
      <c r="FW39" s="271">
        <f t="shared" si="158"/>
        <v>1</v>
      </c>
      <c r="FX39" s="271">
        <f t="shared" si="158"/>
        <v>1</v>
      </c>
      <c r="FY39" s="241"/>
      <c r="FZ39" s="241"/>
      <c r="GA39" s="271">
        <f t="shared" ref="GA39:GE40" si="159">2/2</f>
        <v>1</v>
      </c>
      <c r="GB39" s="271">
        <f t="shared" si="159"/>
        <v>1</v>
      </c>
      <c r="GC39" s="271">
        <f t="shared" si="159"/>
        <v>1</v>
      </c>
      <c r="GD39" s="271">
        <f t="shared" si="159"/>
        <v>1</v>
      </c>
      <c r="GE39" s="271">
        <f t="shared" si="159"/>
        <v>1</v>
      </c>
      <c r="GF39" s="241"/>
      <c r="GG39" s="241"/>
      <c r="GH39" s="271">
        <f t="shared" ref="GH39:GL40" si="160">2/2</f>
        <v>1</v>
      </c>
      <c r="GI39" s="271">
        <f t="shared" si="160"/>
        <v>1</v>
      </c>
      <c r="GJ39" s="271">
        <f t="shared" si="160"/>
        <v>1</v>
      </c>
      <c r="GK39" s="271">
        <f t="shared" si="160"/>
        <v>1</v>
      </c>
      <c r="GL39" s="271">
        <f t="shared" si="160"/>
        <v>1</v>
      </c>
      <c r="GM39" s="241"/>
      <c r="GN39" s="241"/>
      <c r="GO39" s="271">
        <f t="shared" ref="GO39:GS40" si="161">2/2</f>
        <v>1</v>
      </c>
      <c r="GP39" s="271">
        <f t="shared" si="161"/>
        <v>1</v>
      </c>
      <c r="GQ39" s="271">
        <f t="shared" si="161"/>
        <v>1</v>
      </c>
      <c r="GR39" s="271">
        <f t="shared" si="161"/>
        <v>1</v>
      </c>
      <c r="GS39" s="271">
        <f t="shared" si="161"/>
        <v>1</v>
      </c>
      <c r="GT39" s="241"/>
      <c r="GU39" s="241"/>
      <c r="GV39" s="271">
        <f t="shared" ref="GV39:GZ40" si="162">2/2</f>
        <v>1</v>
      </c>
      <c r="GW39" s="271">
        <f t="shared" si="162"/>
        <v>1</v>
      </c>
      <c r="GX39" s="271">
        <f t="shared" si="162"/>
        <v>1</v>
      </c>
      <c r="GY39" s="271">
        <f t="shared" si="162"/>
        <v>1</v>
      </c>
      <c r="GZ39" s="271">
        <f t="shared" si="162"/>
        <v>1</v>
      </c>
      <c r="HA39" s="241"/>
      <c r="HB39" s="241"/>
      <c r="HC39" s="271">
        <f t="shared" ref="HC39:HG40" si="163">2/2</f>
        <v>1</v>
      </c>
      <c r="HD39" s="271">
        <f t="shared" si="163"/>
        <v>1</v>
      </c>
      <c r="HE39" s="271">
        <f t="shared" si="163"/>
        <v>1</v>
      </c>
      <c r="HF39" s="271">
        <f t="shared" si="163"/>
        <v>1</v>
      </c>
      <c r="HG39" s="271">
        <f t="shared" si="163"/>
        <v>1</v>
      </c>
      <c r="HH39" s="241"/>
      <c r="HI39" s="241"/>
      <c r="HJ39" s="271">
        <f t="shared" ref="HJ39:HN40" si="164">2/2</f>
        <v>1</v>
      </c>
      <c r="HK39" s="271">
        <f t="shared" si="164"/>
        <v>1</v>
      </c>
      <c r="HL39" s="271">
        <f t="shared" si="164"/>
        <v>1</v>
      </c>
      <c r="HM39" s="271">
        <f t="shared" si="164"/>
        <v>1</v>
      </c>
      <c r="HN39" s="271">
        <f t="shared" si="164"/>
        <v>1</v>
      </c>
      <c r="HO39" s="241"/>
      <c r="HP39" s="241"/>
      <c r="HQ39" s="271">
        <f t="shared" ref="HQ39:HU40" si="165">2/2</f>
        <v>1</v>
      </c>
      <c r="HR39" s="271">
        <f t="shared" si="165"/>
        <v>1</v>
      </c>
      <c r="HS39" s="271">
        <f t="shared" si="165"/>
        <v>1</v>
      </c>
      <c r="HT39" s="271">
        <f t="shared" si="165"/>
        <v>1</v>
      </c>
      <c r="HU39" s="271">
        <f t="shared" si="165"/>
        <v>1</v>
      </c>
      <c r="HV39" s="241"/>
      <c r="HW39" s="241"/>
      <c r="HX39" s="271">
        <f t="shared" ref="HX39:IB40" si="166">2/2</f>
        <v>1</v>
      </c>
      <c r="HY39" s="271">
        <f t="shared" si="166"/>
        <v>1</v>
      </c>
      <c r="HZ39" s="271">
        <f t="shared" si="166"/>
        <v>1</v>
      </c>
      <c r="IA39" s="271">
        <f t="shared" si="166"/>
        <v>1</v>
      </c>
      <c r="IB39" s="271">
        <f t="shared" si="166"/>
        <v>1</v>
      </c>
      <c r="IE39" s="271">
        <f t="shared" ref="IE39:II40" si="167">2/2</f>
        <v>1</v>
      </c>
      <c r="IF39" s="271">
        <f t="shared" si="167"/>
        <v>1</v>
      </c>
      <c r="IG39" s="271">
        <f t="shared" si="167"/>
        <v>1</v>
      </c>
      <c r="IH39" s="271">
        <f t="shared" si="167"/>
        <v>1</v>
      </c>
      <c r="II39" s="271">
        <f t="shared" si="167"/>
        <v>1</v>
      </c>
      <c r="IL39" s="271"/>
      <c r="IM39" s="271">
        <f t="shared" ref="IM39:IP40" si="168">2/2</f>
        <v>1</v>
      </c>
      <c r="IN39" s="271">
        <f t="shared" si="168"/>
        <v>1</v>
      </c>
      <c r="IO39" s="271">
        <f t="shared" si="168"/>
        <v>1</v>
      </c>
      <c r="IP39" s="271">
        <f t="shared" si="168"/>
        <v>1</v>
      </c>
      <c r="IS39" s="271">
        <f t="shared" ref="IS39:IW40" si="169">2/2</f>
        <v>1</v>
      </c>
      <c r="IT39" s="271">
        <f t="shared" si="169"/>
        <v>1</v>
      </c>
      <c r="IU39" s="271">
        <f t="shared" si="169"/>
        <v>1</v>
      </c>
      <c r="IV39" s="271">
        <f t="shared" si="169"/>
        <v>1</v>
      </c>
      <c r="IW39" s="271">
        <f t="shared" si="169"/>
        <v>1</v>
      </c>
      <c r="IZ39" s="271">
        <f t="shared" ref="IZ39:JD40" si="170">2/2</f>
        <v>1</v>
      </c>
      <c r="JA39" s="271">
        <f t="shared" si="170"/>
        <v>1</v>
      </c>
      <c r="JB39" s="271">
        <f t="shared" si="170"/>
        <v>1</v>
      </c>
      <c r="JC39" s="271">
        <f t="shared" si="170"/>
        <v>1</v>
      </c>
      <c r="JD39" s="271">
        <f t="shared" si="170"/>
        <v>1</v>
      </c>
      <c r="JG39" s="271">
        <f t="shared" ref="JG39:JK40" si="171">2/2</f>
        <v>1</v>
      </c>
      <c r="JH39" s="271">
        <f t="shared" si="171"/>
        <v>1</v>
      </c>
      <c r="JI39" s="271">
        <f t="shared" si="171"/>
        <v>1</v>
      </c>
      <c r="JJ39" s="271">
        <f t="shared" si="171"/>
        <v>1</v>
      </c>
      <c r="JK39" s="271">
        <f t="shared" si="171"/>
        <v>1</v>
      </c>
      <c r="JN39" s="271">
        <f t="shared" ref="JN39:JR40" si="172">2/2</f>
        <v>1</v>
      </c>
      <c r="JO39" s="271">
        <f t="shared" si="172"/>
        <v>1</v>
      </c>
      <c r="JP39" s="271">
        <f t="shared" si="172"/>
        <v>1</v>
      </c>
      <c r="JQ39" s="271">
        <f t="shared" si="172"/>
        <v>1</v>
      </c>
      <c r="JR39" s="271">
        <f t="shared" si="172"/>
        <v>1</v>
      </c>
      <c r="JU39" s="271">
        <f t="shared" ref="JU39:JY40" si="173">2/2</f>
        <v>1</v>
      </c>
      <c r="JV39" s="271">
        <f t="shared" si="173"/>
        <v>1</v>
      </c>
      <c r="JW39" s="271">
        <f t="shared" si="173"/>
        <v>1</v>
      </c>
      <c r="JX39" s="271">
        <f t="shared" si="173"/>
        <v>1</v>
      </c>
      <c r="JY39" s="271">
        <f t="shared" si="173"/>
        <v>1</v>
      </c>
      <c r="KB39" s="271">
        <f t="shared" ref="KB39:KF40" si="174">2/2</f>
        <v>1</v>
      </c>
      <c r="KC39" s="271">
        <f t="shared" si="174"/>
        <v>1</v>
      </c>
      <c r="KD39" s="271">
        <f t="shared" si="174"/>
        <v>1</v>
      </c>
      <c r="KE39" s="271">
        <f t="shared" si="174"/>
        <v>1</v>
      </c>
      <c r="KF39" s="271">
        <f t="shared" si="174"/>
        <v>1</v>
      </c>
      <c r="KI39" s="271">
        <f t="shared" ref="KI39:KM40" si="175">2/2</f>
        <v>1</v>
      </c>
      <c r="KJ39" s="271">
        <f t="shared" si="175"/>
        <v>1</v>
      </c>
      <c r="KK39" s="271">
        <f t="shared" si="175"/>
        <v>1</v>
      </c>
      <c r="KL39" s="271">
        <f t="shared" si="175"/>
        <v>1</v>
      </c>
      <c r="KM39" s="271">
        <f t="shared" si="175"/>
        <v>1</v>
      </c>
      <c r="KP39" s="271">
        <f t="shared" ref="KP39:KT40" si="176">2/2</f>
        <v>1</v>
      </c>
      <c r="KQ39" s="271">
        <f t="shared" si="176"/>
        <v>1</v>
      </c>
      <c r="KR39" s="271">
        <f t="shared" si="176"/>
        <v>1</v>
      </c>
      <c r="KS39" s="271">
        <f t="shared" si="176"/>
        <v>1</v>
      </c>
      <c r="KT39" s="271">
        <f t="shared" si="176"/>
        <v>1</v>
      </c>
      <c r="KW39" s="271">
        <f t="shared" ref="KW39:LA40" si="177">2/2</f>
        <v>1</v>
      </c>
      <c r="KX39" s="271">
        <f t="shared" si="177"/>
        <v>1</v>
      </c>
      <c r="KY39" s="271">
        <f t="shared" si="177"/>
        <v>1</v>
      </c>
      <c r="KZ39" s="271">
        <f t="shared" si="177"/>
        <v>1</v>
      </c>
      <c r="LA39" s="271">
        <f t="shared" si="177"/>
        <v>1</v>
      </c>
      <c r="LD39" s="271">
        <f t="shared" ref="LD39:LH40" si="178">2/2</f>
        <v>1</v>
      </c>
      <c r="LE39" s="271">
        <f t="shared" si="178"/>
        <v>1</v>
      </c>
      <c r="LF39" s="271">
        <f t="shared" si="178"/>
        <v>1</v>
      </c>
      <c r="LG39" s="271">
        <f t="shared" si="178"/>
        <v>1</v>
      </c>
      <c r="LH39" s="271">
        <f t="shared" si="178"/>
        <v>1</v>
      </c>
      <c r="LK39" s="271">
        <f t="shared" ref="LK39:LO40" si="179">2/2</f>
        <v>1</v>
      </c>
      <c r="LL39" s="271">
        <f t="shared" si="179"/>
        <v>1</v>
      </c>
      <c r="LM39" s="271">
        <f t="shared" si="179"/>
        <v>1</v>
      </c>
      <c r="LN39" s="271">
        <f t="shared" si="179"/>
        <v>1</v>
      </c>
      <c r="LO39" s="271">
        <f t="shared" si="179"/>
        <v>1</v>
      </c>
      <c r="LR39" s="271">
        <f t="shared" ref="LR39:LV40" si="180">2/2</f>
        <v>1</v>
      </c>
      <c r="LS39" s="271">
        <f t="shared" si="180"/>
        <v>1</v>
      </c>
      <c r="LT39" s="271">
        <f t="shared" si="180"/>
        <v>1</v>
      </c>
      <c r="LU39" s="271">
        <f t="shared" si="180"/>
        <v>1</v>
      </c>
      <c r="LV39" s="271">
        <f t="shared" si="180"/>
        <v>1</v>
      </c>
      <c r="LY39" s="271">
        <f t="shared" ref="LY39:MC40" si="181">2/2</f>
        <v>1</v>
      </c>
      <c r="LZ39" s="271">
        <f t="shared" si="181"/>
        <v>1</v>
      </c>
      <c r="MA39" s="271">
        <f t="shared" si="181"/>
        <v>1</v>
      </c>
      <c r="MB39" s="271">
        <f t="shared" si="181"/>
        <v>1</v>
      </c>
      <c r="MC39" s="271">
        <f t="shared" si="181"/>
        <v>1</v>
      </c>
      <c r="MF39" s="271">
        <f t="shared" ref="MF39:MJ40" si="182">2/2</f>
        <v>1</v>
      </c>
      <c r="MG39" s="271">
        <f t="shared" si="182"/>
        <v>1</v>
      </c>
      <c r="MH39" s="271">
        <f t="shared" si="182"/>
        <v>1</v>
      </c>
      <c r="MI39" s="271">
        <f t="shared" si="182"/>
        <v>1</v>
      </c>
      <c r="MJ39" s="271">
        <f t="shared" si="182"/>
        <v>1</v>
      </c>
      <c r="MM39" s="271">
        <f t="shared" ref="MM39:MQ40" si="183">2/2</f>
        <v>1</v>
      </c>
      <c r="MN39" s="271">
        <f t="shared" si="183"/>
        <v>1</v>
      </c>
      <c r="MO39" s="271">
        <f t="shared" si="183"/>
        <v>1</v>
      </c>
      <c r="MP39" s="271">
        <f t="shared" si="183"/>
        <v>1</v>
      </c>
      <c r="MQ39" s="271">
        <f t="shared" si="183"/>
        <v>1</v>
      </c>
      <c r="MT39" s="271">
        <f t="shared" ref="MT39:MW40" si="184">2/2</f>
        <v>1</v>
      </c>
      <c r="MU39" s="271">
        <f t="shared" si="184"/>
        <v>1</v>
      </c>
      <c r="MV39" s="271">
        <f t="shared" si="184"/>
        <v>1</v>
      </c>
      <c r="MW39" s="271">
        <f t="shared" si="184"/>
        <v>1</v>
      </c>
      <c r="MX39" s="271"/>
      <c r="NB39" s="271">
        <f t="shared" ref="NB39:ND40" si="185">2/2</f>
        <v>1</v>
      </c>
      <c r="NC39" s="271">
        <f t="shared" si="185"/>
        <v>1</v>
      </c>
      <c r="ND39" s="271">
        <f t="shared" si="185"/>
        <v>1</v>
      </c>
    </row>
    <row r="40" spans="1:369">
      <c r="A40" s="262"/>
      <c r="B40" s="241" t="s">
        <v>22</v>
      </c>
      <c r="C40" s="241"/>
      <c r="D40" s="241"/>
      <c r="E40" s="60">
        <f>1/2</f>
        <v>0.5</v>
      </c>
      <c r="F40" s="241"/>
      <c r="G40" s="241"/>
      <c r="H40" s="271">
        <f>1/2</f>
        <v>0.5</v>
      </c>
      <c r="I40" s="271">
        <f>2/2</f>
        <v>1</v>
      </c>
      <c r="J40" s="271">
        <f t="shared" ref="J40:L40" si="186">2/2</f>
        <v>1</v>
      </c>
      <c r="K40" s="271">
        <f t="shared" si="186"/>
        <v>1</v>
      </c>
      <c r="L40" s="271">
        <f t="shared" si="186"/>
        <v>1</v>
      </c>
      <c r="M40" s="241"/>
      <c r="N40" s="241"/>
      <c r="O40" s="271">
        <f t="shared" ref="O40:Q40" si="187">2/2</f>
        <v>1</v>
      </c>
      <c r="P40" s="271">
        <f t="shared" si="187"/>
        <v>1</v>
      </c>
      <c r="Q40" s="271">
        <f t="shared" si="187"/>
        <v>1</v>
      </c>
      <c r="R40" s="271">
        <f>1/2</f>
        <v>0.5</v>
      </c>
      <c r="S40" s="271">
        <f>1/2</f>
        <v>0.5</v>
      </c>
      <c r="T40" s="241"/>
      <c r="U40" s="241"/>
      <c r="V40" s="271">
        <f>1/2</f>
        <v>0.5</v>
      </c>
      <c r="W40" s="271">
        <f t="shared" ref="W40:Y40" si="188">2/2</f>
        <v>1</v>
      </c>
      <c r="X40" s="271">
        <f t="shared" si="188"/>
        <v>1</v>
      </c>
      <c r="Y40" s="271">
        <f t="shared" si="188"/>
        <v>1</v>
      </c>
      <c r="Z40" s="271">
        <f>1/2</f>
        <v>0.5</v>
      </c>
      <c r="AA40" s="241"/>
      <c r="AB40" s="241"/>
      <c r="AC40" s="271">
        <f t="shared" ref="AC40:AG40" si="189">2/2</f>
        <v>1</v>
      </c>
      <c r="AD40" s="271">
        <f t="shared" si="189"/>
        <v>1</v>
      </c>
      <c r="AE40" s="271">
        <f t="shared" si="189"/>
        <v>1</v>
      </c>
      <c r="AF40" s="271">
        <f t="shared" si="189"/>
        <v>1</v>
      </c>
      <c r="AG40" s="271">
        <f t="shared" si="189"/>
        <v>1</v>
      </c>
      <c r="AH40" s="241"/>
      <c r="AI40" s="241"/>
      <c r="AJ40" s="271">
        <f>1.5/2</f>
        <v>0.75</v>
      </c>
      <c r="AK40" s="271">
        <f>1/2</f>
        <v>0.5</v>
      </c>
      <c r="AL40" s="271">
        <f>1.5/2</f>
        <v>0.75</v>
      </c>
      <c r="AM40" s="271">
        <f t="shared" si="141"/>
        <v>1</v>
      </c>
      <c r="AN40" s="271">
        <f>1/2</f>
        <v>0.5</v>
      </c>
      <c r="AO40" s="241"/>
      <c r="AP40" s="241"/>
      <c r="AQ40" s="271">
        <f>2/2</f>
        <v>1</v>
      </c>
      <c r="AR40" s="271">
        <f t="shared" si="142"/>
        <v>1</v>
      </c>
      <c r="AS40" s="271">
        <f>1/2</f>
        <v>0.5</v>
      </c>
      <c r="AT40" s="271">
        <f t="shared" si="142"/>
        <v>1</v>
      </c>
      <c r="AU40" s="271">
        <f>1/2</f>
        <v>0.5</v>
      </c>
      <c r="AV40" s="241"/>
      <c r="AW40" s="241"/>
      <c r="AX40" s="271">
        <f>1/2</f>
        <v>0.5</v>
      </c>
      <c r="AY40" s="271">
        <f>2/2</f>
        <v>1</v>
      </c>
      <c r="AZ40" s="271">
        <f>2/2</f>
        <v>1</v>
      </c>
      <c r="BA40" s="271">
        <f>2/2</f>
        <v>1</v>
      </c>
      <c r="BB40" s="271">
        <f>2/2</f>
        <v>1</v>
      </c>
      <c r="BC40" s="241"/>
      <c r="BD40" s="241"/>
      <c r="BE40" s="271">
        <f t="shared" si="143"/>
        <v>0.5</v>
      </c>
      <c r="BF40" s="271">
        <f t="shared" si="143"/>
        <v>0.5</v>
      </c>
      <c r="BG40" s="271">
        <f t="shared" si="143"/>
        <v>0.5</v>
      </c>
      <c r="BH40" s="271">
        <f t="shared" si="143"/>
        <v>0.5</v>
      </c>
      <c r="BI40" s="271">
        <f t="shared" si="143"/>
        <v>0.5</v>
      </c>
      <c r="BJ40" s="241"/>
      <c r="BK40" s="241"/>
      <c r="BL40" s="271">
        <f>2/2</f>
        <v>1</v>
      </c>
      <c r="BM40" s="271">
        <f t="shared" si="144"/>
        <v>1</v>
      </c>
      <c r="BN40" s="271">
        <f>2/2</f>
        <v>1</v>
      </c>
      <c r="BO40" s="271">
        <f t="shared" si="144"/>
        <v>1</v>
      </c>
      <c r="BP40" s="271">
        <f t="shared" si="144"/>
        <v>1</v>
      </c>
      <c r="BQ40" s="241"/>
      <c r="BR40" s="241"/>
      <c r="BS40" s="271">
        <f>1/2</f>
        <v>0.5</v>
      </c>
      <c r="BT40" s="271">
        <f t="shared" ref="BT39:BW40" si="190">2/2</f>
        <v>1</v>
      </c>
      <c r="BU40" s="271">
        <f t="shared" si="190"/>
        <v>1</v>
      </c>
      <c r="BV40" s="271">
        <f t="shared" si="190"/>
        <v>1</v>
      </c>
      <c r="BW40" s="271">
        <f t="shared" si="190"/>
        <v>1</v>
      </c>
      <c r="BX40" s="241"/>
      <c r="BY40" s="241"/>
      <c r="BZ40" s="271">
        <f>2/2</f>
        <v>1</v>
      </c>
      <c r="CA40" s="271">
        <f t="shared" si="145"/>
        <v>1</v>
      </c>
      <c r="CB40" s="271">
        <f t="shared" si="145"/>
        <v>1</v>
      </c>
      <c r="CC40" s="271">
        <f t="shared" si="145"/>
        <v>1</v>
      </c>
      <c r="CD40" s="271">
        <f t="shared" si="145"/>
        <v>1</v>
      </c>
      <c r="CE40" s="241"/>
      <c r="CF40" s="241"/>
      <c r="CG40" s="271">
        <f>2/2</f>
        <v>1</v>
      </c>
      <c r="CH40" s="271">
        <f>2/2</f>
        <v>1</v>
      </c>
      <c r="CI40" s="271">
        <f>2/2</f>
        <v>1</v>
      </c>
      <c r="CJ40" s="271">
        <f>2/2</f>
        <v>1</v>
      </c>
      <c r="CK40" s="271">
        <f>2/2</f>
        <v>1</v>
      </c>
      <c r="CL40" s="241"/>
      <c r="CM40" s="241"/>
      <c r="CN40" s="271">
        <f>1/2</f>
        <v>0.5</v>
      </c>
      <c r="CO40" s="271">
        <f t="shared" si="146"/>
        <v>1</v>
      </c>
      <c r="CP40" s="271">
        <f>2/2</f>
        <v>1</v>
      </c>
      <c r="CQ40" s="271">
        <f>2/2</f>
        <v>1</v>
      </c>
      <c r="CR40" s="241"/>
      <c r="CS40" s="241"/>
      <c r="CT40" s="241"/>
      <c r="CU40" s="241"/>
      <c r="CV40" s="271">
        <f t="shared" si="147"/>
        <v>1</v>
      </c>
      <c r="CW40" s="271">
        <f t="shared" si="147"/>
        <v>1</v>
      </c>
      <c r="CX40" s="271">
        <f t="shared" si="147"/>
        <v>1</v>
      </c>
      <c r="CY40" s="271">
        <f t="shared" si="147"/>
        <v>1</v>
      </c>
      <c r="CZ40" s="241"/>
      <c r="DA40" s="241"/>
      <c r="DB40" s="271">
        <f t="shared" si="148"/>
        <v>1</v>
      </c>
      <c r="DC40" s="271">
        <f t="shared" si="148"/>
        <v>1</v>
      </c>
      <c r="DD40" s="271">
        <f t="shared" si="148"/>
        <v>1</v>
      </c>
      <c r="DE40" s="271">
        <f t="shared" si="148"/>
        <v>1</v>
      </c>
      <c r="DF40" s="271">
        <f t="shared" si="148"/>
        <v>1</v>
      </c>
      <c r="DG40" s="241"/>
      <c r="DH40" s="241"/>
      <c r="DI40" s="271">
        <f t="shared" si="149"/>
        <v>1</v>
      </c>
      <c r="DJ40" s="271">
        <f t="shared" si="149"/>
        <v>1</v>
      </c>
      <c r="DK40" s="271">
        <f t="shared" si="149"/>
        <v>1</v>
      </c>
      <c r="DL40" s="271">
        <f t="shared" si="149"/>
        <v>1</v>
      </c>
      <c r="DM40" s="271">
        <f t="shared" si="149"/>
        <v>1</v>
      </c>
      <c r="DN40" s="241"/>
      <c r="DO40" s="241"/>
      <c r="DP40" s="271">
        <f>1/2</f>
        <v>0.5</v>
      </c>
      <c r="DQ40" s="271">
        <f t="shared" si="150"/>
        <v>1</v>
      </c>
      <c r="DR40" s="271">
        <f t="shared" si="150"/>
        <v>1</v>
      </c>
      <c r="DS40" s="271">
        <f t="shared" si="150"/>
        <v>1</v>
      </c>
      <c r="DT40" s="271">
        <f t="shared" si="150"/>
        <v>1</v>
      </c>
      <c r="DU40" s="241"/>
      <c r="DV40" s="241"/>
      <c r="DW40" s="241"/>
      <c r="DX40" s="271">
        <f t="shared" si="151"/>
        <v>1</v>
      </c>
      <c r="DY40" s="271">
        <f t="shared" si="151"/>
        <v>1</v>
      </c>
      <c r="DZ40" s="271">
        <f t="shared" si="151"/>
        <v>1</v>
      </c>
      <c r="EA40" s="271">
        <f t="shared" si="151"/>
        <v>1</v>
      </c>
      <c r="EB40" s="241"/>
      <c r="EC40" s="241"/>
      <c r="ED40" s="271">
        <f t="shared" si="152"/>
        <v>1</v>
      </c>
      <c r="EE40" s="271">
        <f t="shared" si="152"/>
        <v>1</v>
      </c>
      <c r="EF40" s="271">
        <f t="shared" si="152"/>
        <v>1</v>
      </c>
      <c r="EG40" s="271">
        <f t="shared" si="152"/>
        <v>1</v>
      </c>
      <c r="EH40" s="271">
        <f t="shared" si="152"/>
        <v>1</v>
      </c>
      <c r="EI40" s="241"/>
      <c r="EJ40" s="241"/>
      <c r="EK40" s="271">
        <f t="shared" si="153"/>
        <v>1</v>
      </c>
      <c r="EL40" s="271">
        <f t="shared" si="153"/>
        <v>1</v>
      </c>
      <c r="EM40" s="271">
        <f t="shared" si="153"/>
        <v>1</v>
      </c>
      <c r="EN40" s="271">
        <f t="shared" si="153"/>
        <v>1</v>
      </c>
      <c r="EO40" s="271">
        <f t="shared" si="153"/>
        <v>1</v>
      </c>
      <c r="EP40" s="241"/>
      <c r="EQ40" s="241"/>
      <c r="ER40" s="241"/>
      <c r="ES40" s="271">
        <f t="shared" si="154"/>
        <v>1</v>
      </c>
      <c r="ET40" s="271">
        <f t="shared" si="154"/>
        <v>1</v>
      </c>
      <c r="EU40" s="271">
        <f t="shared" si="154"/>
        <v>1</v>
      </c>
      <c r="EV40" s="271">
        <f t="shared" si="154"/>
        <v>1</v>
      </c>
      <c r="EW40" s="241"/>
      <c r="EX40" s="241"/>
      <c r="EY40" s="271">
        <f t="shared" si="155"/>
        <v>1</v>
      </c>
      <c r="EZ40" s="271">
        <f t="shared" si="155"/>
        <v>1</v>
      </c>
      <c r="FA40" s="271">
        <f t="shared" si="155"/>
        <v>1</v>
      </c>
      <c r="FB40" s="271">
        <f t="shared" si="155"/>
        <v>1</v>
      </c>
      <c r="FC40" s="271">
        <f t="shared" si="155"/>
        <v>1</v>
      </c>
      <c r="FD40" s="241"/>
      <c r="FE40" s="241"/>
      <c r="FF40" s="271">
        <f t="shared" si="156"/>
        <v>1</v>
      </c>
      <c r="FG40" s="271">
        <f t="shared" si="156"/>
        <v>1</v>
      </c>
      <c r="FH40" s="271">
        <f t="shared" si="156"/>
        <v>1</v>
      </c>
      <c r="FI40" s="271">
        <f t="shared" si="156"/>
        <v>1</v>
      </c>
      <c r="FJ40" s="271">
        <f t="shared" si="156"/>
        <v>1</v>
      </c>
      <c r="FK40" s="241"/>
      <c r="FL40" s="241"/>
      <c r="FM40" s="271">
        <f t="shared" si="157"/>
        <v>1</v>
      </c>
      <c r="FN40" s="271">
        <f t="shared" si="157"/>
        <v>1</v>
      </c>
      <c r="FO40" s="271">
        <f t="shared" si="157"/>
        <v>1</v>
      </c>
      <c r="FP40" s="271">
        <f t="shared" si="157"/>
        <v>1</v>
      </c>
      <c r="FQ40" s="271">
        <f t="shared" si="157"/>
        <v>1</v>
      </c>
      <c r="FR40" s="241"/>
      <c r="FS40" s="241"/>
      <c r="FT40" s="271">
        <f t="shared" si="158"/>
        <v>1</v>
      </c>
      <c r="FU40" s="271">
        <f t="shared" si="158"/>
        <v>1</v>
      </c>
      <c r="FV40" s="271">
        <f t="shared" si="158"/>
        <v>1</v>
      </c>
      <c r="FW40" s="271">
        <f t="shared" si="158"/>
        <v>1</v>
      </c>
      <c r="FX40" s="271">
        <f t="shared" si="158"/>
        <v>1</v>
      </c>
      <c r="FY40" s="241"/>
      <c r="FZ40" s="241"/>
      <c r="GA40" s="271">
        <f t="shared" si="159"/>
        <v>1</v>
      </c>
      <c r="GB40" s="271">
        <f t="shared" si="159"/>
        <v>1</v>
      </c>
      <c r="GC40" s="271">
        <f t="shared" si="159"/>
        <v>1</v>
      </c>
      <c r="GD40" s="271">
        <f t="shared" si="159"/>
        <v>1</v>
      </c>
      <c r="GE40" s="271">
        <f>1/2</f>
        <v>0.5</v>
      </c>
      <c r="GF40" s="241"/>
      <c r="GG40" s="241"/>
      <c r="GH40" s="271">
        <f>1/2</f>
        <v>0.5</v>
      </c>
      <c r="GI40" s="271">
        <f>1/2</f>
        <v>0.5</v>
      </c>
      <c r="GJ40" s="271">
        <f>1/2</f>
        <v>0.5</v>
      </c>
      <c r="GK40" s="271">
        <f>1/2</f>
        <v>0.5</v>
      </c>
      <c r="GL40" s="271">
        <f t="shared" si="160"/>
        <v>1</v>
      </c>
      <c r="GM40" s="241"/>
      <c r="GN40" s="241"/>
      <c r="GO40" s="271">
        <f t="shared" si="161"/>
        <v>1</v>
      </c>
      <c r="GP40" s="271">
        <f t="shared" si="161"/>
        <v>1</v>
      </c>
      <c r="GQ40" s="271">
        <f t="shared" si="161"/>
        <v>1</v>
      </c>
      <c r="GR40" s="271">
        <f t="shared" si="161"/>
        <v>1</v>
      </c>
      <c r="GS40" s="271">
        <f t="shared" si="161"/>
        <v>1</v>
      </c>
      <c r="GT40" s="241"/>
      <c r="GU40" s="241"/>
      <c r="GV40" s="271">
        <f t="shared" si="162"/>
        <v>1</v>
      </c>
      <c r="GW40" s="271">
        <f t="shared" si="162"/>
        <v>1</v>
      </c>
      <c r="GX40" s="271">
        <f t="shared" si="162"/>
        <v>1</v>
      </c>
      <c r="GY40" s="271">
        <f t="shared" si="162"/>
        <v>1</v>
      </c>
      <c r="GZ40" s="271">
        <f t="shared" si="162"/>
        <v>1</v>
      </c>
      <c r="HA40" s="241"/>
      <c r="HB40" s="241"/>
      <c r="HC40" s="271">
        <f t="shared" si="163"/>
        <v>1</v>
      </c>
      <c r="HD40" s="271">
        <f t="shared" si="163"/>
        <v>1</v>
      </c>
      <c r="HE40" s="271">
        <f t="shared" si="163"/>
        <v>1</v>
      </c>
      <c r="HF40" s="271">
        <f t="shared" si="163"/>
        <v>1</v>
      </c>
      <c r="HG40" s="271">
        <f t="shared" si="163"/>
        <v>1</v>
      </c>
      <c r="HH40" s="241"/>
      <c r="HI40" s="241"/>
      <c r="HJ40" s="271">
        <f t="shared" si="164"/>
        <v>1</v>
      </c>
      <c r="HK40" s="271">
        <f t="shared" si="164"/>
        <v>1</v>
      </c>
      <c r="HL40" s="271">
        <f t="shared" si="164"/>
        <v>1</v>
      </c>
      <c r="HM40" s="271">
        <f t="shared" si="164"/>
        <v>1</v>
      </c>
      <c r="HN40" s="271">
        <f t="shared" si="164"/>
        <v>1</v>
      </c>
      <c r="HO40" s="241"/>
      <c r="HP40" s="241"/>
      <c r="HQ40" s="271">
        <f t="shared" si="165"/>
        <v>1</v>
      </c>
      <c r="HR40" s="271">
        <f t="shared" si="165"/>
        <v>1</v>
      </c>
      <c r="HS40" s="271">
        <f t="shared" si="165"/>
        <v>1</v>
      </c>
      <c r="HT40" s="271">
        <f t="shared" si="165"/>
        <v>1</v>
      </c>
      <c r="HU40" s="271">
        <f t="shared" si="165"/>
        <v>1</v>
      </c>
      <c r="HV40" s="241"/>
      <c r="HW40" s="241"/>
      <c r="HX40" s="271">
        <f t="shared" si="166"/>
        <v>1</v>
      </c>
      <c r="HY40" s="271">
        <f t="shared" si="166"/>
        <v>1</v>
      </c>
      <c r="HZ40" s="271">
        <f t="shared" si="166"/>
        <v>1</v>
      </c>
      <c r="IA40" s="271">
        <f t="shared" si="166"/>
        <v>1</v>
      </c>
      <c r="IB40" s="271">
        <f t="shared" si="166"/>
        <v>1</v>
      </c>
      <c r="IE40" s="271">
        <f t="shared" si="167"/>
        <v>1</v>
      </c>
      <c r="IF40" s="271">
        <f t="shared" si="167"/>
        <v>1</v>
      </c>
      <c r="IG40" s="271">
        <f t="shared" si="167"/>
        <v>1</v>
      </c>
      <c r="IH40" s="271">
        <f t="shared" si="167"/>
        <v>1</v>
      </c>
      <c r="II40" s="271">
        <f t="shared" si="167"/>
        <v>1</v>
      </c>
      <c r="IL40" s="271"/>
      <c r="IM40" s="271">
        <f t="shared" si="168"/>
        <v>1</v>
      </c>
      <c r="IN40" s="271">
        <f t="shared" si="168"/>
        <v>1</v>
      </c>
      <c r="IO40" s="271">
        <f t="shared" si="168"/>
        <v>1</v>
      </c>
      <c r="IP40" s="271">
        <f t="shared" si="168"/>
        <v>1</v>
      </c>
      <c r="IS40" s="271">
        <f t="shared" si="169"/>
        <v>1</v>
      </c>
      <c r="IT40" s="271">
        <f t="shared" si="169"/>
        <v>1</v>
      </c>
      <c r="IU40" s="271">
        <f t="shared" si="169"/>
        <v>1</v>
      </c>
      <c r="IV40" s="271">
        <f t="shared" si="169"/>
        <v>1</v>
      </c>
      <c r="IW40" s="271">
        <f t="shared" si="169"/>
        <v>1</v>
      </c>
      <c r="IZ40" s="271">
        <f t="shared" si="170"/>
        <v>1</v>
      </c>
      <c r="JA40" s="271">
        <f t="shared" si="170"/>
        <v>1</v>
      </c>
      <c r="JB40" s="271">
        <f t="shared" si="170"/>
        <v>1</v>
      </c>
      <c r="JC40" s="271">
        <f t="shared" si="170"/>
        <v>1</v>
      </c>
      <c r="JD40" s="271">
        <f t="shared" si="170"/>
        <v>1</v>
      </c>
      <c r="JG40" s="271">
        <f t="shared" si="171"/>
        <v>1</v>
      </c>
      <c r="JH40" s="271">
        <f t="shared" si="171"/>
        <v>1</v>
      </c>
      <c r="JI40" s="271">
        <f t="shared" si="171"/>
        <v>1</v>
      </c>
      <c r="JJ40" s="271">
        <f t="shared" si="171"/>
        <v>1</v>
      </c>
      <c r="JK40" s="271">
        <f t="shared" si="171"/>
        <v>1</v>
      </c>
      <c r="JN40" s="271">
        <f t="shared" si="172"/>
        <v>1</v>
      </c>
      <c r="JO40" s="271">
        <f t="shared" si="172"/>
        <v>1</v>
      </c>
      <c r="JP40" s="271">
        <f t="shared" si="172"/>
        <v>1</v>
      </c>
      <c r="JQ40" s="271">
        <f t="shared" si="172"/>
        <v>1</v>
      </c>
      <c r="JR40" s="271">
        <f t="shared" si="172"/>
        <v>1</v>
      </c>
      <c r="JU40" s="271">
        <f t="shared" si="173"/>
        <v>1</v>
      </c>
      <c r="JV40" s="271">
        <f t="shared" si="173"/>
        <v>1</v>
      </c>
      <c r="JW40" s="271">
        <f t="shared" si="173"/>
        <v>1</v>
      </c>
      <c r="JX40" s="271">
        <f t="shared" si="173"/>
        <v>1</v>
      </c>
      <c r="JY40" s="271">
        <f t="shared" si="173"/>
        <v>1</v>
      </c>
      <c r="KB40" s="271">
        <f t="shared" si="174"/>
        <v>1</v>
      </c>
      <c r="KC40" s="271">
        <f t="shared" si="174"/>
        <v>1</v>
      </c>
      <c r="KD40" s="271">
        <f t="shared" si="174"/>
        <v>1</v>
      </c>
      <c r="KE40" s="271">
        <f t="shared" si="174"/>
        <v>1</v>
      </c>
      <c r="KF40" s="271">
        <f t="shared" si="174"/>
        <v>1</v>
      </c>
      <c r="KI40" s="271">
        <f t="shared" si="175"/>
        <v>1</v>
      </c>
      <c r="KJ40" s="271">
        <f t="shared" si="175"/>
        <v>1</v>
      </c>
      <c r="KK40" s="271">
        <f t="shared" si="175"/>
        <v>1</v>
      </c>
      <c r="KL40" s="271">
        <f t="shared" si="175"/>
        <v>1</v>
      </c>
      <c r="KM40" s="271">
        <f t="shared" si="175"/>
        <v>1</v>
      </c>
      <c r="KP40" s="271">
        <f t="shared" si="176"/>
        <v>1</v>
      </c>
      <c r="KQ40" s="271">
        <f t="shared" si="176"/>
        <v>1</v>
      </c>
      <c r="KR40" s="271">
        <f t="shared" si="176"/>
        <v>1</v>
      </c>
      <c r="KS40" s="271">
        <f t="shared" si="176"/>
        <v>1</v>
      </c>
      <c r="KT40" s="271">
        <f t="shared" si="176"/>
        <v>1</v>
      </c>
      <c r="KW40" s="271">
        <f t="shared" si="177"/>
        <v>1</v>
      </c>
      <c r="KX40" s="271">
        <f t="shared" si="177"/>
        <v>1</v>
      </c>
      <c r="KY40" s="271">
        <f t="shared" si="177"/>
        <v>1</v>
      </c>
      <c r="KZ40" s="271">
        <f t="shared" si="177"/>
        <v>1</v>
      </c>
      <c r="LA40" s="271">
        <f t="shared" si="177"/>
        <v>1</v>
      </c>
      <c r="LD40" s="271">
        <f t="shared" si="178"/>
        <v>1</v>
      </c>
      <c r="LE40" s="271">
        <f t="shared" si="178"/>
        <v>1</v>
      </c>
      <c r="LF40" s="271">
        <f t="shared" si="178"/>
        <v>1</v>
      </c>
      <c r="LG40" s="271">
        <f t="shared" si="178"/>
        <v>1</v>
      </c>
      <c r="LH40" s="271">
        <f t="shared" si="178"/>
        <v>1</v>
      </c>
      <c r="LK40" s="271">
        <f t="shared" si="179"/>
        <v>1</v>
      </c>
      <c r="LL40" s="271">
        <f t="shared" si="179"/>
        <v>1</v>
      </c>
      <c r="LM40" s="271">
        <f t="shared" si="179"/>
        <v>1</v>
      </c>
      <c r="LN40" s="271">
        <f t="shared" si="179"/>
        <v>1</v>
      </c>
      <c r="LO40" s="271">
        <f t="shared" si="179"/>
        <v>1</v>
      </c>
      <c r="LR40" s="271">
        <f t="shared" si="180"/>
        <v>1</v>
      </c>
      <c r="LS40" s="271">
        <f t="shared" si="180"/>
        <v>1</v>
      </c>
      <c r="LT40" s="271">
        <f t="shared" si="180"/>
        <v>1</v>
      </c>
      <c r="LU40" s="271">
        <f t="shared" si="180"/>
        <v>1</v>
      </c>
      <c r="LV40" s="271">
        <f t="shared" si="180"/>
        <v>1</v>
      </c>
      <c r="LY40" s="271">
        <f t="shared" si="181"/>
        <v>1</v>
      </c>
      <c r="LZ40" s="271">
        <f t="shared" si="181"/>
        <v>1</v>
      </c>
      <c r="MA40" s="271">
        <f t="shared" si="181"/>
        <v>1</v>
      </c>
      <c r="MB40" s="271">
        <f t="shared" si="181"/>
        <v>1</v>
      </c>
      <c r="MC40" s="271">
        <f t="shared" si="181"/>
        <v>1</v>
      </c>
      <c r="MF40" s="271">
        <f t="shared" si="182"/>
        <v>1</v>
      </c>
      <c r="MG40" s="271">
        <f t="shared" si="182"/>
        <v>1</v>
      </c>
      <c r="MH40" s="271">
        <f t="shared" si="182"/>
        <v>1</v>
      </c>
      <c r="MI40" s="271">
        <f t="shared" si="182"/>
        <v>1</v>
      </c>
      <c r="MJ40" s="271">
        <f t="shared" si="182"/>
        <v>1</v>
      </c>
      <c r="MM40" s="271">
        <f t="shared" si="183"/>
        <v>1</v>
      </c>
      <c r="MN40" s="271">
        <f t="shared" si="183"/>
        <v>1</v>
      </c>
      <c r="MO40" s="271">
        <f t="shared" si="183"/>
        <v>1</v>
      </c>
      <c r="MP40" s="271">
        <f t="shared" si="183"/>
        <v>1</v>
      </c>
      <c r="MQ40" s="271">
        <f t="shared" si="183"/>
        <v>1</v>
      </c>
      <c r="MT40" s="271">
        <f t="shared" si="184"/>
        <v>1</v>
      </c>
      <c r="MU40" s="271">
        <f t="shared" si="184"/>
        <v>1</v>
      </c>
      <c r="MV40" s="271">
        <f t="shared" si="184"/>
        <v>1</v>
      </c>
      <c r="MW40" s="271">
        <f t="shared" si="184"/>
        <v>1</v>
      </c>
      <c r="MX40" s="271"/>
      <c r="NB40" s="271">
        <f t="shared" si="185"/>
        <v>1</v>
      </c>
      <c r="NC40" s="271">
        <f t="shared" si="185"/>
        <v>1</v>
      </c>
      <c r="ND40" s="271">
        <f t="shared" si="185"/>
        <v>1</v>
      </c>
    </row>
    <row r="41" spans="1:369">
      <c r="A41" s="241"/>
      <c r="B41" s="241" t="s">
        <v>215</v>
      </c>
      <c r="C41" s="241"/>
      <c r="D41" s="241"/>
      <c r="E41" s="62">
        <f>2/3</f>
        <v>0.66666666666666663</v>
      </c>
      <c r="F41" s="241"/>
      <c r="G41" s="241"/>
      <c r="H41" s="272">
        <f>3/3</f>
        <v>1</v>
      </c>
      <c r="I41" s="272">
        <f t="shared" ref="I41:J41" si="191">3/3</f>
        <v>1</v>
      </c>
      <c r="J41" s="272">
        <f t="shared" si="191"/>
        <v>1</v>
      </c>
      <c r="K41" s="272">
        <f>2/3</f>
        <v>0.66666666666666663</v>
      </c>
      <c r="L41" s="272">
        <f>1/3</f>
        <v>0.33333333333333331</v>
      </c>
      <c r="M41" s="241"/>
      <c r="N41" s="241"/>
      <c r="O41" s="272">
        <f t="shared" ref="O41:S41" si="192">3/3</f>
        <v>1</v>
      </c>
      <c r="P41" s="272">
        <f>2/3</f>
        <v>0.66666666666666663</v>
      </c>
      <c r="Q41" s="272">
        <f>2/3</f>
        <v>0.66666666666666663</v>
      </c>
      <c r="R41" s="272">
        <f t="shared" si="192"/>
        <v>1</v>
      </c>
      <c r="S41" s="272">
        <f t="shared" si="192"/>
        <v>1</v>
      </c>
      <c r="T41" s="241"/>
      <c r="U41" s="241"/>
      <c r="V41" s="272">
        <f t="shared" ref="V41:Y41" si="193">3/3</f>
        <v>1</v>
      </c>
      <c r="W41" s="272">
        <f t="shared" si="193"/>
        <v>1</v>
      </c>
      <c r="X41" s="272">
        <f>2/3</f>
        <v>0.66666666666666663</v>
      </c>
      <c r="Y41" s="272">
        <f t="shared" si="193"/>
        <v>1</v>
      </c>
      <c r="Z41" s="272">
        <f>2/3</f>
        <v>0.66666666666666663</v>
      </c>
      <c r="AA41" s="241"/>
      <c r="AB41" s="241"/>
      <c r="AC41" s="272">
        <f>2/3</f>
        <v>0.66666666666666663</v>
      </c>
      <c r="AD41" s="272">
        <f t="shared" ref="AD41:AG41" si="194">3/3</f>
        <v>1</v>
      </c>
      <c r="AE41" s="272">
        <f t="shared" si="194"/>
        <v>1</v>
      </c>
      <c r="AF41" s="272">
        <f>2/3</f>
        <v>0.66666666666666663</v>
      </c>
      <c r="AG41" s="272">
        <f t="shared" si="194"/>
        <v>1</v>
      </c>
      <c r="AH41" s="241"/>
      <c r="AI41" s="241"/>
      <c r="AJ41" s="272">
        <f>3/3</f>
        <v>1</v>
      </c>
      <c r="AK41" s="272">
        <f t="shared" ref="AK41" si="195">3/3</f>
        <v>1</v>
      </c>
      <c r="AL41" s="272">
        <f>1/3</f>
        <v>0.33333333333333331</v>
      </c>
      <c r="AM41" s="272">
        <f>1/3</f>
        <v>0.33333333333333331</v>
      </c>
      <c r="AN41" s="272">
        <f>3/3</f>
        <v>1</v>
      </c>
      <c r="AO41" s="241"/>
      <c r="AP41" s="241"/>
      <c r="AQ41" s="272">
        <f>2/3</f>
        <v>0.66666666666666663</v>
      </c>
      <c r="AR41" s="272">
        <f t="shared" ref="AR41" si="196">3/3</f>
        <v>1</v>
      </c>
      <c r="AS41" s="272">
        <f>5/3</f>
        <v>1.6666666666666667</v>
      </c>
      <c r="AT41" s="272">
        <f>2/3</f>
        <v>0.66666666666666663</v>
      </c>
      <c r="AU41" s="272">
        <f>1.5/3</f>
        <v>0.5</v>
      </c>
      <c r="AV41" s="241"/>
      <c r="AW41" s="241"/>
      <c r="AX41" s="272">
        <f>2/3</f>
        <v>0.66666666666666663</v>
      </c>
      <c r="AY41" s="272">
        <f>2/3</f>
        <v>0.66666666666666663</v>
      </c>
      <c r="AZ41" s="272">
        <f>2/3</f>
        <v>0.66666666666666663</v>
      </c>
      <c r="BA41" s="272">
        <f>2/3</f>
        <v>0.66666666666666663</v>
      </c>
      <c r="BB41" s="272">
        <f>1/3</f>
        <v>0.33333333333333331</v>
      </c>
      <c r="BC41" s="241"/>
      <c r="BD41" s="241"/>
      <c r="BE41" s="272">
        <f>3/3</f>
        <v>1</v>
      </c>
      <c r="BF41" s="272">
        <f t="shared" ref="BF41" si="197">3/3</f>
        <v>1</v>
      </c>
      <c r="BG41" s="272">
        <f>1/3</f>
        <v>0.33333333333333331</v>
      </c>
      <c r="BH41" s="272">
        <f>2/3</f>
        <v>0.66666666666666663</v>
      </c>
      <c r="BI41" s="272">
        <f>1/3</f>
        <v>0.33333333333333331</v>
      </c>
      <c r="BJ41" s="241"/>
      <c r="BK41" s="241"/>
      <c r="BL41" s="272">
        <f>3/3</f>
        <v>1</v>
      </c>
      <c r="BM41" s="272">
        <f t="shared" ref="BM41:BO41" si="198">3/3</f>
        <v>1</v>
      </c>
      <c r="BN41" s="272">
        <f t="shared" si="198"/>
        <v>1</v>
      </c>
      <c r="BO41" s="272">
        <f>1/3</f>
        <v>0.33333333333333331</v>
      </c>
      <c r="BP41" s="272">
        <f>1/3</f>
        <v>0.33333333333333331</v>
      </c>
      <c r="BQ41" s="241"/>
      <c r="BR41" s="241"/>
      <c r="BS41" s="272">
        <f t="shared" ref="BS41:BV41" si="199">2/3</f>
        <v>0.66666666666666663</v>
      </c>
      <c r="BT41" s="272">
        <f t="shared" si="199"/>
        <v>0.66666666666666663</v>
      </c>
      <c r="BU41" s="272">
        <f t="shared" si="199"/>
        <v>0.66666666666666663</v>
      </c>
      <c r="BV41" s="272">
        <f t="shared" si="199"/>
        <v>0.66666666666666663</v>
      </c>
      <c r="BW41" s="272">
        <f>2/3</f>
        <v>0.66666666666666663</v>
      </c>
      <c r="BX41" s="241"/>
      <c r="BY41" s="241"/>
      <c r="BZ41" s="272">
        <f>2/3</f>
        <v>0.66666666666666663</v>
      </c>
      <c r="CA41" s="272">
        <f t="shared" ref="CA41:CC41" si="200">2/3</f>
        <v>0.66666666666666663</v>
      </c>
      <c r="CB41" s="272">
        <f t="shared" si="200"/>
        <v>0.66666666666666663</v>
      </c>
      <c r="CC41" s="272">
        <f t="shared" si="200"/>
        <v>0.66666666666666663</v>
      </c>
      <c r="CD41" s="272">
        <f>2/3</f>
        <v>0.66666666666666663</v>
      </c>
      <c r="CE41" s="241"/>
      <c r="CF41" s="241"/>
      <c r="CG41" s="272">
        <f>3/3</f>
        <v>1</v>
      </c>
      <c r="CH41" s="272">
        <f t="shared" ref="CH41:CJ41" si="201">3/3</f>
        <v>1</v>
      </c>
      <c r="CI41" s="272">
        <f t="shared" si="201"/>
        <v>1</v>
      </c>
      <c r="CJ41" s="272">
        <f t="shared" si="201"/>
        <v>1</v>
      </c>
      <c r="CK41" s="272">
        <f>3/3</f>
        <v>1</v>
      </c>
      <c r="CL41" s="241"/>
      <c r="CM41" s="241"/>
      <c r="CN41" s="272">
        <f t="shared" ref="CN41:CO41" si="202">3/3</f>
        <v>1</v>
      </c>
      <c r="CO41" s="272">
        <f t="shared" si="202"/>
        <v>1</v>
      </c>
      <c r="CP41" s="272">
        <f>3/3</f>
        <v>1</v>
      </c>
      <c r="CQ41" s="272">
        <f>3/3</f>
        <v>1</v>
      </c>
      <c r="CR41" s="241"/>
      <c r="CS41" s="241"/>
      <c r="CT41" s="241"/>
      <c r="CU41" s="241"/>
      <c r="CV41" s="272">
        <f t="shared" ref="CV41:CY41" si="203">3/3</f>
        <v>1</v>
      </c>
      <c r="CW41" s="272">
        <f t="shared" si="203"/>
        <v>1</v>
      </c>
      <c r="CX41" s="272">
        <f t="shared" si="203"/>
        <v>1</v>
      </c>
      <c r="CY41" s="272">
        <f t="shared" si="203"/>
        <v>1</v>
      </c>
      <c r="CZ41" s="241"/>
      <c r="DA41" s="241"/>
      <c r="DB41" s="272">
        <f t="shared" ref="DB41:DF41" si="204">3/3</f>
        <v>1</v>
      </c>
      <c r="DC41" s="272">
        <f t="shared" si="204"/>
        <v>1</v>
      </c>
      <c r="DD41" s="272">
        <f t="shared" si="204"/>
        <v>1</v>
      </c>
      <c r="DE41" s="272">
        <f t="shared" si="204"/>
        <v>1</v>
      </c>
      <c r="DF41" s="272">
        <f t="shared" si="204"/>
        <v>1</v>
      </c>
      <c r="DG41" s="241"/>
      <c r="DH41" s="241"/>
      <c r="DI41" s="272">
        <f t="shared" ref="DI41:DM41" si="205">3/3</f>
        <v>1</v>
      </c>
      <c r="DJ41" s="272">
        <f t="shared" si="205"/>
        <v>1</v>
      </c>
      <c r="DK41" s="272">
        <f t="shared" si="205"/>
        <v>1</v>
      </c>
      <c r="DL41" s="272">
        <f t="shared" si="205"/>
        <v>1</v>
      </c>
      <c r="DM41" s="272">
        <f t="shared" si="205"/>
        <v>1</v>
      </c>
      <c r="DN41" s="241"/>
      <c r="DO41" s="241"/>
      <c r="DP41" s="272">
        <f t="shared" ref="DP41:DT41" si="206">3/3</f>
        <v>1</v>
      </c>
      <c r="DQ41" s="272">
        <f t="shared" si="206"/>
        <v>1</v>
      </c>
      <c r="DR41" s="272">
        <f t="shared" si="206"/>
        <v>1</v>
      </c>
      <c r="DS41" s="272">
        <f t="shared" si="206"/>
        <v>1</v>
      </c>
      <c r="DT41" s="272">
        <f t="shared" si="206"/>
        <v>1</v>
      </c>
      <c r="DU41" s="241"/>
      <c r="DV41" s="241"/>
      <c r="DW41" s="241"/>
      <c r="DX41" s="272">
        <f t="shared" ref="DX41:EA41" si="207">3/3</f>
        <v>1</v>
      </c>
      <c r="DY41" s="272">
        <f t="shared" si="207"/>
        <v>1</v>
      </c>
      <c r="DZ41" s="272">
        <f t="shared" si="207"/>
        <v>1</v>
      </c>
      <c r="EA41" s="272">
        <f t="shared" si="207"/>
        <v>1</v>
      </c>
      <c r="EB41" s="241"/>
      <c r="EC41" s="241"/>
      <c r="ED41" s="272">
        <f t="shared" ref="ED41:EH41" si="208">3/3</f>
        <v>1</v>
      </c>
      <c r="EE41" s="272">
        <f t="shared" si="208"/>
        <v>1</v>
      </c>
      <c r="EF41" s="272">
        <f t="shared" si="208"/>
        <v>1</v>
      </c>
      <c r="EG41" s="272">
        <f t="shared" si="208"/>
        <v>1</v>
      </c>
      <c r="EH41" s="272">
        <f t="shared" si="208"/>
        <v>1</v>
      </c>
      <c r="EI41" s="241"/>
      <c r="EJ41" s="241"/>
      <c r="EK41" s="272">
        <f t="shared" ref="EK41:EO41" si="209">3/3</f>
        <v>1</v>
      </c>
      <c r="EL41" s="272">
        <f t="shared" si="209"/>
        <v>1</v>
      </c>
      <c r="EM41" s="272">
        <f t="shared" si="209"/>
        <v>1</v>
      </c>
      <c r="EN41" s="272">
        <f t="shared" si="209"/>
        <v>1</v>
      </c>
      <c r="EO41" s="272">
        <f t="shared" si="209"/>
        <v>1</v>
      </c>
      <c r="EP41" s="241"/>
      <c r="EQ41" s="241"/>
      <c r="ER41" s="241"/>
      <c r="ES41" s="272">
        <f t="shared" ref="ES41:EV41" si="210">3/3</f>
        <v>1</v>
      </c>
      <c r="ET41" s="272">
        <f t="shared" si="210"/>
        <v>1</v>
      </c>
      <c r="EU41" s="272">
        <f t="shared" si="210"/>
        <v>1</v>
      </c>
      <c r="EV41" s="272">
        <f t="shared" si="210"/>
        <v>1</v>
      </c>
      <c r="EW41" s="241"/>
      <c r="EX41" s="241"/>
      <c r="EY41" s="272">
        <f t="shared" ref="EY41:FC41" si="211">3/3</f>
        <v>1</v>
      </c>
      <c r="EZ41" s="272">
        <f t="shared" si="211"/>
        <v>1</v>
      </c>
      <c r="FA41" s="272">
        <f t="shared" si="211"/>
        <v>1</v>
      </c>
      <c r="FB41" s="272">
        <f t="shared" si="211"/>
        <v>1</v>
      </c>
      <c r="FC41" s="272">
        <f t="shared" si="211"/>
        <v>1</v>
      </c>
      <c r="FD41" s="241"/>
      <c r="FE41" s="241"/>
      <c r="FF41" s="272">
        <f t="shared" ref="FF41:FJ41" si="212">3/3</f>
        <v>1</v>
      </c>
      <c r="FG41" s="272">
        <f t="shared" si="212"/>
        <v>1</v>
      </c>
      <c r="FH41" s="272">
        <f t="shared" si="212"/>
        <v>1</v>
      </c>
      <c r="FI41" s="272">
        <f t="shared" si="212"/>
        <v>1</v>
      </c>
      <c r="FJ41" s="272">
        <f t="shared" si="212"/>
        <v>1</v>
      </c>
      <c r="FK41" s="241"/>
      <c r="FL41" s="241"/>
      <c r="FM41" s="272">
        <f t="shared" ref="FM41:FQ41" si="213">3/3</f>
        <v>1</v>
      </c>
      <c r="FN41" s="272">
        <f t="shared" si="213"/>
        <v>1</v>
      </c>
      <c r="FO41" s="272">
        <f t="shared" si="213"/>
        <v>1</v>
      </c>
      <c r="FP41" s="272">
        <f t="shared" si="213"/>
        <v>1</v>
      </c>
      <c r="FQ41" s="272">
        <f t="shared" si="213"/>
        <v>1</v>
      </c>
      <c r="FR41" s="241"/>
      <c r="FS41" s="241"/>
      <c r="FT41" s="272">
        <f t="shared" ref="FT41:FX41" si="214">3/3</f>
        <v>1</v>
      </c>
      <c r="FU41" s="272">
        <f t="shared" si="214"/>
        <v>1</v>
      </c>
      <c r="FV41" s="272">
        <f t="shared" si="214"/>
        <v>1</v>
      </c>
      <c r="FW41" s="272">
        <f t="shared" si="214"/>
        <v>1</v>
      </c>
      <c r="FX41" s="272">
        <f t="shared" si="214"/>
        <v>1</v>
      </c>
      <c r="FY41" s="241"/>
      <c r="FZ41" s="241"/>
      <c r="GA41" s="272">
        <f t="shared" ref="GA41:GE41" si="215">3/3</f>
        <v>1</v>
      </c>
      <c r="GB41" s="272">
        <f t="shared" si="215"/>
        <v>1</v>
      </c>
      <c r="GC41" s="272">
        <f t="shared" si="215"/>
        <v>1</v>
      </c>
      <c r="GD41" s="272">
        <f t="shared" si="215"/>
        <v>1</v>
      </c>
      <c r="GE41" s="272">
        <f t="shared" si="215"/>
        <v>1</v>
      </c>
      <c r="GF41" s="241"/>
      <c r="GG41" s="241"/>
      <c r="GH41" s="272">
        <f t="shared" ref="GH41:GL41" si="216">3/3</f>
        <v>1</v>
      </c>
      <c r="GI41" s="272">
        <f t="shared" si="216"/>
        <v>1</v>
      </c>
      <c r="GJ41" s="272">
        <f t="shared" si="216"/>
        <v>1</v>
      </c>
      <c r="GK41" s="272">
        <f t="shared" si="216"/>
        <v>1</v>
      </c>
      <c r="GL41" s="272">
        <f t="shared" si="216"/>
        <v>1</v>
      </c>
      <c r="GM41" s="241"/>
      <c r="GN41" s="241"/>
      <c r="GO41" s="272">
        <f t="shared" ref="GO41:GS41" si="217">3/3</f>
        <v>1</v>
      </c>
      <c r="GP41" s="272">
        <f t="shared" si="217"/>
        <v>1</v>
      </c>
      <c r="GQ41" s="272">
        <f t="shared" si="217"/>
        <v>1</v>
      </c>
      <c r="GR41" s="272">
        <f t="shared" si="217"/>
        <v>1</v>
      </c>
      <c r="GS41" s="272">
        <f t="shared" si="217"/>
        <v>1</v>
      </c>
      <c r="GT41" s="241"/>
      <c r="GU41" s="241"/>
      <c r="GV41" s="272">
        <f t="shared" ref="GV41:GZ41" si="218">3/3</f>
        <v>1</v>
      </c>
      <c r="GW41" s="272">
        <f t="shared" si="218"/>
        <v>1</v>
      </c>
      <c r="GX41" s="272">
        <f t="shared" si="218"/>
        <v>1</v>
      </c>
      <c r="GY41" s="272">
        <f t="shared" si="218"/>
        <v>1</v>
      </c>
      <c r="GZ41" s="272">
        <f t="shared" si="218"/>
        <v>1</v>
      </c>
      <c r="HA41" s="241"/>
      <c r="HB41" s="241"/>
      <c r="HC41" s="272">
        <f t="shared" ref="HC41:HG41" si="219">3/3</f>
        <v>1</v>
      </c>
      <c r="HD41" s="272">
        <f t="shared" si="219"/>
        <v>1</v>
      </c>
      <c r="HE41" s="272">
        <f t="shared" si="219"/>
        <v>1</v>
      </c>
      <c r="HF41" s="272">
        <f t="shared" si="219"/>
        <v>1</v>
      </c>
      <c r="HG41" s="272">
        <f t="shared" si="219"/>
        <v>1</v>
      </c>
      <c r="HH41" s="241"/>
      <c r="HI41" s="241"/>
      <c r="HJ41" s="272">
        <f t="shared" ref="HJ41:HN41" si="220">3/3</f>
        <v>1</v>
      </c>
      <c r="HK41" s="272">
        <f t="shared" si="220"/>
        <v>1</v>
      </c>
      <c r="HL41" s="272">
        <f t="shared" si="220"/>
        <v>1</v>
      </c>
      <c r="HM41" s="272">
        <f t="shared" si="220"/>
        <v>1</v>
      </c>
      <c r="HN41" s="272">
        <f t="shared" si="220"/>
        <v>1</v>
      </c>
      <c r="HO41" s="241"/>
      <c r="HP41" s="241"/>
      <c r="HQ41" s="272">
        <f t="shared" ref="HQ41:HU41" si="221">3/3</f>
        <v>1</v>
      </c>
      <c r="HR41" s="272">
        <f t="shared" si="221"/>
        <v>1</v>
      </c>
      <c r="HS41" s="272">
        <f t="shared" si="221"/>
        <v>1</v>
      </c>
      <c r="HT41" s="272">
        <f t="shared" si="221"/>
        <v>1</v>
      </c>
      <c r="HU41" s="272">
        <f t="shared" si="221"/>
        <v>1</v>
      </c>
      <c r="HV41" s="241"/>
      <c r="HW41" s="241"/>
      <c r="HX41" s="272">
        <f t="shared" ref="HX41:IB41" si="222">3/3</f>
        <v>1</v>
      </c>
      <c r="HY41" s="272">
        <f t="shared" si="222"/>
        <v>1</v>
      </c>
      <c r="HZ41" s="272">
        <f t="shared" si="222"/>
        <v>1</v>
      </c>
      <c r="IA41" s="272">
        <f t="shared" si="222"/>
        <v>1</v>
      </c>
      <c r="IB41" s="272">
        <f t="shared" si="222"/>
        <v>1</v>
      </c>
      <c r="IE41" s="272">
        <f t="shared" ref="IE41:II41" si="223">3/3</f>
        <v>1</v>
      </c>
      <c r="IF41" s="272">
        <f t="shared" si="223"/>
        <v>1</v>
      </c>
      <c r="IG41" s="272">
        <f t="shared" si="223"/>
        <v>1</v>
      </c>
      <c r="IH41" s="272">
        <f t="shared" si="223"/>
        <v>1</v>
      </c>
      <c r="II41" s="272">
        <f t="shared" si="223"/>
        <v>1</v>
      </c>
      <c r="IL41" s="272"/>
      <c r="IM41" s="272">
        <f t="shared" ref="IM41:IP41" si="224">3/3</f>
        <v>1</v>
      </c>
      <c r="IN41" s="272">
        <f t="shared" si="224"/>
        <v>1</v>
      </c>
      <c r="IO41" s="272">
        <f t="shared" si="224"/>
        <v>1</v>
      </c>
      <c r="IP41" s="272">
        <f t="shared" si="224"/>
        <v>1</v>
      </c>
      <c r="IS41" s="272">
        <f t="shared" ref="IS41:IW41" si="225">3/3</f>
        <v>1</v>
      </c>
      <c r="IT41" s="272">
        <f t="shared" si="225"/>
        <v>1</v>
      </c>
      <c r="IU41" s="272">
        <f t="shared" si="225"/>
        <v>1</v>
      </c>
      <c r="IV41" s="272">
        <f t="shared" si="225"/>
        <v>1</v>
      </c>
      <c r="IW41" s="272">
        <f t="shared" si="225"/>
        <v>1</v>
      </c>
      <c r="IZ41" s="272">
        <f t="shared" ref="IZ41:JD41" si="226">3/3</f>
        <v>1</v>
      </c>
      <c r="JA41" s="272">
        <f t="shared" si="226"/>
        <v>1</v>
      </c>
      <c r="JB41" s="272">
        <f t="shared" si="226"/>
        <v>1</v>
      </c>
      <c r="JC41" s="272">
        <f t="shared" si="226"/>
        <v>1</v>
      </c>
      <c r="JD41" s="272">
        <f t="shared" si="226"/>
        <v>1</v>
      </c>
      <c r="JG41" s="272">
        <f t="shared" ref="JG41:JK41" si="227">3/3</f>
        <v>1</v>
      </c>
      <c r="JH41" s="272">
        <f t="shared" si="227"/>
        <v>1</v>
      </c>
      <c r="JI41" s="272">
        <f t="shared" si="227"/>
        <v>1</v>
      </c>
      <c r="JJ41" s="272">
        <f t="shared" si="227"/>
        <v>1</v>
      </c>
      <c r="JK41" s="272">
        <f t="shared" si="227"/>
        <v>1</v>
      </c>
      <c r="JN41" s="272">
        <f t="shared" ref="JN41:JR41" si="228">3/3</f>
        <v>1</v>
      </c>
      <c r="JO41" s="272">
        <f t="shared" si="228"/>
        <v>1</v>
      </c>
      <c r="JP41" s="272">
        <f t="shared" si="228"/>
        <v>1</v>
      </c>
      <c r="JQ41" s="272">
        <f t="shared" si="228"/>
        <v>1</v>
      </c>
      <c r="JR41" s="272">
        <f t="shared" si="228"/>
        <v>1</v>
      </c>
      <c r="JU41" s="272">
        <f t="shared" ref="JU41:JY41" si="229">3/3</f>
        <v>1</v>
      </c>
      <c r="JV41" s="272">
        <f t="shared" si="229"/>
        <v>1</v>
      </c>
      <c r="JW41" s="272">
        <f t="shared" si="229"/>
        <v>1</v>
      </c>
      <c r="JX41" s="272">
        <f t="shared" si="229"/>
        <v>1</v>
      </c>
      <c r="JY41" s="272">
        <f t="shared" si="229"/>
        <v>1</v>
      </c>
      <c r="KB41" s="272">
        <f t="shared" ref="KB41:KF41" si="230">3/3</f>
        <v>1</v>
      </c>
      <c r="KC41" s="272">
        <f t="shared" si="230"/>
        <v>1</v>
      </c>
      <c r="KD41" s="272">
        <f t="shared" si="230"/>
        <v>1</v>
      </c>
      <c r="KE41" s="272">
        <f t="shared" si="230"/>
        <v>1</v>
      </c>
      <c r="KF41" s="272">
        <f t="shared" si="230"/>
        <v>1</v>
      </c>
      <c r="KI41" s="272">
        <f t="shared" ref="KI41:KM41" si="231">3/3</f>
        <v>1</v>
      </c>
      <c r="KJ41" s="272">
        <f t="shared" si="231"/>
        <v>1</v>
      </c>
      <c r="KK41" s="272">
        <f t="shared" si="231"/>
        <v>1</v>
      </c>
      <c r="KL41" s="272">
        <f t="shared" si="231"/>
        <v>1</v>
      </c>
      <c r="KM41" s="272">
        <f t="shared" si="231"/>
        <v>1</v>
      </c>
      <c r="KP41" s="272">
        <f t="shared" ref="KP41:KT41" si="232">3/3</f>
        <v>1</v>
      </c>
      <c r="KQ41" s="272">
        <f t="shared" si="232"/>
        <v>1</v>
      </c>
      <c r="KR41" s="272">
        <f t="shared" si="232"/>
        <v>1</v>
      </c>
      <c r="KS41" s="272">
        <f t="shared" si="232"/>
        <v>1</v>
      </c>
      <c r="KT41" s="272">
        <f t="shared" si="232"/>
        <v>1</v>
      </c>
      <c r="KW41" s="272">
        <f t="shared" ref="KW41:LA41" si="233">3/3</f>
        <v>1</v>
      </c>
      <c r="KX41" s="272">
        <f t="shared" si="233"/>
        <v>1</v>
      </c>
      <c r="KY41" s="272">
        <f t="shared" si="233"/>
        <v>1</v>
      </c>
      <c r="KZ41" s="272">
        <f t="shared" si="233"/>
        <v>1</v>
      </c>
      <c r="LA41" s="272">
        <f t="shared" si="233"/>
        <v>1</v>
      </c>
      <c r="LD41" s="272">
        <f t="shared" ref="LD41:LH41" si="234">3/3</f>
        <v>1</v>
      </c>
      <c r="LE41" s="272">
        <f t="shared" si="234"/>
        <v>1</v>
      </c>
      <c r="LF41" s="272">
        <f t="shared" si="234"/>
        <v>1</v>
      </c>
      <c r="LG41" s="272">
        <f t="shared" si="234"/>
        <v>1</v>
      </c>
      <c r="LH41" s="272">
        <f t="shared" si="234"/>
        <v>1</v>
      </c>
      <c r="LK41" s="272">
        <f t="shared" ref="LK41:LO41" si="235">3/3</f>
        <v>1</v>
      </c>
      <c r="LL41" s="272">
        <f t="shared" si="235"/>
        <v>1</v>
      </c>
      <c r="LM41" s="272">
        <f t="shared" si="235"/>
        <v>1</v>
      </c>
      <c r="LN41" s="272">
        <f t="shared" si="235"/>
        <v>1</v>
      </c>
      <c r="LO41" s="272">
        <f t="shared" si="235"/>
        <v>1</v>
      </c>
      <c r="LR41" s="272">
        <f t="shared" ref="LR41:LV41" si="236">3/3</f>
        <v>1</v>
      </c>
      <c r="LS41" s="272">
        <f t="shared" si="236"/>
        <v>1</v>
      </c>
      <c r="LT41" s="272">
        <f t="shared" si="236"/>
        <v>1</v>
      </c>
      <c r="LU41" s="272">
        <f t="shared" si="236"/>
        <v>1</v>
      </c>
      <c r="LV41" s="272">
        <f t="shared" si="236"/>
        <v>1</v>
      </c>
      <c r="LY41" s="272">
        <f t="shared" ref="LY41:MC41" si="237">3/3</f>
        <v>1</v>
      </c>
      <c r="LZ41" s="272">
        <f t="shared" si="237"/>
        <v>1</v>
      </c>
      <c r="MA41" s="272">
        <f t="shared" si="237"/>
        <v>1</v>
      </c>
      <c r="MB41" s="272">
        <f t="shared" si="237"/>
        <v>1</v>
      </c>
      <c r="MC41" s="272">
        <f t="shared" si="237"/>
        <v>1</v>
      </c>
      <c r="MF41" s="272">
        <f t="shared" ref="MF41:MJ41" si="238">3/3</f>
        <v>1</v>
      </c>
      <c r="MG41" s="272">
        <f t="shared" si="238"/>
        <v>1</v>
      </c>
      <c r="MH41" s="272">
        <f t="shared" si="238"/>
        <v>1</v>
      </c>
      <c r="MI41" s="272">
        <f t="shared" si="238"/>
        <v>1</v>
      </c>
      <c r="MJ41" s="272">
        <f t="shared" si="238"/>
        <v>1</v>
      </c>
      <c r="MM41" s="272">
        <f t="shared" ref="MM41:MQ41" si="239">3/3</f>
        <v>1</v>
      </c>
      <c r="MN41" s="272">
        <f t="shared" si="239"/>
        <v>1</v>
      </c>
      <c r="MO41" s="272">
        <f t="shared" si="239"/>
        <v>1</v>
      </c>
      <c r="MP41" s="272">
        <f t="shared" si="239"/>
        <v>1</v>
      </c>
      <c r="MQ41" s="272">
        <f t="shared" si="239"/>
        <v>1</v>
      </c>
      <c r="MT41" s="272">
        <f t="shared" ref="MT41:MW41" si="240">3/3</f>
        <v>1</v>
      </c>
      <c r="MU41" s="272">
        <f t="shared" si="240"/>
        <v>1</v>
      </c>
      <c r="MV41" s="272">
        <f t="shared" si="240"/>
        <v>1</v>
      </c>
      <c r="MW41" s="272">
        <f t="shared" si="240"/>
        <v>1</v>
      </c>
      <c r="MX41" s="272"/>
      <c r="NB41" s="272">
        <f t="shared" ref="NB41:ND41" si="241">3/3</f>
        <v>1</v>
      </c>
      <c r="NC41" s="272">
        <f t="shared" si="241"/>
        <v>1</v>
      </c>
      <c r="ND41" s="272">
        <f t="shared" si="241"/>
        <v>1</v>
      </c>
    </row>
    <row r="42" spans="1:369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  <c r="AA42" s="241"/>
      <c r="AB42" s="241"/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  <c r="AV42" s="241"/>
      <c r="AW42" s="241"/>
      <c r="AX42" s="241"/>
      <c r="AY42" s="241"/>
      <c r="AZ42" s="241"/>
      <c r="BA42" s="241"/>
      <c r="BB42" s="241"/>
      <c r="BC42" s="241"/>
      <c r="BD42" s="241"/>
      <c r="BE42" s="241"/>
      <c r="BF42" s="241"/>
      <c r="BG42" s="241"/>
      <c r="BH42" s="241"/>
      <c r="BI42" s="241"/>
      <c r="BJ42" s="241"/>
      <c r="BK42" s="241"/>
      <c r="BL42" s="241"/>
      <c r="BM42" s="241"/>
      <c r="BN42" s="241"/>
      <c r="BO42" s="241"/>
      <c r="BP42" s="241"/>
      <c r="BQ42" s="241"/>
      <c r="BR42" s="241"/>
      <c r="BS42" s="241"/>
      <c r="BT42" s="241"/>
      <c r="BU42" s="241"/>
      <c r="BV42" s="241"/>
      <c r="BW42" s="241"/>
      <c r="BX42" s="241"/>
      <c r="BY42" s="241"/>
      <c r="BZ42" s="241"/>
      <c r="CA42" s="241"/>
      <c r="CB42" s="241"/>
      <c r="CC42" s="241"/>
      <c r="CD42" s="241"/>
      <c r="CE42" s="241"/>
      <c r="CF42" s="241"/>
      <c r="CG42" s="241"/>
      <c r="CH42" s="262"/>
      <c r="CI42" s="262"/>
      <c r="CJ42" s="262"/>
      <c r="CK42" s="262"/>
      <c r="CL42" s="262"/>
      <c r="CM42" s="262"/>
      <c r="CN42" s="262"/>
      <c r="CO42" s="262"/>
      <c r="CP42" s="262"/>
      <c r="CQ42" s="262"/>
      <c r="CR42" s="262"/>
      <c r="CS42" s="262"/>
      <c r="CT42" s="262"/>
      <c r="CU42" s="262"/>
      <c r="CV42" s="262"/>
      <c r="CW42" s="262"/>
      <c r="CX42" s="262"/>
      <c r="CY42" s="262"/>
      <c r="CZ42" s="262"/>
      <c r="DA42" s="262"/>
      <c r="DB42" s="262"/>
      <c r="DC42" s="262"/>
      <c r="DD42" s="262"/>
      <c r="DE42" s="262"/>
      <c r="DF42" s="262"/>
      <c r="DG42" s="241"/>
      <c r="DH42" s="241"/>
      <c r="DI42" s="262"/>
      <c r="DJ42" s="262"/>
      <c r="DK42" s="262"/>
      <c r="DL42" s="262"/>
      <c r="DM42" s="262"/>
      <c r="DN42" s="241"/>
      <c r="DO42" s="241"/>
      <c r="DP42" s="262"/>
      <c r="DQ42" s="262"/>
      <c r="DR42" s="262"/>
      <c r="DS42" s="262"/>
      <c r="DT42" s="262"/>
      <c r="DU42" s="241"/>
      <c r="DV42" s="241"/>
      <c r="DW42" s="241"/>
      <c r="DX42" s="262"/>
      <c r="DY42" s="262"/>
      <c r="DZ42" s="262"/>
      <c r="EA42" s="262"/>
      <c r="EB42" s="262"/>
      <c r="EC42" s="262"/>
      <c r="ED42" s="262"/>
      <c r="EE42" s="262"/>
      <c r="EF42" s="262"/>
      <c r="EG42" s="262"/>
      <c r="EH42" s="262"/>
      <c r="EI42" s="262"/>
      <c r="EJ42" s="262"/>
      <c r="EK42" s="262"/>
      <c r="EL42" s="262"/>
      <c r="EM42" s="262"/>
      <c r="EN42" s="262"/>
      <c r="EO42" s="262"/>
      <c r="EP42" s="262"/>
      <c r="EQ42" s="262"/>
      <c r="ER42" s="262"/>
      <c r="ES42" s="262"/>
      <c r="ET42" s="262"/>
      <c r="EU42" s="262"/>
      <c r="EV42" s="262"/>
      <c r="EW42" s="262"/>
      <c r="EX42" s="262"/>
      <c r="EY42" s="262"/>
      <c r="EZ42" s="262"/>
      <c r="FA42" s="262"/>
      <c r="FB42" s="262"/>
      <c r="FC42" s="262"/>
      <c r="FD42" s="262"/>
      <c r="FE42" s="262"/>
      <c r="FF42" s="262"/>
      <c r="FG42" s="262"/>
      <c r="FH42" s="262"/>
      <c r="FI42" s="262"/>
      <c r="FJ42" s="262"/>
      <c r="FK42" s="262"/>
      <c r="FL42" s="262"/>
      <c r="FM42" s="262"/>
      <c r="FN42" s="262"/>
      <c r="FO42" s="262"/>
      <c r="FP42" s="262"/>
      <c r="FQ42" s="262"/>
      <c r="FR42" s="262"/>
      <c r="FS42" s="262"/>
      <c r="FT42" s="262"/>
      <c r="FU42" s="262"/>
      <c r="FV42" s="262"/>
      <c r="FW42" s="262"/>
      <c r="FX42" s="262"/>
      <c r="FY42" s="262"/>
      <c r="FZ42" s="262"/>
      <c r="GA42" s="262"/>
      <c r="GB42" s="262"/>
      <c r="GC42" s="262"/>
      <c r="GD42" s="262"/>
      <c r="GE42" s="262"/>
      <c r="GF42" s="262"/>
      <c r="GG42" s="262"/>
      <c r="GH42" s="262"/>
      <c r="GI42" s="262"/>
      <c r="GJ42" s="262"/>
      <c r="GK42" s="262"/>
      <c r="GL42" s="262"/>
      <c r="GM42" s="262"/>
      <c r="GN42" s="262"/>
      <c r="GO42" s="262"/>
      <c r="GP42" s="262"/>
      <c r="GQ42" s="262"/>
      <c r="GR42" s="262"/>
      <c r="GS42" s="262"/>
      <c r="GT42" s="262"/>
      <c r="GU42" s="262"/>
      <c r="GV42" s="262"/>
      <c r="GW42" s="262"/>
      <c r="GX42" s="262"/>
      <c r="GY42" s="262"/>
      <c r="GZ42" s="262"/>
      <c r="HA42" s="262"/>
      <c r="HB42" s="262"/>
      <c r="HC42" s="262"/>
      <c r="HD42" s="262"/>
      <c r="HE42" s="262"/>
      <c r="HF42" s="262"/>
      <c r="HG42" s="262"/>
      <c r="HH42" s="262"/>
      <c r="HI42" s="262"/>
      <c r="HJ42" s="262"/>
      <c r="HK42" s="262"/>
      <c r="HL42" s="262"/>
      <c r="HM42" s="262"/>
      <c r="HN42" s="262"/>
      <c r="HO42" s="262"/>
      <c r="HP42" s="262"/>
      <c r="HQ42" s="262"/>
      <c r="HR42" s="262"/>
      <c r="HS42" s="262"/>
      <c r="HT42" s="262"/>
      <c r="HU42" s="262"/>
      <c r="HV42" s="262"/>
      <c r="HW42" s="262"/>
      <c r="HX42" s="262"/>
      <c r="HY42" s="262"/>
      <c r="HZ42" s="262"/>
      <c r="IA42" s="262"/>
      <c r="IB42" s="262"/>
      <c r="IC42" s="262"/>
      <c r="ID42" s="262"/>
      <c r="IE42" s="262"/>
      <c r="IF42" s="262"/>
      <c r="IG42" s="262"/>
      <c r="IH42" s="262"/>
      <c r="II42" s="262"/>
      <c r="IJ42" s="262"/>
      <c r="IK42" s="262"/>
      <c r="IL42" s="262"/>
      <c r="IM42" s="262"/>
      <c r="IN42" s="262"/>
      <c r="IO42" s="262"/>
      <c r="IP42" s="262"/>
      <c r="IQ42" s="262"/>
      <c r="IR42" s="262"/>
      <c r="IS42" s="262"/>
      <c r="IT42" s="262"/>
      <c r="IU42" s="262"/>
      <c r="IV42" s="262"/>
      <c r="IW42" s="262"/>
      <c r="IX42" s="262"/>
      <c r="IY42" s="262"/>
      <c r="IZ42" s="262"/>
      <c r="JA42" s="262"/>
      <c r="JB42" s="262"/>
      <c r="JC42" s="262"/>
      <c r="JD42" s="262"/>
      <c r="JE42" s="262"/>
      <c r="JF42" s="262"/>
      <c r="JG42" s="262"/>
      <c r="JH42" s="262"/>
      <c r="JI42" s="262"/>
      <c r="JJ42" s="262"/>
      <c r="JK42" s="262"/>
      <c r="JL42" s="262"/>
      <c r="JM42" s="262"/>
      <c r="JN42" s="262"/>
      <c r="JO42" s="262"/>
      <c r="JP42" s="262"/>
      <c r="JQ42" s="262"/>
      <c r="JR42" s="262"/>
      <c r="JS42" s="262"/>
      <c r="JT42" s="262"/>
      <c r="JU42" s="262"/>
      <c r="JV42" s="262"/>
      <c r="JW42" s="262"/>
      <c r="JX42" s="262"/>
      <c r="JY42" s="262"/>
      <c r="JZ42" s="262"/>
      <c r="KA42" s="262"/>
      <c r="KB42" s="262"/>
      <c r="KC42" s="262"/>
      <c r="KD42" s="262"/>
      <c r="KE42" s="262"/>
      <c r="KF42" s="262"/>
      <c r="KG42" s="262"/>
      <c r="KH42" s="262"/>
      <c r="KI42" s="262"/>
      <c r="KJ42" s="262"/>
      <c r="KK42" s="262"/>
      <c r="KL42" s="262"/>
      <c r="KM42" s="262"/>
      <c r="KN42" s="262"/>
      <c r="KO42" s="262"/>
      <c r="KP42" s="262"/>
      <c r="KQ42" s="262"/>
      <c r="KR42" s="262"/>
      <c r="KS42" s="262"/>
      <c r="KT42" s="262"/>
      <c r="KU42" s="262"/>
      <c r="KV42" s="262"/>
      <c r="KW42" s="262"/>
      <c r="KX42" s="262"/>
      <c r="KY42" s="262"/>
      <c r="KZ42" s="262"/>
      <c r="LA42" s="262"/>
      <c r="LB42" s="262"/>
      <c r="LC42" s="262"/>
      <c r="LD42" s="262"/>
      <c r="LE42" s="262"/>
      <c r="LF42" s="262"/>
      <c r="LG42" s="262"/>
      <c r="LH42" s="262"/>
      <c r="LI42" s="262"/>
      <c r="LJ42" s="262"/>
      <c r="LK42" s="262"/>
      <c r="LL42" s="262"/>
      <c r="LM42" s="262"/>
      <c r="LN42" s="262"/>
      <c r="LO42" s="262"/>
      <c r="LP42" s="262"/>
      <c r="LQ42" s="262"/>
      <c r="LR42" s="262"/>
      <c r="LS42" s="262"/>
      <c r="LT42" s="262"/>
      <c r="LU42" s="262"/>
      <c r="LV42" s="262"/>
      <c r="LW42" s="262"/>
      <c r="LX42" s="262"/>
      <c r="LY42" s="262"/>
      <c r="LZ42" s="262"/>
      <c r="MA42" s="262"/>
      <c r="MB42" s="262"/>
      <c r="MC42" s="262"/>
      <c r="MD42" s="262"/>
      <c r="ME42" s="262"/>
      <c r="MF42" s="262"/>
      <c r="MG42" s="262"/>
      <c r="MH42" s="262"/>
      <c r="MI42" s="262"/>
      <c r="MJ42" s="262"/>
      <c r="MK42" s="262"/>
      <c r="ML42" s="262"/>
      <c r="MM42" s="262"/>
      <c r="MN42" s="262"/>
      <c r="MO42" s="262"/>
      <c r="MP42" s="262"/>
      <c r="MQ42" s="262"/>
      <c r="MR42" s="262"/>
      <c r="MS42" s="262"/>
      <c r="MT42" s="262"/>
      <c r="MU42" s="262"/>
      <c r="MV42" s="262"/>
      <c r="MW42" s="262"/>
      <c r="MX42" s="262"/>
      <c r="MY42" s="262"/>
      <c r="MZ42" s="262"/>
      <c r="NA42" s="262"/>
      <c r="NB42" s="262"/>
      <c r="NC42" s="262"/>
      <c r="ND42" s="262"/>
      <c r="NE42" s="262"/>
    </row>
    <row r="43" spans="1:369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  <c r="AV43" s="241"/>
      <c r="AW43" s="241"/>
      <c r="AX43" s="241"/>
      <c r="AY43" s="241"/>
      <c r="AZ43" s="241"/>
      <c r="BA43" s="241"/>
      <c r="BB43" s="241"/>
      <c r="BC43" s="241"/>
      <c r="BD43" s="241"/>
      <c r="BE43" s="241"/>
      <c r="BF43" s="241"/>
      <c r="BG43" s="241"/>
      <c r="BH43" s="241"/>
      <c r="BI43" s="241"/>
      <c r="BJ43" s="241"/>
      <c r="BK43" s="241"/>
      <c r="BL43" s="241"/>
      <c r="BM43" s="241"/>
      <c r="BN43" s="241"/>
      <c r="BO43" s="241"/>
      <c r="BP43" s="241"/>
      <c r="BQ43" s="241"/>
      <c r="BR43" s="241"/>
      <c r="BS43" s="241"/>
      <c r="BT43" s="241"/>
      <c r="BU43" s="241"/>
      <c r="BV43" s="241"/>
      <c r="BW43" s="241"/>
      <c r="BX43" s="241"/>
      <c r="BY43" s="241"/>
      <c r="BZ43" s="241"/>
      <c r="CA43" s="241"/>
      <c r="CB43" s="241"/>
      <c r="CC43" s="241"/>
      <c r="CD43" s="241"/>
      <c r="CE43" s="241"/>
      <c r="CF43" s="241"/>
      <c r="CG43" s="241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41"/>
      <c r="DH43" s="241"/>
      <c r="DI43" s="262"/>
      <c r="DJ43" s="262"/>
      <c r="DK43" s="262"/>
      <c r="DL43" s="262"/>
      <c r="DM43" s="262"/>
      <c r="DN43" s="241"/>
      <c r="DO43" s="241"/>
      <c r="DP43" s="262"/>
      <c r="DQ43" s="262"/>
      <c r="DR43" s="262"/>
      <c r="DS43" s="262"/>
      <c r="DT43" s="262"/>
      <c r="DU43" s="241"/>
      <c r="DV43" s="241"/>
      <c r="DW43" s="262"/>
      <c r="DX43" s="262"/>
      <c r="DY43" s="262"/>
      <c r="DZ43" s="262"/>
      <c r="EA43" s="262"/>
      <c r="EB43" s="262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62"/>
      <c r="EO43" s="262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62"/>
      <c r="FB43" s="262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62"/>
      <c r="FO43" s="262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62"/>
      <c r="GB43" s="262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62"/>
      <c r="GO43" s="262"/>
      <c r="GP43" s="262"/>
      <c r="GQ43" s="262"/>
      <c r="GR43" s="262"/>
      <c r="GS43" s="262"/>
      <c r="GT43" s="262"/>
      <c r="GU43" s="262"/>
      <c r="GV43" s="262"/>
      <c r="GW43" s="262"/>
      <c r="GX43" s="262"/>
      <c r="GY43" s="262"/>
      <c r="GZ43" s="262"/>
      <c r="HA43" s="262"/>
      <c r="HB43" s="262"/>
      <c r="HC43" s="262"/>
      <c r="HD43" s="262"/>
      <c r="HE43" s="262"/>
      <c r="HF43" s="262"/>
      <c r="HG43" s="262"/>
      <c r="HH43" s="262"/>
      <c r="HI43" s="262"/>
      <c r="HJ43" s="262"/>
      <c r="HK43" s="262"/>
      <c r="HL43" s="262"/>
      <c r="HM43" s="262"/>
      <c r="HN43" s="262"/>
      <c r="HO43" s="262"/>
      <c r="HP43" s="262"/>
      <c r="HQ43" s="262"/>
      <c r="HR43" s="262"/>
      <c r="HS43" s="262"/>
      <c r="HT43" s="262"/>
      <c r="HU43" s="262"/>
      <c r="HV43" s="262"/>
      <c r="HW43" s="262"/>
      <c r="HX43" s="262"/>
      <c r="HY43" s="262"/>
      <c r="HZ43" s="262"/>
      <c r="IA43" s="262"/>
      <c r="IB43" s="262"/>
      <c r="IC43" s="262"/>
      <c r="ID43" s="262"/>
      <c r="IE43" s="262"/>
      <c r="IF43" s="262"/>
      <c r="IG43" s="262"/>
      <c r="IH43" s="262"/>
      <c r="II43" s="262"/>
      <c r="IJ43" s="262"/>
      <c r="IK43" s="262"/>
      <c r="IL43" s="262"/>
      <c r="IM43" s="262"/>
      <c r="IN43" s="262"/>
      <c r="IO43" s="262"/>
      <c r="IP43" s="262"/>
      <c r="IQ43" s="262"/>
      <c r="IR43" s="262"/>
      <c r="IS43" s="262"/>
      <c r="IT43" s="262"/>
      <c r="IU43" s="262"/>
      <c r="IV43" s="262"/>
      <c r="IW43" s="262"/>
      <c r="IX43" s="262"/>
      <c r="IY43" s="262"/>
      <c r="IZ43" s="262"/>
      <c r="JA43" s="262"/>
      <c r="JB43" s="262"/>
      <c r="JC43" s="262"/>
      <c r="JD43" s="262"/>
      <c r="JE43" s="262"/>
      <c r="JF43" s="262"/>
      <c r="JG43" s="262"/>
      <c r="JH43" s="262"/>
      <c r="JI43" s="262"/>
      <c r="JJ43" s="262"/>
      <c r="JK43" s="262"/>
      <c r="JL43" s="262"/>
      <c r="JM43" s="262"/>
      <c r="JN43" s="262"/>
      <c r="JO43" s="262"/>
      <c r="JP43" s="262"/>
      <c r="JQ43" s="262"/>
      <c r="JR43" s="262"/>
      <c r="JS43" s="262"/>
      <c r="JT43" s="262"/>
      <c r="JU43" s="262"/>
      <c r="JV43" s="262"/>
      <c r="JW43" s="262"/>
      <c r="JX43" s="262"/>
      <c r="JY43" s="262"/>
      <c r="JZ43" s="262"/>
      <c r="KA43" s="262"/>
      <c r="KB43" s="262"/>
      <c r="KC43" s="262"/>
      <c r="KD43" s="262"/>
      <c r="KE43" s="262"/>
      <c r="KF43" s="262"/>
      <c r="KG43" s="262"/>
      <c r="KH43" s="262"/>
      <c r="KI43" s="262"/>
      <c r="KJ43" s="262"/>
      <c r="KK43" s="262"/>
      <c r="KL43" s="262"/>
      <c r="KM43" s="262"/>
      <c r="KN43" s="262"/>
      <c r="KO43" s="262"/>
      <c r="KP43" s="262"/>
      <c r="KQ43" s="262"/>
      <c r="KR43" s="262"/>
      <c r="KS43" s="262"/>
      <c r="KT43" s="262"/>
      <c r="KU43" s="262"/>
      <c r="KV43" s="262"/>
      <c r="KW43" s="262"/>
      <c r="KX43" s="262"/>
      <c r="KY43" s="262"/>
      <c r="KZ43" s="262"/>
      <c r="LA43" s="262"/>
      <c r="LB43" s="262"/>
      <c r="LC43" s="262"/>
      <c r="LD43" s="262"/>
      <c r="LE43" s="262"/>
      <c r="LF43" s="262"/>
      <c r="LG43" s="262"/>
      <c r="LH43" s="262"/>
      <c r="LI43" s="262"/>
      <c r="LJ43" s="262"/>
      <c r="LK43" s="262"/>
      <c r="LL43" s="262"/>
      <c r="LM43" s="262"/>
      <c r="LN43" s="262"/>
      <c r="LO43" s="262"/>
      <c r="LP43" s="262"/>
      <c r="LQ43" s="262"/>
      <c r="LR43" s="262"/>
      <c r="LS43" s="262"/>
      <c r="LT43" s="262"/>
      <c r="LU43" s="262"/>
      <c r="LV43" s="262"/>
      <c r="LW43" s="262"/>
      <c r="LX43" s="262"/>
      <c r="LY43" s="262"/>
      <c r="LZ43" s="262"/>
      <c r="MA43" s="262"/>
      <c r="MB43" s="262"/>
      <c r="MC43" s="262"/>
      <c r="MD43" s="262"/>
      <c r="ME43" s="262"/>
      <c r="MF43" s="262"/>
      <c r="MG43" s="262"/>
      <c r="MH43" s="262"/>
      <c r="MI43" s="262"/>
      <c r="MJ43" s="262"/>
      <c r="MK43" s="262"/>
      <c r="ML43" s="262"/>
      <c r="MM43" s="262"/>
      <c r="MN43" s="262"/>
      <c r="MO43" s="262"/>
      <c r="MP43" s="262"/>
      <c r="MQ43" s="262"/>
      <c r="MR43" s="262"/>
      <c r="MS43" s="262"/>
      <c r="MT43" s="262"/>
      <c r="MU43" s="262"/>
      <c r="MV43" s="262"/>
      <c r="MW43" s="262"/>
      <c r="MX43" s="262"/>
      <c r="MY43" s="262"/>
      <c r="MZ43" s="262"/>
      <c r="NA43" s="262"/>
      <c r="NB43" s="262"/>
      <c r="NC43" s="262"/>
      <c r="ND43" s="262"/>
      <c r="NE43" s="262"/>
    </row>
    <row r="44" spans="1:369">
      <c r="A44" s="273" t="s">
        <v>216</v>
      </c>
      <c r="B44" s="273" t="s">
        <v>216</v>
      </c>
      <c r="C44" s="273" t="s">
        <v>366</v>
      </c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1"/>
      <c r="BS44" s="241"/>
      <c r="BT44" s="241"/>
      <c r="BU44" s="241"/>
      <c r="BV44" s="241"/>
      <c r="BW44" s="241"/>
      <c r="BX44" s="241"/>
      <c r="BY44" s="241"/>
      <c r="BZ44" s="241"/>
      <c r="CA44" s="241"/>
      <c r="CB44" s="241"/>
      <c r="CC44" s="241"/>
      <c r="CD44" s="241"/>
      <c r="CE44" s="241"/>
      <c r="CF44" s="241"/>
      <c r="CG44" s="241"/>
      <c r="CH44" s="262"/>
      <c r="CI44" s="262"/>
      <c r="CJ44" s="262"/>
      <c r="CK44" s="262"/>
      <c r="CL44" s="262"/>
      <c r="CM44" s="262"/>
      <c r="CN44" s="262"/>
      <c r="CO44" s="262"/>
      <c r="CP44" s="262"/>
      <c r="CQ44" s="262"/>
      <c r="CR44" s="262"/>
      <c r="CS44" s="262"/>
      <c r="CT44" s="262"/>
      <c r="CU44" s="262"/>
      <c r="CV44" s="262"/>
      <c r="CW44" s="262"/>
      <c r="CX44" s="262"/>
      <c r="CY44" s="262"/>
      <c r="CZ44" s="262"/>
      <c r="DA44" s="262"/>
      <c r="DB44" s="262"/>
      <c r="DC44" s="262"/>
      <c r="DD44" s="262"/>
      <c r="DE44" s="262"/>
      <c r="DF44" s="262"/>
      <c r="DG44" s="241"/>
      <c r="DH44" s="241"/>
      <c r="DI44" s="262"/>
      <c r="DJ44" s="262"/>
      <c r="DK44" s="262"/>
      <c r="DL44" s="262"/>
      <c r="DM44" s="262"/>
      <c r="DN44" s="241"/>
      <c r="DO44" s="241"/>
      <c r="DP44" s="262"/>
      <c r="DQ44" s="262"/>
      <c r="DR44" s="262"/>
      <c r="DS44" s="262"/>
      <c r="DT44" s="262"/>
      <c r="DU44" s="241"/>
      <c r="DV44" s="241"/>
      <c r="DW44" s="262"/>
      <c r="DX44" s="262"/>
      <c r="DY44" s="262"/>
      <c r="DZ44" s="262"/>
      <c r="EA44" s="262"/>
      <c r="EB44" s="262"/>
      <c r="EC44" s="262"/>
      <c r="ED44" s="262"/>
      <c r="EE44" s="262"/>
      <c r="EF44" s="262"/>
      <c r="EG44" s="262"/>
      <c r="EH44" s="262"/>
      <c r="EI44" s="262"/>
      <c r="EJ44" s="262"/>
      <c r="EK44" s="262"/>
      <c r="EL44" s="262"/>
      <c r="EM44" s="262"/>
      <c r="EN44" s="262"/>
      <c r="EO44" s="262"/>
      <c r="EP44" s="262"/>
      <c r="EQ44" s="262"/>
      <c r="ER44" s="262"/>
      <c r="ES44" s="262"/>
      <c r="ET44" s="262"/>
      <c r="EU44" s="262"/>
      <c r="EV44" s="262"/>
      <c r="EW44" s="262"/>
      <c r="EX44" s="262"/>
      <c r="EY44" s="262"/>
      <c r="EZ44" s="262"/>
      <c r="FA44" s="262"/>
      <c r="FB44" s="262"/>
      <c r="FC44" s="262"/>
      <c r="FD44" s="262"/>
      <c r="FE44" s="262"/>
      <c r="FF44" s="262"/>
      <c r="FG44" s="262"/>
      <c r="FH44" s="262"/>
      <c r="FI44" s="262"/>
      <c r="FJ44" s="262"/>
      <c r="FK44" s="262"/>
      <c r="FL44" s="262"/>
      <c r="FM44" s="262"/>
      <c r="FN44" s="262"/>
      <c r="FO44" s="262"/>
      <c r="FP44" s="262"/>
      <c r="FQ44" s="262"/>
      <c r="FR44" s="262"/>
      <c r="FS44" s="262"/>
      <c r="FT44" s="262"/>
      <c r="FU44" s="262"/>
      <c r="FV44" s="262"/>
      <c r="FW44" s="262"/>
      <c r="FX44" s="262"/>
      <c r="FY44" s="262"/>
      <c r="FZ44" s="262"/>
      <c r="GA44" s="262"/>
      <c r="GB44" s="262"/>
      <c r="GC44" s="262"/>
      <c r="GD44" s="262"/>
      <c r="GE44" s="262"/>
      <c r="GF44" s="262"/>
      <c r="GG44" s="262"/>
      <c r="GH44" s="262"/>
      <c r="GI44" s="262"/>
      <c r="GJ44" s="262"/>
      <c r="GK44" s="262"/>
      <c r="GL44" s="262"/>
      <c r="GM44" s="262"/>
      <c r="GN44" s="262"/>
      <c r="GO44" s="262"/>
      <c r="GP44" s="262"/>
      <c r="GQ44" s="262"/>
      <c r="GR44" s="262"/>
      <c r="GS44" s="262"/>
      <c r="GT44" s="262"/>
      <c r="GU44" s="262"/>
      <c r="GV44" s="262"/>
      <c r="GW44" s="262"/>
      <c r="GX44" s="262"/>
      <c r="GY44" s="262"/>
      <c r="GZ44" s="262"/>
      <c r="HA44" s="262"/>
      <c r="HB44" s="262"/>
      <c r="HC44" s="262"/>
      <c r="HD44" s="262"/>
      <c r="HE44" s="262"/>
      <c r="HF44" s="262"/>
      <c r="HG44" s="262"/>
      <c r="HH44" s="262"/>
      <c r="HI44" s="262"/>
      <c r="HJ44" s="262"/>
      <c r="HK44" s="262"/>
      <c r="HL44" s="262"/>
      <c r="HM44" s="262"/>
      <c r="HN44" s="262"/>
      <c r="HO44" s="262"/>
      <c r="HP44" s="262"/>
      <c r="HQ44" s="262"/>
      <c r="HR44" s="262"/>
      <c r="HS44" s="262"/>
      <c r="HT44" s="262"/>
      <c r="HU44" s="262"/>
      <c r="HV44" s="262"/>
      <c r="HW44" s="262"/>
      <c r="HX44" s="262"/>
      <c r="HY44" s="262"/>
      <c r="HZ44" s="262"/>
      <c r="IA44" s="262"/>
      <c r="IB44" s="262"/>
      <c r="IC44" s="262"/>
      <c r="ID44" s="262"/>
      <c r="IE44" s="262"/>
      <c r="IF44" s="262"/>
      <c r="IG44" s="262"/>
      <c r="IH44" s="262"/>
      <c r="II44" s="262"/>
      <c r="IJ44" s="262"/>
      <c r="IK44" s="262"/>
      <c r="IL44" s="262"/>
      <c r="IM44" s="262"/>
      <c r="IN44" s="262"/>
      <c r="IO44" s="262"/>
      <c r="IP44" s="262"/>
      <c r="IQ44" s="262"/>
      <c r="IR44" s="262"/>
      <c r="IS44" s="262"/>
      <c r="IT44" s="262"/>
      <c r="IU44" s="262"/>
      <c r="IV44" s="262"/>
      <c r="IW44" s="262"/>
      <c r="IX44" s="262"/>
      <c r="IY44" s="262"/>
      <c r="IZ44" s="262"/>
      <c r="JA44" s="262"/>
      <c r="JB44" s="262"/>
      <c r="JC44" s="262"/>
      <c r="JD44" s="262"/>
      <c r="JE44" s="262"/>
      <c r="JF44" s="262"/>
      <c r="JG44" s="262"/>
      <c r="JH44" s="262"/>
      <c r="JI44" s="262"/>
      <c r="JJ44" s="262"/>
      <c r="JK44" s="262"/>
      <c r="JL44" s="262"/>
      <c r="JM44" s="262"/>
      <c r="JN44" s="262"/>
      <c r="JO44" s="262"/>
      <c r="JP44" s="262"/>
      <c r="JQ44" s="262"/>
      <c r="JR44" s="262"/>
      <c r="JS44" s="262"/>
      <c r="JT44" s="262"/>
      <c r="JU44" s="262"/>
      <c r="JV44" s="262"/>
      <c r="JW44" s="262"/>
      <c r="JX44" s="262"/>
      <c r="JY44" s="262"/>
      <c r="JZ44" s="262"/>
      <c r="KA44" s="262"/>
      <c r="KB44" s="262"/>
      <c r="KC44" s="262"/>
      <c r="KD44" s="262"/>
      <c r="KE44" s="262"/>
      <c r="KF44" s="262"/>
      <c r="KG44" s="262"/>
      <c r="KH44" s="262"/>
      <c r="KI44" s="262"/>
      <c r="KJ44" s="262"/>
      <c r="KK44" s="262"/>
      <c r="KL44" s="262"/>
      <c r="KM44" s="262"/>
      <c r="KN44" s="262"/>
      <c r="KO44" s="262"/>
      <c r="KP44" s="262"/>
      <c r="KQ44" s="262"/>
      <c r="KR44" s="262"/>
      <c r="KS44" s="262"/>
      <c r="KT44" s="262"/>
      <c r="KU44" s="262"/>
      <c r="KV44" s="262"/>
      <c r="KW44" s="262"/>
      <c r="KX44" s="262"/>
      <c r="KY44" s="262"/>
      <c r="KZ44" s="262"/>
      <c r="LA44" s="262"/>
      <c r="LB44" s="262"/>
      <c r="LC44" s="262"/>
      <c r="LD44" s="262"/>
      <c r="LE44" s="262"/>
      <c r="LF44" s="262"/>
      <c r="LG44" s="262"/>
      <c r="LH44" s="262"/>
      <c r="LI44" s="262"/>
      <c r="LJ44" s="262"/>
      <c r="LK44" s="262"/>
      <c r="LL44" s="262"/>
      <c r="LM44" s="262"/>
      <c r="LN44" s="262"/>
      <c r="LO44" s="262"/>
      <c r="LP44" s="262"/>
      <c r="LQ44" s="262"/>
      <c r="LR44" s="262"/>
      <c r="LS44" s="262"/>
      <c r="LT44" s="262"/>
      <c r="LU44" s="262"/>
      <c r="LV44" s="262"/>
      <c r="LW44" s="262"/>
      <c r="LX44" s="262"/>
      <c r="LY44" s="262"/>
      <c r="LZ44" s="262"/>
      <c r="MA44" s="262"/>
      <c r="MB44" s="262"/>
      <c r="MC44" s="262"/>
      <c r="MD44" s="262"/>
      <c r="ME44" s="262"/>
      <c r="MF44" s="262"/>
      <c r="MG44" s="262"/>
      <c r="MH44" s="262"/>
      <c r="MI44" s="262"/>
      <c r="MJ44" s="262"/>
      <c r="MK44" s="262"/>
      <c r="ML44" s="262"/>
      <c r="MM44" s="262"/>
      <c r="MN44" s="262"/>
      <c r="MO44" s="262"/>
      <c r="MP44" s="262"/>
      <c r="MQ44" s="262"/>
      <c r="MR44" s="262"/>
      <c r="MS44" s="262"/>
      <c r="MT44" s="262"/>
      <c r="MU44" s="262"/>
      <c r="MV44" s="262"/>
      <c r="MW44" s="262"/>
      <c r="MX44" s="262"/>
      <c r="MY44" s="262"/>
      <c r="MZ44" s="262"/>
      <c r="NA44" s="262"/>
      <c r="NB44" s="262"/>
      <c r="NC44" s="262"/>
      <c r="ND44" s="262"/>
      <c r="NE44" s="262"/>
    </row>
    <row r="45" spans="1:369">
      <c r="A45" s="241" t="s">
        <v>367</v>
      </c>
      <c r="B45" s="246" t="s">
        <v>218</v>
      </c>
      <c r="C45" s="241" t="e" cm="1">
        <f t="array" aca="1" ref="C45" ca="1">COUNTINGCOLOURS(IL3:NC31, B45)</f>
        <v>#NAME?</v>
      </c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  <c r="AA45" s="241"/>
      <c r="AB45" s="241"/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  <c r="AV45" s="241"/>
      <c r="AW45" s="241"/>
      <c r="AX45" s="241"/>
      <c r="AY45" s="241"/>
      <c r="AZ45" s="241"/>
      <c r="BA45" s="241"/>
      <c r="BB45" s="241"/>
      <c r="BC45" s="241"/>
      <c r="BD45" s="241"/>
      <c r="BE45" s="241"/>
      <c r="BF45" s="241"/>
      <c r="BG45" s="241"/>
      <c r="BH45" s="241"/>
      <c r="BI45" s="241"/>
      <c r="BJ45" s="241"/>
      <c r="BK45" s="241"/>
      <c r="BL45" s="241"/>
      <c r="BM45" s="241"/>
      <c r="BN45" s="241"/>
      <c r="BO45" s="241"/>
      <c r="BP45" s="241"/>
      <c r="BQ45" s="241"/>
      <c r="BR45" s="241"/>
      <c r="BS45" s="241"/>
      <c r="BT45" s="241"/>
      <c r="BU45" s="241"/>
      <c r="BV45" s="241"/>
      <c r="BW45" s="241"/>
      <c r="BX45" s="241"/>
      <c r="BY45" s="241"/>
      <c r="BZ45" s="241"/>
      <c r="CA45" s="241"/>
      <c r="CB45" s="241"/>
      <c r="CC45" s="241"/>
      <c r="CD45" s="241"/>
      <c r="CE45" s="241"/>
      <c r="CF45" s="241"/>
      <c r="CG45" s="241"/>
      <c r="CH45" s="262"/>
      <c r="CI45" s="262"/>
      <c r="CJ45" s="262"/>
      <c r="CK45" s="262"/>
      <c r="CL45" s="262"/>
      <c r="CM45" s="262"/>
      <c r="CN45" s="262"/>
      <c r="CO45" s="262"/>
      <c r="CP45" s="262"/>
      <c r="CQ45" s="262"/>
      <c r="CR45" s="262"/>
      <c r="CS45" s="262"/>
      <c r="CT45" s="262"/>
      <c r="CU45" s="262"/>
      <c r="CV45" s="262"/>
      <c r="CW45" s="262"/>
      <c r="CX45" s="262"/>
      <c r="CY45" s="262"/>
      <c r="CZ45" s="262"/>
      <c r="DA45" s="262"/>
      <c r="DB45" s="262"/>
      <c r="DC45" s="262"/>
      <c r="DD45" s="262"/>
      <c r="DE45" s="262"/>
      <c r="DF45" s="262"/>
      <c r="DG45" s="241"/>
      <c r="DH45" s="241"/>
      <c r="DI45" s="262"/>
      <c r="DJ45" s="262"/>
      <c r="DK45" s="262"/>
      <c r="DL45" s="262"/>
      <c r="DM45" s="262"/>
      <c r="DN45" s="241"/>
      <c r="DO45" s="241"/>
      <c r="DP45" s="262"/>
      <c r="DQ45" s="262"/>
      <c r="DR45" s="262"/>
      <c r="DS45" s="262"/>
      <c r="DT45" s="262"/>
      <c r="DU45" s="241"/>
      <c r="DV45" s="241"/>
      <c r="DW45" s="262"/>
      <c r="DX45" s="262"/>
      <c r="DY45" s="262"/>
      <c r="DZ45" s="262"/>
      <c r="EA45" s="262"/>
      <c r="EB45" s="262"/>
      <c r="EC45" s="262"/>
      <c r="ED45" s="262"/>
      <c r="EE45" s="262"/>
      <c r="EF45" s="262"/>
      <c r="EG45" s="262"/>
      <c r="EH45" s="262"/>
      <c r="EI45" s="262"/>
      <c r="EJ45" s="262"/>
      <c r="EK45" s="262"/>
      <c r="EL45" s="262"/>
      <c r="EM45" s="262"/>
      <c r="EN45" s="262"/>
      <c r="EO45" s="262"/>
      <c r="EP45" s="262"/>
      <c r="EQ45" s="262"/>
      <c r="ER45" s="262"/>
      <c r="ES45" s="262"/>
      <c r="ET45" s="262"/>
      <c r="EU45" s="262"/>
      <c r="EV45" s="262"/>
      <c r="EW45" s="262"/>
      <c r="EX45" s="262"/>
      <c r="EY45" s="262"/>
      <c r="EZ45" s="262"/>
      <c r="FA45" s="262"/>
      <c r="FB45" s="262"/>
      <c r="FC45" s="262"/>
      <c r="FD45" s="262"/>
      <c r="FE45" s="262"/>
      <c r="FF45" s="262"/>
      <c r="FG45" s="262"/>
      <c r="FH45" s="262"/>
      <c r="FI45" s="262"/>
      <c r="FJ45" s="262"/>
      <c r="FK45" s="262"/>
      <c r="FL45" s="262"/>
      <c r="FM45" s="262"/>
      <c r="FN45" s="262"/>
      <c r="FO45" s="262"/>
      <c r="FP45" s="262"/>
      <c r="FQ45" s="262"/>
      <c r="FR45" s="262"/>
      <c r="FS45" s="262"/>
      <c r="FT45" s="262"/>
      <c r="FU45" s="262"/>
      <c r="FV45" s="262"/>
      <c r="FW45" s="262"/>
      <c r="FX45" s="262"/>
      <c r="FY45" s="262"/>
      <c r="FZ45" s="262"/>
      <c r="GA45" s="262"/>
      <c r="GB45" s="262"/>
      <c r="GC45" s="262"/>
      <c r="GD45" s="262"/>
      <c r="GE45" s="262"/>
      <c r="GF45" s="262"/>
      <c r="GG45" s="262"/>
      <c r="GH45" s="262"/>
      <c r="GI45" s="262"/>
      <c r="GJ45" s="262"/>
      <c r="GK45" s="262"/>
      <c r="GL45" s="262"/>
      <c r="GM45" s="262"/>
      <c r="GN45" s="262"/>
      <c r="GO45" s="262"/>
      <c r="GP45" s="262"/>
      <c r="GQ45" s="262"/>
      <c r="GR45" s="262"/>
      <c r="GS45" s="262"/>
      <c r="GT45" s="262"/>
      <c r="GU45" s="262"/>
      <c r="GV45" s="262"/>
      <c r="GW45" s="262"/>
      <c r="GX45" s="262"/>
      <c r="GY45" s="262"/>
      <c r="GZ45" s="262"/>
      <c r="HA45" s="262"/>
      <c r="HB45" s="262"/>
      <c r="HC45" s="262"/>
      <c r="HD45" s="262"/>
      <c r="HE45" s="262"/>
      <c r="HF45" s="262"/>
      <c r="HG45" s="262"/>
      <c r="HH45" s="262"/>
      <c r="HI45" s="262"/>
      <c r="HJ45" s="262"/>
      <c r="HK45" s="262"/>
      <c r="HL45" s="262"/>
      <c r="HM45" s="262"/>
      <c r="HN45" s="262"/>
      <c r="HO45" s="262"/>
      <c r="HP45" s="262"/>
      <c r="HQ45" s="262"/>
      <c r="HR45" s="262"/>
      <c r="HS45" s="262"/>
      <c r="HT45" s="262"/>
      <c r="HU45" s="262"/>
      <c r="HV45" s="262"/>
      <c r="HW45" s="262"/>
      <c r="HX45" s="262"/>
      <c r="HY45" s="262"/>
      <c r="HZ45" s="262"/>
      <c r="IA45" s="262"/>
      <c r="IB45" s="262"/>
      <c r="IC45" s="262"/>
      <c r="ID45" s="262"/>
      <c r="IE45" s="262"/>
      <c r="IF45" s="262"/>
      <c r="IG45" s="262"/>
      <c r="IH45" s="262"/>
      <c r="II45" s="262"/>
      <c r="IJ45" s="262"/>
      <c r="IK45" s="262"/>
      <c r="IL45" s="262"/>
      <c r="IM45" s="262"/>
      <c r="IN45" s="262"/>
      <c r="IO45" s="262"/>
      <c r="IP45" s="262"/>
      <c r="IQ45" s="262"/>
      <c r="IR45" s="262"/>
      <c r="IS45" s="262"/>
      <c r="IT45" s="262"/>
      <c r="IU45" s="262"/>
      <c r="IV45" s="262"/>
      <c r="IW45" s="262"/>
      <c r="IX45" s="262"/>
      <c r="IY45" s="262"/>
      <c r="IZ45" s="262"/>
      <c r="JA45" s="262"/>
      <c r="JB45" s="262"/>
      <c r="JC45" s="262"/>
      <c r="JD45" s="262"/>
      <c r="JE45" s="262"/>
      <c r="JF45" s="262"/>
      <c r="JG45" s="262"/>
      <c r="JH45" s="262"/>
      <c r="JI45" s="262"/>
      <c r="JJ45" s="262"/>
      <c r="JK45" s="262"/>
      <c r="JL45" s="262"/>
      <c r="JM45" s="262"/>
      <c r="JN45" s="262"/>
      <c r="JO45" s="262"/>
      <c r="JP45" s="262"/>
      <c r="JQ45" s="262"/>
      <c r="JR45" s="262"/>
      <c r="JS45" s="262"/>
      <c r="JT45" s="262"/>
      <c r="JU45" s="262"/>
      <c r="JV45" s="262"/>
      <c r="JW45" s="262"/>
      <c r="JX45" s="262"/>
      <c r="JY45" s="262"/>
      <c r="JZ45" s="262"/>
      <c r="KA45" s="262"/>
      <c r="KB45" s="262"/>
      <c r="KC45" s="262"/>
      <c r="KD45" s="262"/>
      <c r="KE45" s="262"/>
      <c r="KF45" s="262"/>
      <c r="KG45" s="262"/>
      <c r="KH45" s="262"/>
      <c r="KI45" s="262"/>
      <c r="KJ45" s="262"/>
      <c r="KK45" s="262"/>
      <c r="KL45" s="262"/>
      <c r="KM45" s="262"/>
      <c r="KN45" s="262"/>
      <c r="KO45" s="262"/>
      <c r="KP45" s="262"/>
      <c r="KQ45" s="262"/>
      <c r="KR45" s="262"/>
      <c r="KS45" s="262"/>
      <c r="KT45" s="262"/>
      <c r="KU45" s="262"/>
      <c r="KV45" s="262"/>
      <c r="KW45" s="262"/>
      <c r="KX45" s="262"/>
      <c r="KY45" s="262"/>
      <c r="KZ45" s="262"/>
      <c r="LA45" s="262"/>
      <c r="LB45" s="262"/>
      <c r="LC45" s="262"/>
      <c r="LD45" s="262"/>
      <c r="LE45" s="262"/>
      <c r="LF45" s="262"/>
      <c r="LG45" s="262"/>
      <c r="LH45" s="262"/>
      <c r="LI45" s="262"/>
      <c r="LJ45" s="262"/>
      <c r="LK45" s="262"/>
      <c r="LL45" s="262"/>
      <c r="LM45" s="262"/>
      <c r="LN45" s="262"/>
      <c r="LO45" s="262"/>
      <c r="LP45" s="262"/>
      <c r="LQ45" s="262"/>
      <c r="LR45" s="262"/>
      <c r="LS45" s="262"/>
      <c r="LT45" s="262"/>
      <c r="LU45" s="262"/>
      <c r="LV45" s="262"/>
      <c r="LW45" s="262"/>
      <c r="LX45" s="262"/>
      <c r="LY45" s="262"/>
      <c r="LZ45" s="262"/>
      <c r="MA45" s="262"/>
      <c r="MB45" s="262"/>
      <c r="MC45" s="262"/>
      <c r="MD45" s="262"/>
      <c r="ME45" s="262"/>
      <c r="MF45" s="262"/>
      <c r="MG45" s="262"/>
      <c r="MH45" s="262"/>
      <c r="MI45" s="262"/>
      <c r="MJ45" s="262"/>
      <c r="MK45" s="262"/>
      <c r="ML45" s="262"/>
      <c r="MM45" s="262"/>
      <c r="MN45" s="262"/>
      <c r="MO45" s="262"/>
      <c r="MP45" s="262"/>
      <c r="MQ45" s="262"/>
      <c r="MR45" s="262"/>
      <c r="MS45" s="262"/>
      <c r="MT45" s="262"/>
      <c r="MU45" s="262"/>
      <c r="MV45" s="262"/>
      <c r="MW45" s="262"/>
      <c r="MX45" s="262"/>
      <c r="MY45" s="262"/>
      <c r="MZ45" s="262"/>
      <c r="NA45" s="262"/>
      <c r="NB45" s="262"/>
      <c r="NC45" s="262"/>
      <c r="ND45" s="262"/>
      <c r="NE45" s="262"/>
    </row>
    <row r="46" spans="1:369">
      <c r="A46" s="241" t="s">
        <v>368</v>
      </c>
      <c r="B46" s="248" t="s">
        <v>140</v>
      </c>
      <c r="C46" s="241" t="e" cm="1">
        <f t="array" aca="1" ref="C46" ca="1">COUNTINGCOLOURS(IL4:NC32, B46)</f>
        <v>#NAME?</v>
      </c>
      <c r="D46" s="274" t="s">
        <v>220</v>
      </c>
      <c r="E46" s="275" t="s">
        <v>3</v>
      </c>
      <c r="F46" s="275" t="s">
        <v>221</v>
      </c>
      <c r="G46" s="275" t="s">
        <v>222</v>
      </c>
      <c r="H46" s="275" t="s">
        <v>6</v>
      </c>
      <c r="I46" s="275" t="s">
        <v>369</v>
      </c>
      <c r="J46" s="275" t="s">
        <v>370</v>
      </c>
      <c r="K46" s="275" t="s">
        <v>371</v>
      </c>
      <c r="L46" s="275" t="s">
        <v>372</v>
      </c>
      <c r="M46" s="275" t="s">
        <v>373</v>
      </c>
      <c r="N46" s="275" t="s">
        <v>374</v>
      </c>
      <c r="O46" s="275" t="s">
        <v>375</v>
      </c>
      <c r="P46" s="276" t="s">
        <v>376</v>
      </c>
      <c r="Q46" s="241"/>
      <c r="R46" s="241"/>
      <c r="S46" s="241"/>
      <c r="T46" s="241"/>
      <c r="U46" s="241"/>
      <c r="V46" s="241"/>
      <c r="W46" s="241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41"/>
      <c r="AV46" s="241"/>
      <c r="AW46" s="241"/>
      <c r="AX46" s="241"/>
      <c r="AY46" s="241"/>
      <c r="AZ46" s="241"/>
      <c r="BA46" s="241"/>
      <c r="BB46" s="241"/>
      <c r="BC46" s="241"/>
      <c r="BD46" s="241"/>
      <c r="BE46" s="241"/>
      <c r="BF46" s="241"/>
      <c r="BG46" s="241"/>
      <c r="BH46" s="241"/>
      <c r="BI46" s="241"/>
      <c r="BJ46" s="241"/>
      <c r="BK46" s="241"/>
      <c r="BL46" s="241"/>
      <c r="BM46" s="241"/>
      <c r="BN46" s="241"/>
      <c r="BO46" s="241"/>
      <c r="BP46" s="241"/>
      <c r="BQ46" s="241"/>
      <c r="BR46" s="241"/>
      <c r="BS46" s="241"/>
      <c r="BT46" s="241"/>
      <c r="BU46" s="241"/>
      <c r="BV46" s="241"/>
      <c r="BW46" s="241"/>
      <c r="BX46" s="241"/>
      <c r="BY46" s="241"/>
      <c r="BZ46" s="241"/>
      <c r="CA46" s="241"/>
      <c r="CB46" s="241"/>
      <c r="CC46" s="241"/>
      <c r="CD46" s="241"/>
      <c r="CE46" s="241"/>
      <c r="CF46" s="241"/>
      <c r="CG46" s="241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  <c r="CU46" s="262"/>
      <c r="CV46" s="262"/>
      <c r="CW46" s="262"/>
      <c r="CX46" s="262"/>
      <c r="CY46" s="262"/>
      <c r="CZ46" s="262"/>
      <c r="DA46" s="262"/>
      <c r="DB46" s="262"/>
      <c r="DC46" s="262"/>
      <c r="DD46" s="262"/>
      <c r="DE46" s="262"/>
      <c r="DF46" s="262"/>
      <c r="DG46" s="241"/>
      <c r="DH46" s="241"/>
      <c r="DI46" s="262"/>
      <c r="DJ46" s="262"/>
      <c r="DK46" s="262"/>
      <c r="DL46" s="262"/>
      <c r="DM46" s="262"/>
      <c r="DN46" s="241"/>
      <c r="DO46" s="241"/>
      <c r="DP46" s="262"/>
      <c r="DQ46" s="262"/>
      <c r="DR46" s="262"/>
      <c r="DS46" s="262"/>
      <c r="DT46" s="262"/>
      <c r="DU46" s="241"/>
      <c r="DV46" s="241"/>
      <c r="DW46" s="262"/>
      <c r="DX46" s="262"/>
      <c r="DY46" s="262"/>
      <c r="DZ46" s="262"/>
      <c r="EA46" s="262"/>
      <c r="EB46" s="262"/>
      <c r="EC46" s="262"/>
      <c r="ED46" s="262"/>
      <c r="EE46" s="262"/>
      <c r="EF46" s="262"/>
      <c r="EG46" s="262"/>
      <c r="EH46" s="262"/>
      <c r="EI46" s="262"/>
      <c r="EJ46" s="262"/>
      <c r="EK46" s="262"/>
      <c r="EL46" s="262"/>
      <c r="EM46" s="262"/>
      <c r="EN46" s="262"/>
      <c r="EO46" s="262"/>
      <c r="EP46" s="262"/>
      <c r="EQ46" s="262"/>
      <c r="ER46" s="262"/>
      <c r="ES46" s="262"/>
      <c r="ET46" s="262"/>
      <c r="EU46" s="262"/>
      <c r="EV46" s="262"/>
      <c r="EW46" s="262"/>
      <c r="EX46" s="262"/>
      <c r="EY46" s="262"/>
      <c r="EZ46" s="262"/>
      <c r="FA46" s="262"/>
      <c r="FB46" s="262"/>
      <c r="FC46" s="262"/>
      <c r="FD46" s="262"/>
      <c r="FE46" s="262"/>
      <c r="FF46" s="262"/>
      <c r="FG46" s="262"/>
      <c r="FH46" s="262"/>
      <c r="FI46" s="262"/>
      <c r="FJ46" s="262"/>
      <c r="FK46" s="262"/>
      <c r="FL46" s="262"/>
      <c r="FM46" s="262"/>
      <c r="FN46" s="262"/>
      <c r="FO46" s="262"/>
      <c r="FP46" s="262"/>
      <c r="FQ46" s="262"/>
      <c r="FR46" s="262"/>
      <c r="FS46" s="262"/>
      <c r="FT46" s="262"/>
      <c r="FU46" s="262"/>
      <c r="FV46" s="262"/>
      <c r="FW46" s="262"/>
      <c r="FX46" s="262"/>
      <c r="FY46" s="262"/>
      <c r="FZ46" s="262"/>
      <c r="GA46" s="262"/>
      <c r="GB46" s="262"/>
      <c r="GC46" s="262"/>
      <c r="GD46" s="262"/>
      <c r="GE46" s="262"/>
      <c r="GF46" s="262"/>
      <c r="GG46" s="262"/>
      <c r="GH46" s="262"/>
      <c r="GI46" s="262"/>
      <c r="GJ46" s="262"/>
      <c r="GK46" s="262"/>
      <c r="GL46" s="262"/>
      <c r="GM46" s="262"/>
      <c r="GN46" s="262"/>
      <c r="GO46" s="262"/>
      <c r="GP46" s="262"/>
      <c r="GQ46" s="262"/>
      <c r="GR46" s="262"/>
      <c r="GS46" s="262"/>
      <c r="GT46" s="262"/>
      <c r="GU46" s="262"/>
      <c r="GV46" s="262"/>
      <c r="GW46" s="262"/>
      <c r="GX46" s="262"/>
      <c r="GY46" s="262"/>
      <c r="GZ46" s="262"/>
      <c r="HA46" s="262"/>
      <c r="HB46" s="262"/>
      <c r="HC46" s="262"/>
      <c r="HD46" s="262"/>
      <c r="HE46" s="262"/>
      <c r="HF46" s="262"/>
      <c r="HG46" s="262"/>
      <c r="HH46" s="262"/>
      <c r="HI46" s="262"/>
      <c r="HJ46" s="262"/>
      <c r="HK46" s="262"/>
      <c r="HL46" s="262"/>
      <c r="HM46" s="262"/>
      <c r="HN46" s="262"/>
      <c r="HO46" s="262"/>
      <c r="HP46" s="262"/>
      <c r="HQ46" s="262"/>
      <c r="HR46" s="262"/>
      <c r="HS46" s="262"/>
      <c r="HT46" s="262"/>
      <c r="HU46" s="262"/>
      <c r="HV46" s="262"/>
      <c r="HW46" s="262"/>
      <c r="HX46" s="262"/>
      <c r="HY46" s="262"/>
      <c r="HZ46" s="262"/>
      <c r="IA46" s="262"/>
      <c r="IB46" s="262"/>
      <c r="IC46" s="262"/>
      <c r="ID46" s="262"/>
      <c r="IE46" s="262"/>
      <c r="IF46" s="262"/>
      <c r="IG46" s="262"/>
      <c r="IH46" s="262"/>
      <c r="II46" s="262"/>
      <c r="IJ46" s="262"/>
      <c r="IK46" s="262"/>
      <c r="IL46" s="262"/>
      <c r="IM46" s="262"/>
      <c r="IN46" s="262"/>
      <c r="IO46" s="262"/>
      <c r="IP46" s="262"/>
      <c r="IQ46" s="262"/>
      <c r="IR46" s="262"/>
      <c r="IS46" s="262"/>
      <c r="IT46" s="262"/>
      <c r="IU46" s="262"/>
      <c r="IV46" s="262"/>
      <c r="IW46" s="262"/>
      <c r="IX46" s="262"/>
      <c r="IY46" s="262"/>
      <c r="IZ46" s="262"/>
      <c r="JA46" s="262"/>
      <c r="JB46" s="262"/>
      <c r="JC46" s="262"/>
      <c r="JD46" s="262"/>
      <c r="JE46" s="262"/>
      <c r="JF46" s="262"/>
      <c r="JG46" s="262"/>
      <c r="JH46" s="262"/>
      <c r="JI46" s="262"/>
      <c r="JJ46" s="262"/>
      <c r="JK46" s="262"/>
      <c r="JL46" s="262"/>
      <c r="JM46" s="262"/>
      <c r="JN46" s="262"/>
      <c r="JO46" s="262"/>
      <c r="JP46" s="262"/>
      <c r="JQ46" s="262"/>
      <c r="JR46" s="262"/>
      <c r="JS46" s="262"/>
      <c r="JT46" s="262"/>
      <c r="JU46" s="262"/>
      <c r="JV46" s="262"/>
      <c r="JW46" s="262"/>
      <c r="JX46" s="262"/>
      <c r="JY46" s="262"/>
      <c r="JZ46" s="262"/>
      <c r="KA46" s="262"/>
      <c r="KB46" s="262"/>
      <c r="KC46" s="262"/>
      <c r="KD46" s="262"/>
      <c r="KE46" s="262"/>
      <c r="KF46" s="262"/>
      <c r="KG46" s="262"/>
      <c r="KH46" s="262"/>
      <c r="KI46" s="262"/>
      <c r="KJ46" s="262"/>
      <c r="KK46" s="262"/>
      <c r="KL46" s="262"/>
      <c r="KM46" s="262"/>
      <c r="KN46" s="262"/>
      <c r="KO46" s="262"/>
      <c r="KP46" s="262"/>
      <c r="KQ46" s="262"/>
      <c r="KR46" s="262"/>
      <c r="KS46" s="262"/>
      <c r="KT46" s="262"/>
      <c r="KU46" s="262"/>
      <c r="KV46" s="262"/>
      <c r="KW46" s="262"/>
      <c r="KX46" s="262"/>
      <c r="KY46" s="262"/>
      <c r="KZ46" s="262"/>
      <c r="LA46" s="262"/>
      <c r="LB46" s="262"/>
      <c r="LC46" s="262"/>
      <c r="LD46" s="262"/>
      <c r="LE46" s="262"/>
      <c r="LF46" s="262"/>
      <c r="LG46" s="262"/>
      <c r="LH46" s="262"/>
      <c r="LI46" s="262"/>
      <c r="LJ46" s="262"/>
      <c r="LK46" s="262"/>
      <c r="LL46" s="262"/>
      <c r="LM46" s="262"/>
      <c r="LN46" s="262"/>
      <c r="LO46" s="262"/>
      <c r="LP46" s="262"/>
      <c r="LQ46" s="262"/>
      <c r="LR46" s="262"/>
      <c r="LS46" s="262"/>
      <c r="LT46" s="262"/>
      <c r="LU46" s="262"/>
      <c r="LV46" s="262"/>
      <c r="LW46" s="262"/>
      <c r="LX46" s="262"/>
      <c r="LY46" s="262"/>
      <c r="LZ46" s="262"/>
      <c r="MA46" s="262"/>
      <c r="MB46" s="262"/>
      <c r="MC46" s="262"/>
      <c r="MD46" s="262"/>
      <c r="ME46" s="262"/>
      <c r="MF46" s="262"/>
      <c r="MG46" s="262"/>
      <c r="MH46" s="262"/>
      <c r="MI46" s="262"/>
      <c r="MJ46" s="262"/>
      <c r="MK46" s="262"/>
      <c r="ML46" s="262"/>
      <c r="MM46" s="262"/>
      <c r="MN46" s="262"/>
      <c r="MO46" s="262"/>
      <c r="MP46" s="262"/>
      <c r="MQ46" s="262"/>
      <c r="MR46" s="262"/>
      <c r="MS46" s="262"/>
      <c r="MT46" s="262"/>
      <c r="MU46" s="262"/>
      <c r="MV46" s="262"/>
      <c r="MW46" s="262"/>
      <c r="MX46" s="262"/>
      <c r="MY46" s="262"/>
      <c r="MZ46" s="262"/>
      <c r="NA46" s="262"/>
      <c r="NB46" s="262"/>
      <c r="NC46" s="262"/>
      <c r="ND46" s="262"/>
      <c r="NE46" s="262"/>
    </row>
    <row r="47" spans="1:369">
      <c r="A47" s="241" t="s">
        <v>377</v>
      </c>
      <c r="B47" s="277" t="s">
        <v>378</v>
      </c>
      <c r="C47" s="241" t="e" cm="1">
        <f t="array" aca="1" ref="C47" ca="1">COUNTINGCOLOURS(IL5:NC33, B47)</f>
        <v>#NAME?</v>
      </c>
      <c r="D47" s="264">
        <f>AVERAGE(D37:AG37)</f>
        <v>0.69523809523809521</v>
      </c>
      <c r="E47" s="264">
        <f>AVERAGE(AH38:BI38)</f>
        <v>0.88124999999999998</v>
      </c>
      <c r="F47" s="278">
        <f>AVERAGE(BL38:CN38)</f>
        <v>0.83333333333333337</v>
      </c>
      <c r="G47" s="278">
        <f>AVERAGE(CP38:DR38)</f>
        <v>0.99013157894736847</v>
      </c>
      <c r="H47" s="278">
        <f>AVERAGE(DS38:EW38)</f>
        <v>0.97499999999999998</v>
      </c>
      <c r="I47" s="278">
        <f>AVERAGE(ES38:GA38)</f>
        <v>0.99</v>
      </c>
      <c r="J47" s="278">
        <f>AVERAGE(GB38:HF38)</f>
        <v>1</v>
      </c>
      <c r="K47" s="278">
        <f>AVERAGE(HG38:IK38)</f>
        <v>1</v>
      </c>
      <c r="L47" s="278">
        <f>AVERAGE(IL38:JO38)</f>
        <v>1</v>
      </c>
      <c r="M47" s="278">
        <f>AVERAGE(JP38:KT38)</f>
        <v>1</v>
      </c>
      <c r="N47" s="278">
        <f>AVERAGE(KU38:LX38)</f>
        <v>0.88124999999999998</v>
      </c>
      <c r="O47" s="278">
        <f>AVERAGE(LY38:NC38)</f>
        <v>1</v>
      </c>
      <c r="P47" s="279">
        <f>AVERAGE(D47:O48)</f>
        <v>0.93718358395989965</v>
      </c>
      <c r="Q47" s="241"/>
      <c r="R47" s="241"/>
      <c r="S47" s="241"/>
      <c r="T47" s="241"/>
      <c r="U47" s="241"/>
      <c r="V47" s="241"/>
      <c r="W47" s="241"/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  <c r="AV47" s="241"/>
      <c r="AW47" s="241"/>
      <c r="AX47" s="241"/>
      <c r="AY47" s="241"/>
      <c r="AZ47" s="241"/>
      <c r="BA47" s="241"/>
      <c r="BB47" s="241"/>
      <c r="BC47" s="241"/>
      <c r="BD47" s="241"/>
      <c r="BE47" s="241"/>
      <c r="BF47" s="241"/>
      <c r="BG47" s="241"/>
      <c r="BH47" s="241"/>
      <c r="BI47" s="241"/>
      <c r="BJ47" s="241"/>
      <c r="BK47" s="241"/>
      <c r="BL47" s="241"/>
      <c r="BM47" s="241"/>
      <c r="BN47" s="241"/>
      <c r="BO47" s="241"/>
      <c r="BP47" s="241"/>
      <c r="BQ47" s="241"/>
      <c r="BR47" s="241"/>
      <c r="BS47" s="241"/>
      <c r="BT47" s="241"/>
      <c r="BU47" s="241"/>
      <c r="BV47" s="241"/>
      <c r="BW47" s="241"/>
      <c r="BX47" s="241"/>
      <c r="BY47" s="241"/>
      <c r="BZ47" s="241"/>
      <c r="CA47" s="241"/>
      <c r="CB47" s="241"/>
      <c r="CC47" s="241"/>
      <c r="CD47" s="241"/>
      <c r="CE47" s="241"/>
      <c r="CF47" s="241"/>
      <c r="CG47" s="241"/>
      <c r="CH47" s="241"/>
      <c r="CI47" s="262"/>
      <c r="CJ47" s="262"/>
      <c r="CK47" s="262"/>
      <c r="CL47" s="262"/>
      <c r="CM47" s="262"/>
      <c r="CN47" s="262"/>
      <c r="CO47" s="262"/>
      <c r="CP47" s="262"/>
      <c r="CQ47" s="262"/>
      <c r="CR47" s="262"/>
      <c r="CS47" s="262"/>
      <c r="CT47" s="262"/>
      <c r="CU47" s="262"/>
      <c r="CV47" s="262"/>
      <c r="CW47" s="262"/>
      <c r="CX47" s="262"/>
      <c r="CY47" s="262"/>
      <c r="CZ47" s="262"/>
      <c r="DA47" s="262"/>
      <c r="DB47" s="262"/>
      <c r="DC47" s="262"/>
      <c r="DD47" s="262"/>
      <c r="DE47" s="262"/>
      <c r="DF47" s="262"/>
      <c r="DG47" s="241"/>
      <c r="DH47" s="241"/>
      <c r="DI47" s="262"/>
      <c r="DJ47" s="262"/>
      <c r="DK47" s="262"/>
      <c r="DL47" s="262"/>
      <c r="DM47" s="262"/>
      <c r="DN47" s="241"/>
      <c r="DO47" s="241"/>
      <c r="DP47" s="262"/>
      <c r="DQ47" s="262"/>
      <c r="DR47" s="262"/>
      <c r="DS47" s="262"/>
      <c r="DT47" s="262"/>
      <c r="DU47" s="241"/>
      <c r="DV47" s="241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62"/>
      <c r="FR47" s="262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  <c r="GR47" s="262"/>
      <c r="GS47" s="262"/>
      <c r="GT47" s="262"/>
      <c r="GU47" s="262"/>
      <c r="GV47" s="262"/>
      <c r="GW47" s="262"/>
      <c r="GX47" s="262"/>
      <c r="GY47" s="262"/>
      <c r="GZ47" s="262"/>
      <c r="HA47" s="262"/>
      <c r="HB47" s="262"/>
      <c r="HC47" s="262"/>
      <c r="HD47" s="262"/>
      <c r="HE47" s="262"/>
      <c r="HF47" s="262"/>
      <c r="HG47" s="262"/>
      <c r="HH47" s="262"/>
      <c r="HI47" s="262"/>
      <c r="HJ47" s="262"/>
      <c r="HK47" s="262"/>
      <c r="HL47" s="262"/>
      <c r="HM47" s="262"/>
      <c r="HN47" s="262"/>
      <c r="HO47" s="262"/>
      <c r="HP47" s="262"/>
      <c r="HQ47" s="262"/>
      <c r="HR47" s="262"/>
      <c r="HS47" s="262"/>
      <c r="HT47" s="262"/>
      <c r="HU47" s="262"/>
      <c r="HV47" s="262"/>
      <c r="HW47" s="262"/>
      <c r="HX47" s="262"/>
      <c r="HY47" s="262"/>
      <c r="HZ47" s="262"/>
      <c r="IA47" s="262"/>
      <c r="IB47" s="262"/>
      <c r="IC47" s="262"/>
      <c r="ID47" s="262"/>
      <c r="IE47" s="262"/>
      <c r="IF47" s="262"/>
      <c r="IG47" s="262"/>
      <c r="IH47" s="262"/>
      <c r="II47" s="262"/>
      <c r="IJ47" s="262"/>
      <c r="IK47" s="262"/>
      <c r="IL47" s="262"/>
      <c r="IM47" s="262"/>
      <c r="IN47" s="262"/>
      <c r="IO47" s="262"/>
      <c r="IP47" s="262"/>
      <c r="IQ47" s="262"/>
      <c r="IR47" s="262"/>
      <c r="IS47" s="262"/>
      <c r="IT47" s="262"/>
      <c r="IU47" s="262"/>
      <c r="IV47" s="262"/>
      <c r="IW47" s="262"/>
      <c r="IX47" s="262"/>
      <c r="IY47" s="262"/>
      <c r="IZ47" s="262"/>
      <c r="JA47" s="262"/>
      <c r="JB47" s="262"/>
      <c r="JC47" s="262"/>
      <c r="JD47" s="262"/>
      <c r="JE47" s="262"/>
      <c r="JF47" s="262"/>
      <c r="JG47" s="262"/>
      <c r="JH47" s="262"/>
      <c r="JI47" s="262"/>
      <c r="JJ47" s="262"/>
      <c r="JK47" s="262"/>
      <c r="JL47" s="262"/>
      <c r="JM47" s="262"/>
      <c r="JN47" s="262"/>
      <c r="JO47" s="262"/>
      <c r="JP47" s="262"/>
      <c r="JQ47" s="262"/>
      <c r="JR47" s="262"/>
      <c r="JS47" s="262"/>
      <c r="JT47" s="262"/>
      <c r="JU47" s="262"/>
      <c r="JV47" s="262"/>
      <c r="JW47" s="262"/>
      <c r="JX47" s="262"/>
      <c r="JY47" s="262"/>
      <c r="JZ47" s="262"/>
      <c r="KA47" s="262"/>
      <c r="KB47" s="262"/>
      <c r="KC47" s="262"/>
      <c r="KD47" s="262"/>
      <c r="KE47" s="262"/>
      <c r="KF47" s="262"/>
      <c r="KG47" s="262"/>
      <c r="KH47" s="262"/>
      <c r="KI47" s="262"/>
      <c r="KJ47" s="262"/>
      <c r="KK47" s="262"/>
      <c r="KL47" s="262"/>
      <c r="KM47" s="262"/>
      <c r="KN47" s="262"/>
      <c r="KO47" s="262"/>
      <c r="KP47" s="262"/>
      <c r="KQ47" s="262"/>
      <c r="KR47" s="262"/>
      <c r="KS47" s="262"/>
      <c r="KT47" s="262"/>
      <c r="KU47" s="262"/>
      <c r="KV47" s="262"/>
      <c r="KW47" s="262"/>
      <c r="KX47" s="262"/>
      <c r="KY47" s="262"/>
      <c r="KZ47" s="262"/>
      <c r="LA47" s="262"/>
      <c r="LB47" s="262"/>
      <c r="LC47" s="262"/>
      <c r="LD47" s="262"/>
      <c r="LE47" s="262"/>
      <c r="LF47" s="262"/>
      <c r="LG47" s="262"/>
      <c r="LH47" s="262"/>
      <c r="LI47" s="262"/>
      <c r="LJ47" s="262"/>
      <c r="LK47" s="262"/>
      <c r="LL47" s="262"/>
      <c r="LM47" s="262"/>
      <c r="LN47" s="262"/>
      <c r="LO47" s="262"/>
      <c r="LP47" s="262"/>
      <c r="LQ47" s="262"/>
      <c r="LR47" s="262"/>
      <c r="LS47" s="262"/>
      <c r="LT47" s="262"/>
      <c r="LU47" s="262"/>
      <c r="LV47" s="262"/>
      <c r="LW47" s="262"/>
      <c r="LX47" s="262"/>
      <c r="LY47" s="262"/>
      <c r="LZ47" s="262"/>
      <c r="MA47" s="262"/>
      <c r="MB47" s="262"/>
      <c r="MC47" s="262"/>
      <c r="MD47" s="262"/>
      <c r="ME47" s="262"/>
      <c r="MF47" s="262"/>
      <c r="MG47" s="262"/>
      <c r="MH47" s="262"/>
      <c r="MI47" s="262"/>
      <c r="MJ47" s="262"/>
      <c r="MK47" s="262"/>
      <c r="ML47" s="262"/>
      <c r="MM47" s="262"/>
      <c r="MN47" s="262"/>
      <c r="MO47" s="262"/>
      <c r="MP47" s="262"/>
      <c r="MQ47" s="262"/>
      <c r="MR47" s="262"/>
      <c r="MS47" s="262"/>
      <c r="MT47" s="262"/>
      <c r="MU47" s="262"/>
      <c r="MV47" s="262"/>
      <c r="MW47" s="262"/>
      <c r="MX47" s="262"/>
      <c r="MY47" s="262"/>
      <c r="MZ47" s="262"/>
      <c r="NA47" s="262"/>
      <c r="NB47" s="262"/>
      <c r="NC47" s="262"/>
      <c r="ND47" s="262"/>
      <c r="NE47" s="262"/>
    </row>
    <row r="48" spans="1:369">
      <c r="A48" s="241" t="s">
        <v>379</v>
      </c>
      <c r="B48" s="243" t="s">
        <v>228</v>
      </c>
      <c r="C48" s="241" t="e" cm="1">
        <f t="array" aca="1" ref="C48" ca="1">COUNTINGCOLOURS(IL6:NC34, B48)</f>
        <v>#NAME?</v>
      </c>
      <c r="D48" s="280"/>
      <c r="E48" s="27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2"/>
      <c r="Q48" s="241"/>
      <c r="R48" s="241"/>
      <c r="S48" s="241"/>
      <c r="T48" s="241"/>
      <c r="U48" s="241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  <c r="AV48" s="241"/>
      <c r="AW48" s="241"/>
      <c r="AX48" s="241"/>
      <c r="AY48" s="241"/>
      <c r="AZ48" s="241"/>
      <c r="BA48" s="241"/>
      <c r="BB48" s="241"/>
      <c r="BC48" s="241"/>
      <c r="BD48" s="241"/>
      <c r="BE48" s="241"/>
      <c r="BF48" s="241"/>
      <c r="BG48" s="241"/>
      <c r="BH48" s="241"/>
      <c r="BI48" s="241"/>
      <c r="BJ48" s="241"/>
      <c r="BK48" s="241"/>
      <c r="BL48" s="241"/>
      <c r="BM48" s="241"/>
      <c r="BN48" s="241"/>
      <c r="BO48" s="241"/>
      <c r="BP48" s="241"/>
      <c r="BQ48" s="241"/>
      <c r="BR48" s="241"/>
      <c r="BS48" s="241"/>
      <c r="BT48" s="241"/>
      <c r="BU48" s="241"/>
      <c r="BV48" s="241"/>
      <c r="BW48" s="241"/>
      <c r="BX48" s="241"/>
      <c r="BY48" s="241"/>
      <c r="BZ48" s="241"/>
      <c r="CA48" s="241"/>
      <c r="CB48" s="241"/>
      <c r="CC48" s="241"/>
      <c r="CD48" s="241"/>
      <c r="CE48" s="241"/>
      <c r="CF48" s="241"/>
      <c r="CG48" s="241"/>
      <c r="CH48" s="241"/>
      <c r="CI48" s="262"/>
      <c r="CJ48" s="262"/>
      <c r="CK48" s="262"/>
      <c r="CL48" s="262"/>
      <c r="CM48" s="262"/>
      <c r="CN48" s="262"/>
      <c r="CO48" s="262"/>
      <c r="CP48" s="262"/>
      <c r="CQ48" s="262"/>
      <c r="CR48" s="262"/>
      <c r="CS48" s="262"/>
      <c r="CT48" s="262"/>
      <c r="CU48" s="262"/>
      <c r="CV48" s="262"/>
      <c r="CW48" s="262"/>
      <c r="CX48" s="262"/>
      <c r="CY48" s="262"/>
      <c r="CZ48" s="262"/>
      <c r="DA48" s="262"/>
      <c r="DB48" s="262"/>
      <c r="DC48" s="262"/>
      <c r="DD48" s="262"/>
      <c r="DE48" s="262"/>
      <c r="DF48" s="262"/>
      <c r="DG48" s="241"/>
      <c r="DH48" s="241"/>
      <c r="DI48" s="262"/>
      <c r="DJ48" s="262"/>
      <c r="DK48" s="262"/>
      <c r="DL48" s="262"/>
      <c r="DM48" s="262"/>
      <c r="DN48" s="241"/>
      <c r="DO48" s="241"/>
      <c r="DP48" s="262"/>
      <c r="DQ48" s="262"/>
      <c r="DR48" s="262"/>
      <c r="DS48" s="262"/>
      <c r="DT48" s="262"/>
      <c r="DU48" s="241"/>
      <c r="DV48" s="241"/>
      <c r="DW48" s="262"/>
      <c r="DX48" s="262"/>
      <c r="DY48" s="262"/>
      <c r="DZ48" s="262"/>
      <c r="EA48" s="262"/>
      <c r="EB48" s="262"/>
      <c r="EC48" s="262"/>
      <c r="ED48" s="262"/>
      <c r="EE48" s="262"/>
      <c r="EF48" s="262"/>
      <c r="EG48" s="262"/>
      <c r="EH48" s="262"/>
      <c r="EI48" s="262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262"/>
      <c r="FE48" s="262"/>
      <c r="FF48" s="262"/>
      <c r="FG48" s="262"/>
      <c r="FH48" s="262"/>
      <c r="FI48" s="262"/>
      <c r="FJ48" s="262"/>
      <c r="FK48" s="262"/>
      <c r="FL48" s="262"/>
      <c r="FM48" s="262"/>
      <c r="FN48" s="262"/>
      <c r="FO48" s="262"/>
      <c r="FP48" s="262"/>
      <c r="FQ48" s="262"/>
      <c r="FR48" s="262"/>
      <c r="FS48" s="262"/>
      <c r="FT48" s="262"/>
      <c r="FU48" s="262"/>
      <c r="FV48" s="262"/>
      <c r="FW48" s="262"/>
      <c r="FX48" s="262"/>
      <c r="FY48" s="262"/>
      <c r="FZ48" s="262"/>
      <c r="GA48" s="262"/>
      <c r="GB48" s="262"/>
      <c r="GC48" s="262"/>
      <c r="GD48" s="262"/>
      <c r="GE48" s="262"/>
      <c r="GF48" s="262"/>
      <c r="GG48" s="262"/>
      <c r="GH48" s="262"/>
      <c r="GI48" s="262"/>
      <c r="GJ48" s="262"/>
      <c r="GK48" s="262"/>
      <c r="GL48" s="262"/>
      <c r="GM48" s="262"/>
      <c r="GN48" s="262"/>
      <c r="GO48" s="262"/>
      <c r="GP48" s="262"/>
      <c r="GQ48" s="262"/>
      <c r="GR48" s="262"/>
      <c r="GS48" s="262"/>
      <c r="GT48" s="262"/>
      <c r="GU48" s="262"/>
      <c r="GV48" s="262"/>
      <c r="GW48" s="262"/>
      <c r="GX48" s="262"/>
      <c r="GY48" s="262"/>
      <c r="GZ48" s="262"/>
      <c r="HA48" s="262"/>
      <c r="HB48" s="262"/>
      <c r="HC48" s="262"/>
      <c r="HD48" s="262"/>
      <c r="HE48" s="262"/>
      <c r="HF48" s="262"/>
      <c r="HG48" s="262"/>
      <c r="HH48" s="262"/>
      <c r="HI48" s="262"/>
      <c r="HJ48" s="262"/>
      <c r="HK48" s="262"/>
      <c r="HL48" s="262"/>
      <c r="HM48" s="262"/>
      <c r="HN48" s="262"/>
      <c r="HO48" s="262"/>
      <c r="HP48" s="262"/>
      <c r="HQ48" s="262"/>
      <c r="HR48" s="262"/>
      <c r="HS48" s="262"/>
      <c r="HT48" s="262"/>
      <c r="HU48" s="262"/>
      <c r="HV48" s="262"/>
      <c r="HW48" s="262"/>
      <c r="HX48" s="262"/>
      <c r="HY48" s="262"/>
      <c r="HZ48" s="262"/>
      <c r="IA48" s="262"/>
      <c r="IB48" s="262"/>
      <c r="IC48" s="262"/>
      <c r="ID48" s="262"/>
      <c r="IE48" s="262"/>
      <c r="IF48" s="262"/>
      <c r="IG48" s="262"/>
      <c r="IH48" s="262"/>
      <c r="II48" s="262"/>
      <c r="IJ48" s="262"/>
      <c r="IK48" s="262"/>
      <c r="IL48" s="262"/>
      <c r="IM48" s="262"/>
      <c r="IN48" s="262"/>
      <c r="IO48" s="262"/>
      <c r="IP48" s="262"/>
      <c r="IQ48" s="262"/>
      <c r="IR48" s="262"/>
      <c r="IS48" s="262"/>
      <c r="IT48" s="262"/>
      <c r="IU48" s="262"/>
      <c r="IV48" s="262"/>
      <c r="IW48" s="262"/>
      <c r="IX48" s="262"/>
      <c r="IY48" s="262"/>
      <c r="IZ48" s="262"/>
      <c r="JA48" s="262"/>
      <c r="JB48" s="262"/>
      <c r="JC48" s="262"/>
      <c r="JD48" s="262"/>
      <c r="JE48" s="262"/>
      <c r="JF48" s="262"/>
      <c r="JG48" s="262"/>
      <c r="JH48" s="262"/>
      <c r="JI48" s="262"/>
      <c r="JJ48" s="262"/>
      <c r="JK48" s="262"/>
      <c r="JL48" s="262"/>
      <c r="JM48" s="262"/>
      <c r="JN48" s="262"/>
      <c r="JO48" s="262"/>
      <c r="JP48" s="262"/>
      <c r="JQ48" s="262"/>
      <c r="JR48" s="262"/>
      <c r="JS48" s="262"/>
      <c r="JT48" s="262"/>
      <c r="JU48" s="262"/>
      <c r="JV48" s="262"/>
      <c r="JW48" s="262"/>
      <c r="JX48" s="262"/>
      <c r="JY48" s="262"/>
      <c r="JZ48" s="262"/>
      <c r="KA48" s="262"/>
      <c r="KB48" s="262"/>
      <c r="KC48" s="262"/>
      <c r="KD48" s="262"/>
      <c r="KE48" s="262"/>
      <c r="KF48" s="262"/>
      <c r="KG48" s="262"/>
      <c r="KH48" s="262"/>
      <c r="KI48" s="262"/>
      <c r="KJ48" s="262"/>
      <c r="KK48" s="262"/>
      <c r="KL48" s="262"/>
      <c r="KM48" s="262"/>
      <c r="KN48" s="262"/>
      <c r="KO48" s="262"/>
      <c r="KP48" s="262"/>
      <c r="KQ48" s="262"/>
      <c r="KR48" s="262"/>
      <c r="KS48" s="262"/>
      <c r="KT48" s="262"/>
      <c r="KU48" s="262"/>
      <c r="KV48" s="262"/>
      <c r="KW48" s="262"/>
      <c r="KX48" s="262"/>
      <c r="KY48" s="262"/>
      <c r="KZ48" s="262"/>
      <c r="LA48" s="262"/>
      <c r="LB48" s="262"/>
      <c r="LC48" s="262"/>
      <c r="LD48" s="262"/>
      <c r="LE48" s="262"/>
      <c r="LF48" s="262"/>
      <c r="LG48" s="262"/>
      <c r="LH48" s="262"/>
      <c r="LI48" s="262"/>
      <c r="LJ48" s="262"/>
      <c r="LK48" s="262"/>
      <c r="LL48" s="262"/>
      <c r="LM48" s="262"/>
      <c r="LN48" s="262"/>
      <c r="LO48" s="262"/>
      <c r="LP48" s="262"/>
      <c r="LQ48" s="262"/>
      <c r="LR48" s="262"/>
      <c r="LS48" s="262"/>
      <c r="LT48" s="262"/>
      <c r="LU48" s="262"/>
      <c r="LV48" s="262"/>
      <c r="LW48" s="262"/>
      <c r="LX48" s="262"/>
      <c r="LY48" s="262"/>
      <c r="LZ48" s="262"/>
      <c r="MA48" s="262"/>
      <c r="MB48" s="262"/>
      <c r="MC48" s="262"/>
      <c r="MD48" s="262"/>
      <c r="ME48" s="262"/>
      <c r="MF48" s="262"/>
      <c r="MG48" s="262"/>
      <c r="MH48" s="262"/>
      <c r="MI48" s="262"/>
      <c r="MJ48" s="262"/>
      <c r="MK48" s="262"/>
      <c r="ML48" s="262"/>
      <c r="MM48" s="262"/>
      <c r="MN48" s="262"/>
      <c r="MO48" s="262"/>
      <c r="MP48" s="262"/>
      <c r="MQ48" s="262"/>
      <c r="MR48" s="262"/>
      <c r="MS48" s="262"/>
      <c r="MT48" s="262"/>
      <c r="MU48" s="262"/>
      <c r="MV48" s="262"/>
      <c r="MW48" s="262"/>
      <c r="MX48" s="262"/>
      <c r="MY48" s="262"/>
      <c r="MZ48" s="262"/>
      <c r="NA48" s="262"/>
      <c r="NB48" s="262"/>
      <c r="NC48" s="262"/>
      <c r="ND48" s="262"/>
      <c r="NE48" s="262"/>
    </row>
    <row r="49" spans="1:369">
      <c r="A49" s="241" t="s">
        <v>380</v>
      </c>
      <c r="B49" s="249" t="s">
        <v>381</v>
      </c>
      <c r="C49" s="241" t="e" cm="1">
        <f t="array" aca="1" ref="C49" ca="1">COUNTINGCOLOURS(IL7:NC36, B49)</f>
        <v>#NAME?</v>
      </c>
      <c r="D49" s="264">
        <f>AVERAGE(D39:AG39)</f>
        <v>0.70238095238095233</v>
      </c>
      <c r="E49" s="264">
        <f>AVERAGE(AH39:BI39)</f>
        <v>0.5625</v>
      </c>
      <c r="F49" s="278">
        <f>AVERAGE(BL39:CN359)</f>
        <v>0.81481481481481455</v>
      </c>
      <c r="G49" s="278">
        <f>AVERAGE(CP39:DR39)</f>
        <v>1</v>
      </c>
      <c r="H49" s="278">
        <f>AVERAGE(CO39:DR39)</f>
        <v>1</v>
      </c>
      <c r="I49" s="278">
        <f>AVERAGE(ES39:GA39)</f>
        <v>1</v>
      </c>
      <c r="J49" s="278">
        <f>AVERAGE(GB39:HF39)</f>
        <v>1</v>
      </c>
      <c r="K49" s="278">
        <f>AVERAGE(HG39:IK39)</f>
        <v>1</v>
      </c>
      <c r="L49" s="278">
        <f>AVERAGE(IL39:JO39)</f>
        <v>1</v>
      </c>
      <c r="M49" s="278">
        <f>AVERAGE(JP39:KT39)</f>
        <v>1</v>
      </c>
      <c r="N49" s="278">
        <f>AVERAGE(KU39:LX39)</f>
        <v>1</v>
      </c>
      <c r="O49" s="278">
        <f>AVERAGE(LY39:NC39)</f>
        <v>1</v>
      </c>
      <c r="P49" s="283">
        <f>AVERAGE(D49:O49)</f>
        <v>0.92330798059964725</v>
      </c>
      <c r="Q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  <c r="AV49" s="241"/>
      <c r="AW49" s="241"/>
      <c r="AX49" s="241"/>
      <c r="AY49" s="241"/>
      <c r="AZ49" s="241"/>
      <c r="BA49" s="241"/>
      <c r="BB49" s="241"/>
      <c r="BC49" s="241"/>
      <c r="BD49" s="241"/>
      <c r="BE49" s="241"/>
      <c r="BF49" s="241"/>
      <c r="BG49" s="241"/>
      <c r="BH49" s="241"/>
      <c r="BI49" s="241"/>
      <c r="BJ49" s="241"/>
      <c r="BK49" s="241"/>
      <c r="BL49" s="241"/>
      <c r="BM49" s="241"/>
      <c r="BN49" s="241"/>
      <c r="BO49" s="241"/>
      <c r="BP49" s="241"/>
      <c r="BQ49" s="241"/>
      <c r="BR49" s="241"/>
      <c r="BS49" s="241"/>
      <c r="BT49" s="241"/>
      <c r="BU49" s="241"/>
      <c r="BV49" s="241"/>
      <c r="BW49" s="241"/>
      <c r="BX49" s="241"/>
      <c r="BY49" s="241"/>
      <c r="BZ49" s="241"/>
      <c r="CA49" s="241"/>
      <c r="CB49" s="241"/>
      <c r="CC49" s="241"/>
      <c r="CD49" s="241"/>
      <c r="CE49" s="241"/>
      <c r="CF49" s="241"/>
      <c r="CG49" s="241"/>
      <c r="CH49" s="241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262"/>
      <c r="DB49" s="262"/>
      <c r="DC49" s="262"/>
      <c r="DD49" s="262"/>
      <c r="DE49" s="262"/>
      <c r="DF49" s="262"/>
      <c r="DG49" s="241"/>
      <c r="DH49" s="241"/>
      <c r="DI49" s="262"/>
      <c r="DJ49" s="262"/>
      <c r="DK49" s="262"/>
      <c r="DL49" s="262"/>
      <c r="DM49" s="262"/>
      <c r="DN49" s="241"/>
      <c r="DO49" s="241"/>
      <c r="DP49" s="262"/>
      <c r="DQ49" s="262"/>
      <c r="DR49" s="262"/>
      <c r="DS49" s="262"/>
      <c r="DT49" s="262"/>
      <c r="DU49" s="241"/>
      <c r="DV49" s="241"/>
      <c r="DW49" s="262"/>
      <c r="DX49" s="262"/>
      <c r="DY49" s="262"/>
      <c r="DZ49" s="262"/>
      <c r="EA49" s="262"/>
      <c r="EB49" s="262"/>
      <c r="EC49" s="262"/>
      <c r="ED49" s="262"/>
      <c r="EE49" s="262"/>
      <c r="EF49" s="262"/>
      <c r="EG49" s="262"/>
      <c r="EH49" s="262"/>
      <c r="EI49" s="262"/>
      <c r="EJ49" s="262"/>
      <c r="EK49" s="262"/>
      <c r="EL49" s="262"/>
      <c r="EM49" s="262"/>
      <c r="EN49" s="262"/>
      <c r="EO49" s="262"/>
      <c r="EP49" s="262"/>
      <c r="EQ49" s="262"/>
      <c r="ER49" s="262"/>
      <c r="ES49" s="262"/>
      <c r="ET49" s="262"/>
      <c r="EU49" s="262"/>
      <c r="EV49" s="262"/>
      <c r="EW49" s="262"/>
      <c r="EX49" s="262"/>
      <c r="EY49" s="262"/>
      <c r="EZ49" s="262"/>
      <c r="FA49" s="262"/>
      <c r="FB49" s="262"/>
      <c r="FC49" s="262"/>
      <c r="FD49" s="262"/>
      <c r="FE49" s="262"/>
      <c r="FF49" s="262"/>
      <c r="FG49" s="262"/>
      <c r="FH49" s="262"/>
      <c r="FI49" s="262"/>
      <c r="FJ49" s="262"/>
      <c r="FK49" s="262"/>
      <c r="FL49" s="262"/>
      <c r="FM49" s="262"/>
      <c r="FN49" s="262"/>
      <c r="FO49" s="262"/>
      <c r="FP49" s="262"/>
      <c r="FQ49" s="262"/>
      <c r="FR49" s="262"/>
      <c r="FS49" s="262"/>
      <c r="FT49" s="262"/>
      <c r="FU49" s="262"/>
      <c r="FV49" s="262"/>
      <c r="FW49" s="262"/>
      <c r="FX49" s="262"/>
      <c r="FY49" s="262"/>
      <c r="FZ49" s="262"/>
      <c r="GA49" s="262"/>
      <c r="GB49" s="262"/>
      <c r="GC49" s="262"/>
      <c r="GD49" s="262"/>
      <c r="GE49" s="262"/>
      <c r="GF49" s="262"/>
      <c r="GG49" s="262"/>
      <c r="GH49" s="262"/>
      <c r="GI49" s="262"/>
      <c r="GJ49" s="262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</row>
    <row r="50" spans="1:369">
      <c r="A50" s="241" t="s">
        <v>382</v>
      </c>
      <c r="B50" s="247" t="s">
        <v>383</v>
      </c>
      <c r="C50" s="241" t="e" cm="1">
        <f t="array" aca="1" ref="C50" ca="1">COUNTINGCOLOURS(IL8:NC37, B50)</f>
        <v>#NAME?</v>
      </c>
      <c r="D50" s="264">
        <f>AVERAGE(D40:AG40)</f>
        <v>0.8571428571428571</v>
      </c>
      <c r="E50" s="264">
        <f>AVERAGE(AH40:BI40)</f>
        <v>0.72499999999999998</v>
      </c>
      <c r="F50" s="278">
        <f>AVERAGE(BL40:CN40)</f>
        <v>0.95238095238095233</v>
      </c>
      <c r="G50" s="278">
        <f>AVERAGE(CP40:DR40)</f>
        <v>0.97368421052631582</v>
      </c>
      <c r="H50" s="278">
        <f>AVERAGE(CO40:DR40)</f>
        <v>0.97499999999999998</v>
      </c>
      <c r="I50" s="278">
        <f>AVERAGE(ES40:GA40)</f>
        <v>1</v>
      </c>
      <c r="J50" s="278">
        <f>AVERAGE(GB40:HF40)</f>
        <v>0.89130434782608692</v>
      </c>
      <c r="K50" s="278">
        <f>AVERAGE(HG40:IK40)</f>
        <v>1</v>
      </c>
      <c r="L50" s="278">
        <f>AVERAGE(IL40:JO40)</f>
        <v>1</v>
      </c>
      <c r="M50" s="278">
        <f>AVERAGE(JP40:KT40)</f>
        <v>1</v>
      </c>
      <c r="N50" s="278">
        <f>AVERAGE(KU40:LX40)</f>
        <v>1</v>
      </c>
      <c r="O50" s="278">
        <f>AVERAGE(LY40:NC40)</f>
        <v>1</v>
      </c>
      <c r="P50" s="283">
        <f>AVERAGE(D50:O50)</f>
        <v>0.94787603065635107</v>
      </c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241"/>
      <c r="AW50" s="241"/>
      <c r="AX50" s="241"/>
      <c r="AY50" s="241"/>
      <c r="AZ50" s="241"/>
      <c r="BA50" s="241"/>
      <c r="BB50" s="241"/>
      <c r="BC50" s="241"/>
      <c r="BD50" s="241"/>
      <c r="BE50" s="241"/>
      <c r="BF50" s="241"/>
      <c r="BG50" s="241"/>
      <c r="BH50" s="241"/>
      <c r="BI50" s="241"/>
      <c r="BJ50" s="241"/>
      <c r="BK50" s="241"/>
      <c r="BL50" s="241"/>
      <c r="BM50" s="241"/>
      <c r="BN50" s="241"/>
      <c r="BO50" s="241"/>
      <c r="BP50" s="241"/>
      <c r="BQ50" s="241"/>
      <c r="BR50" s="241"/>
      <c r="BS50" s="241"/>
      <c r="BT50" s="241"/>
      <c r="BU50" s="241"/>
      <c r="BV50" s="241"/>
      <c r="BW50" s="241"/>
      <c r="BX50" s="241"/>
      <c r="BY50" s="241"/>
      <c r="BZ50" s="241"/>
      <c r="CA50" s="241"/>
      <c r="CB50" s="241"/>
      <c r="CC50" s="241"/>
      <c r="CD50" s="241"/>
      <c r="CE50" s="241"/>
      <c r="CF50" s="241"/>
      <c r="CG50" s="241"/>
      <c r="CH50" s="241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262"/>
      <c r="DB50" s="262"/>
      <c r="DC50" s="262"/>
      <c r="DD50" s="262"/>
      <c r="DE50" s="262"/>
      <c r="DF50" s="262"/>
      <c r="DG50" s="262"/>
      <c r="DH50" s="262"/>
      <c r="DI50" s="262"/>
      <c r="DJ50" s="262"/>
      <c r="DK50" s="262"/>
      <c r="DL50" s="262"/>
      <c r="DM50" s="262"/>
      <c r="DN50" s="262"/>
      <c r="DO50" s="262"/>
      <c r="DP50" s="262"/>
      <c r="DQ50" s="262"/>
      <c r="DR50" s="262"/>
      <c r="DS50" s="262"/>
      <c r="DT50" s="262"/>
      <c r="DU50" s="262"/>
      <c r="DV50" s="262"/>
      <c r="DW50" s="262"/>
      <c r="DX50" s="262"/>
      <c r="DY50" s="262"/>
      <c r="DZ50" s="262"/>
      <c r="EA50" s="262"/>
      <c r="EB50" s="262"/>
      <c r="EC50" s="262"/>
      <c r="ED50" s="262"/>
      <c r="EE50" s="262"/>
      <c r="EF50" s="262"/>
      <c r="EG50" s="262"/>
      <c r="EH50" s="262"/>
      <c r="EI50" s="262"/>
      <c r="EJ50" s="262"/>
      <c r="EK50" s="262"/>
      <c r="EL50" s="262"/>
      <c r="EM50" s="262"/>
      <c r="EN50" s="262"/>
      <c r="EO50" s="262"/>
      <c r="EP50" s="262"/>
      <c r="EQ50" s="262"/>
      <c r="ER50" s="262"/>
      <c r="ES50" s="262"/>
      <c r="ET50" s="262"/>
      <c r="EU50" s="262"/>
      <c r="EV50" s="262"/>
      <c r="EW50" s="262"/>
      <c r="EX50" s="262"/>
      <c r="EY50" s="262"/>
      <c r="EZ50" s="262"/>
      <c r="FA50" s="262"/>
      <c r="FB50" s="262"/>
      <c r="FC50" s="262"/>
      <c r="FD50" s="262"/>
      <c r="FE50" s="262"/>
      <c r="FF50" s="262"/>
      <c r="FG50" s="262"/>
      <c r="FH50" s="262"/>
      <c r="FI50" s="262"/>
      <c r="FJ50" s="262"/>
      <c r="FK50" s="262"/>
      <c r="FL50" s="262"/>
      <c r="FM50" s="262"/>
      <c r="FN50" s="262"/>
      <c r="FO50" s="262"/>
      <c r="FP50" s="262"/>
      <c r="FQ50" s="262"/>
      <c r="FR50" s="262"/>
      <c r="FS50" s="262"/>
      <c r="FT50" s="262"/>
      <c r="FU50" s="262"/>
      <c r="FV50" s="262"/>
      <c r="FW50" s="262"/>
      <c r="FX50" s="262"/>
      <c r="FY50" s="262"/>
      <c r="FZ50" s="262"/>
      <c r="GA50" s="262"/>
      <c r="GB50" s="262"/>
      <c r="GC50" s="262"/>
      <c r="GD50" s="262"/>
      <c r="GE50" s="262"/>
      <c r="GF50" s="262"/>
      <c r="GG50" s="262"/>
      <c r="GH50" s="262"/>
      <c r="GI50" s="262"/>
      <c r="GJ50" s="262"/>
      <c r="GK50" s="262"/>
      <c r="GL50" s="262"/>
      <c r="GM50" s="262"/>
      <c r="GN50" s="262"/>
      <c r="GO50" s="262"/>
      <c r="GP50" s="262"/>
      <c r="GQ50" s="262"/>
      <c r="GR50" s="262"/>
      <c r="GS50" s="262"/>
      <c r="GT50" s="262"/>
      <c r="GU50" s="262"/>
      <c r="GV50" s="262"/>
      <c r="GW50" s="262"/>
      <c r="GX50" s="262"/>
      <c r="GY50" s="262"/>
      <c r="GZ50" s="262"/>
      <c r="HA50" s="262"/>
      <c r="HB50" s="262"/>
      <c r="HC50" s="262"/>
      <c r="HD50" s="262"/>
      <c r="HE50" s="262"/>
      <c r="HF50" s="262"/>
      <c r="HG50" s="262"/>
      <c r="HH50" s="262"/>
      <c r="HI50" s="262"/>
      <c r="HJ50" s="262"/>
      <c r="HK50" s="262"/>
      <c r="HL50" s="262"/>
      <c r="HM50" s="262"/>
      <c r="HN50" s="262"/>
      <c r="HO50" s="262"/>
      <c r="HP50" s="262"/>
      <c r="HQ50" s="262"/>
      <c r="HR50" s="262"/>
      <c r="HS50" s="262"/>
      <c r="HT50" s="262"/>
      <c r="HU50" s="262"/>
      <c r="HV50" s="262"/>
      <c r="HW50" s="262"/>
      <c r="HX50" s="262"/>
      <c r="HY50" s="262"/>
      <c r="HZ50" s="262"/>
      <c r="IA50" s="262"/>
      <c r="IB50" s="262"/>
      <c r="IC50" s="262"/>
      <c r="ID50" s="262"/>
      <c r="IE50" s="262"/>
      <c r="IF50" s="262"/>
      <c r="IG50" s="262"/>
      <c r="IH50" s="262"/>
      <c r="II50" s="262"/>
      <c r="IJ50" s="262"/>
      <c r="IK50" s="262"/>
      <c r="IL50" s="262"/>
      <c r="IM50" s="262"/>
      <c r="IN50" s="262"/>
      <c r="IO50" s="262"/>
      <c r="IP50" s="262"/>
      <c r="IQ50" s="262"/>
      <c r="IR50" s="262"/>
      <c r="IS50" s="262"/>
      <c r="IT50" s="262"/>
      <c r="IU50" s="262"/>
      <c r="IV50" s="262"/>
      <c r="IW50" s="262"/>
      <c r="IX50" s="262"/>
      <c r="IY50" s="262"/>
      <c r="IZ50" s="262"/>
      <c r="JA50" s="262"/>
      <c r="JB50" s="262"/>
      <c r="JC50" s="262"/>
      <c r="JD50" s="262"/>
      <c r="JE50" s="262"/>
      <c r="JF50" s="262"/>
      <c r="JG50" s="262"/>
      <c r="JH50" s="262"/>
      <c r="JI50" s="262"/>
      <c r="JJ50" s="262"/>
      <c r="JK50" s="262"/>
      <c r="JL50" s="262"/>
      <c r="JM50" s="262"/>
      <c r="JN50" s="262"/>
      <c r="JO50" s="262"/>
      <c r="JP50" s="262"/>
      <c r="JQ50" s="262"/>
      <c r="JR50" s="262"/>
      <c r="JS50" s="262"/>
      <c r="JT50" s="262"/>
      <c r="JU50" s="262"/>
      <c r="JV50" s="262"/>
      <c r="JW50" s="262"/>
      <c r="JX50" s="262"/>
      <c r="JY50" s="262"/>
      <c r="JZ50" s="262"/>
      <c r="KA50" s="262"/>
      <c r="KB50" s="262"/>
      <c r="KC50" s="262"/>
      <c r="KD50" s="262"/>
      <c r="KE50" s="262"/>
      <c r="KF50" s="262"/>
      <c r="KG50" s="262"/>
      <c r="KH50" s="262"/>
      <c r="KI50" s="262"/>
      <c r="KJ50" s="262"/>
      <c r="KK50" s="262"/>
      <c r="KL50" s="262"/>
      <c r="KM50" s="262"/>
      <c r="KN50" s="262"/>
      <c r="KO50" s="262"/>
      <c r="KP50" s="262"/>
      <c r="KQ50" s="262"/>
      <c r="KR50" s="262"/>
      <c r="KS50" s="262"/>
      <c r="KT50" s="262"/>
      <c r="KU50" s="262"/>
      <c r="KV50" s="262"/>
      <c r="KW50" s="262"/>
      <c r="KX50" s="262"/>
      <c r="KY50" s="262"/>
      <c r="KZ50" s="262"/>
      <c r="LA50" s="262"/>
      <c r="LB50" s="262"/>
      <c r="LC50" s="262"/>
      <c r="LD50" s="262"/>
      <c r="LE50" s="262"/>
      <c r="LF50" s="262"/>
      <c r="LG50" s="262"/>
      <c r="LH50" s="262"/>
      <c r="LI50" s="262"/>
      <c r="LJ50" s="262"/>
      <c r="LK50" s="262"/>
      <c r="LL50" s="262"/>
      <c r="LM50" s="262"/>
      <c r="LN50" s="262"/>
      <c r="LO50" s="262"/>
      <c r="LP50" s="262"/>
      <c r="LQ50" s="262"/>
      <c r="LR50" s="262"/>
      <c r="LS50" s="262"/>
      <c r="LT50" s="262"/>
      <c r="LU50" s="262"/>
      <c r="LV50" s="262"/>
      <c r="LW50" s="262"/>
      <c r="LX50" s="262"/>
      <c r="LY50" s="262"/>
      <c r="LZ50" s="262"/>
      <c r="MA50" s="262"/>
      <c r="MB50" s="262"/>
      <c r="MC50" s="262"/>
      <c r="MD50" s="262"/>
      <c r="ME50" s="262"/>
      <c r="MF50" s="262"/>
      <c r="MG50" s="262"/>
      <c r="MH50" s="262"/>
      <c r="MI50" s="262"/>
      <c r="MJ50" s="262"/>
      <c r="MK50" s="262"/>
      <c r="ML50" s="262"/>
      <c r="MM50" s="262"/>
      <c r="MN50" s="262"/>
      <c r="MO50" s="262"/>
      <c r="MP50" s="262"/>
      <c r="MQ50" s="262"/>
      <c r="MR50" s="262"/>
      <c r="MS50" s="262"/>
      <c r="MT50" s="262"/>
      <c r="MU50" s="262"/>
      <c r="MV50" s="262"/>
      <c r="MW50" s="262"/>
      <c r="MX50" s="262"/>
      <c r="MY50" s="262"/>
      <c r="MZ50" s="262"/>
      <c r="NA50" s="262"/>
      <c r="NB50" s="262"/>
      <c r="NC50" s="262"/>
      <c r="ND50" s="262"/>
      <c r="NE50" s="262"/>
    </row>
    <row r="51" spans="1:369">
      <c r="A51" s="241"/>
      <c r="B51" s="241"/>
      <c r="C51" s="241"/>
      <c r="D51" s="264">
        <f>AVERAGE(D41:AG41)</f>
        <v>0.84126984126984117</v>
      </c>
      <c r="E51" s="264">
        <f>AVERAGE(AH41:BI41)</f>
        <v>0.72499999999999998</v>
      </c>
      <c r="F51" s="278">
        <f>AVERAGE(BL41:CN41)</f>
        <v>0.7777777777777779</v>
      </c>
      <c r="G51" s="278">
        <f>AVERAGE(CP41:DR41)</f>
        <v>1</v>
      </c>
      <c r="H51" s="278">
        <f>AVERAGE(CO41:DR41)</f>
        <v>1</v>
      </c>
      <c r="I51" s="278">
        <f>AVERAGE(ES41:GA41)</f>
        <v>1</v>
      </c>
      <c r="J51" s="278">
        <f>AVERAGE(GB41:HF41)</f>
        <v>1</v>
      </c>
      <c r="K51" s="278">
        <f>AVERAGE(HG41:IK41)</f>
        <v>1</v>
      </c>
      <c r="L51" s="278">
        <f>AVERAGE(IL41:JO41)</f>
        <v>1</v>
      </c>
      <c r="M51" s="278">
        <f>AVERAGE(JP41:KT41)</f>
        <v>1</v>
      </c>
      <c r="N51" s="278">
        <f>AVERAGE(KU41:LX41)</f>
        <v>1</v>
      </c>
      <c r="O51" s="278">
        <f>AVERAGE(LY41:NC41)</f>
        <v>1</v>
      </c>
      <c r="P51" s="283">
        <f t="shared" ref="P51:P52" si="242">AVERAGE(D51:O51)</f>
        <v>0.94533730158730156</v>
      </c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  <c r="AV51" s="241"/>
      <c r="AW51" s="241"/>
      <c r="AX51" s="241"/>
      <c r="AY51" s="241"/>
      <c r="AZ51" s="241"/>
      <c r="BA51" s="241"/>
      <c r="BB51" s="241"/>
      <c r="BC51" s="241"/>
      <c r="BD51" s="241"/>
      <c r="BE51" s="241"/>
      <c r="BF51" s="241"/>
      <c r="BG51" s="241"/>
      <c r="BH51" s="241"/>
      <c r="BI51" s="241"/>
      <c r="BJ51" s="241"/>
      <c r="BK51" s="241"/>
      <c r="BL51" s="241"/>
      <c r="BM51" s="241"/>
      <c r="BN51" s="241"/>
      <c r="BO51" s="241"/>
      <c r="BP51" s="241"/>
      <c r="BQ51" s="241"/>
      <c r="BR51" s="241"/>
      <c r="BS51" s="241"/>
      <c r="BT51" s="241"/>
      <c r="BU51" s="241"/>
      <c r="BV51" s="241"/>
      <c r="BW51" s="241"/>
      <c r="BX51" s="241"/>
      <c r="BY51" s="241"/>
      <c r="BZ51" s="241"/>
      <c r="CA51" s="241"/>
      <c r="CB51" s="241"/>
      <c r="CC51" s="241"/>
      <c r="CD51" s="241"/>
      <c r="CE51" s="241"/>
      <c r="CF51" s="241"/>
      <c r="CG51" s="241"/>
      <c r="CH51" s="241"/>
      <c r="CI51" s="262"/>
      <c r="CJ51" s="262"/>
      <c r="CK51" s="262"/>
      <c r="CL51" s="262"/>
      <c r="CM51" s="262"/>
      <c r="CN51" s="262"/>
      <c r="CO51" s="262"/>
      <c r="CP51" s="262"/>
      <c r="CQ51" s="262"/>
      <c r="CR51" s="262"/>
      <c r="CS51" s="262"/>
      <c r="CT51" s="262"/>
      <c r="CU51" s="262"/>
      <c r="CV51" s="262"/>
      <c r="CW51" s="262"/>
      <c r="CX51" s="262"/>
      <c r="CY51" s="262"/>
      <c r="CZ51" s="262"/>
      <c r="DA51" s="262"/>
      <c r="DB51" s="262"/>
      <c r="DC51" s="262"/>
      <c r="DD51" s="262"/>
      <c r="DE51" s="262"/>
      <c r="DF51" s="262"/>
      <c r="DG51" s="262"/>
      <c r="DH51" s="262"/>
      <c r="DI51" s="262"/>
      <c r="DJ51" s="262"/>
      <c r="DK51" s="262"/>
      <c r="DL51" s="262"/>
      <c r="DM51" s="262"/>
      <c r="DN51" s="262"/>
      <c r="DO51" s="262"/>
      <c r="DP51" s="262"/>
      <c r="DQ51" s="262"/>
      <c r="DR51" s="262"/>
      <c r="DS51" s="262"/>
      <c r="DT51" s="262"/>
      <c r="DU51" s="262"/>
      <c r="DV51" s="262"/>
      <c r="DW51" s="262"/>
      <c r="DX51" s="262"/>
      <c r="DY51" s="262"/>
      <c r="DZ51" s="262"/>
      <c r="EA51" s="262"/>
      <c r="EB51" s="262"/>
      <c r="EC51" s="262"/>
      <c r="ED51" s="262"/>
      <c r="EE51" s="262"/>
      <c r="EF51" s="262"/>
      <c r="EG51" s="262"/>
      <c r="EH51" s="262"/>
      <c r="EI51" s="262"/>
      <c r="EJ51" s="262"/>
      <c r="EK51" s="262"/>
      <c r="EL51" s="262"/>
      <c r="EM51" s="262"/>
      <c r="EN51" s="262"/>
      <c r="EO51" s="262"/>
      <c r="EP51" s="262"/>
      <c r="EQ51" s="262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  <c r="GI51" s="262"/>
      <c r="GJ51" s="262"/>
      <c r="GK51" s="262"/>
      <c r="GL51" s="262"/>
      <c r="GM51" s="262"/>
      <c r="GN51" s="262"/>
      <c r="GO51" s="262"/>
      <c r="GP51" s="262"/>
      <c r="GQ51" s="262"/>
      <c r="GR51" s="262"/>
      <c r="GS51" s="262"/>
      <c r="GT51" s="262"/>
      <c r="GU51" s="262"/>
      <c r="GV51" s="262"/>
      <c r="GW51" s="262"/>
      <c r="GX51" s="262"/>
      <c r="GY51" s="262"/>
      <c r="GZ51" s="262"/>
      <c r="HA51" s="262"/>
      <c r="HB51" s="262"/>
      <c r="HC51" s="262"/>
      <c r="HD51" s="262"/>
      <c r="HE51" s="262"/>
      <c r="HF51" s="262"/>
      <c r="HG51" s="262"/>
      <c r="HH51" s="262"/>
      <c r="HI51" s="262"/>
      <c r="HJ51" s="262"/>
      <c r="HK51" s="262"/>
      <c r="HL51" s="262"/>
      <c r="HM51" s="262"/>
      <c r="HN51" s="262"/>
      <c r="HO51" s="262"/>
      <c r="HP51" s="262"/>
      <c r="HQ51" s="262"/>
      <c r="HR51" s="262"/>
      <c r="HS51" s="262"/>
      <c r="HT51" s="262"/>
      <c r="HU51" s="262"/>
      <c r="HV51" s="262"/>
      <c r="HW51" s="262"/>
      <c r="HX51" s="262"/>
      <c r="HY51" s="262"/>
      <c r="HZ51" s="262"/>
      <c r="IA51" s="262"/>
      <c r="IB51" s="262"/>
      <c r="IC51" s="262"/>
      <c r="ID51" s="262"/>
      <c r="IE51" s="262"/>
      <c r="IF51" s="262"/>
      <c r="IG51" s="262"/>
      <c r="IH51" s="262"/>
      <c r="II51" s="262"/>
      <c r="IJ51" s="262"/>
      <c r="IK51" s="262"/>
      <c r="IL51" s="262"/>
      <c r="IM51" s="262"/>
      <c r="IN51" s="262"/>
      <c r="IO51" s="262"/>
      <c r="IP51" s="262"/>
      <c r="IQ51" s="262"/>
      <c r="IR51" s="262"/>
      <c r="IS51" s="262"/>
      <c r="IT51" s="262"/>
      <c r="IU51" s="262"/>
      <c r="IV51" s="262"/>
      <c r="IW51" s="262"/>
      <c r="IX51" s="262"/>
      <c r="IY51" s="262"/>
      <c r="IZ51" s="262"/>
      <c r="JA51" s="262"/>
      <c r="JB51" s="262"/>
      <c r="JC51" s="262"/>
      <c r="JD51" s="262"/>
      <c r="JE51" s="262"/>
      <c r="JF51" s="262"/>
      <c r="JG51" s="262"/>
      <c r="JH51" s="262"/>
      <c r="JI51" s="262"/>
      <c r="JJ51" s="262"/>
      <c r="JK51" s="262"/>
      <c r="JL51" s="262"/>
      <c r="JM51" s="262"/>
      <c r="JN51" s="262"/>
      <c r="JO51" s="262"/>
      <c r="JP51" s="262"/>
      <c r="JQ51" s="262"/>
      <c r="JR51" s="262"/>
      <c r="JS51" s="262"/>
      <c r="JT51" s="262"/>
      <c r="JU51" s="262"/>
      <c r="JV51" s="262"/>
      <c r="JW51" s="262"/>
      <c r="JX51" s="262"/>
      <c r="JY51" s="262"/>
      <c r="JZ51" s="262"/>
      <c r="KA51" s="262"/>
      <c r="KB51" s="262"/>
      <c r="KC51" s="262"/>
      <c r="KD51" s="262"/>
      <c r="KE51" s="262"/>
      <c r="KF51" s="262"/>
      <c r="KG51" s="262"/>
      <c r="KH51" s="262"/>
      <c r="KI51" s="262"/>
      <c r="KJ51" s="262"/>
      <c r="KK51" s="262"/>
      <c r="KL51" s="262"/>
      <c r="KM51" s="262"/>
      <c r="KN51" s="262"/>
      <c r="KO51" s="262"/>
      <c r="KP51" s="262"/>
      <c r="KQ51" s="262"/>
      <c r="KR51" s="262"/>
      <c r="KS51" s="262"/>
      <c r="KT51" s="262"/>
      <c r="KU51" s="262"/>
      <c r="KV51" s="262"/>
      <c r="KW51" s="262"/>
      <c r="KX51" s="262"/>
      <c r="KY51" s="262"/>
      <c r="KZ51" s="262"/>
      <c r="LA51" s="262"/>
      <c r="LB51" s="262"/>
      <c r="LC51" s="262"/>
      <c r="LD51" s="262"/>
      <c r="LE51" s="262"/>
      <c r="LF51" s="262"/>
      <c r="LG51" s="262"/>
      <c r="LH51" s="262"/>
      <c r="LI51" s="262"/>
      <c r="LJ51" s="262"/>
      <c r="LK51" s="262"/>
      <c r="LL51" s="262"/>
      <c r="LM51" s="262"/>
      <c r="LN51" s="262"/>
      <c r="LO51" s="262"/>
      <c r="LP51" s="262"/>
      <c r="LQ51" s="262"/>
      <c r="LR51" s="262"/>
      <c r="LS51" s="262"/>
      <c r="LT51" s="262"/>
      <c r="LU51" s="262"/>
      <c r="LV51" s="262"/>
      <c r="LW51" s="262"/>
      <c r="LX51" s="262"/>
      <c r="LY51" s="262"/>
      <c r="LZ51" s="262"/>
      <c r="MA51" s="262"/>
      <c r="MB51" s="262"/>
      <c r="MC51" s="262"/>
      <c r="MD51" s="262"/>
      <c r="ME51" s="262"/>
      <c r="MF51" s="262"/>
      <c r="MG51" s="262"/>
      <c r="MH51" s="262"/>
      <c r="MI51" s="262"/>
      <c r="MJ51" s="262"/>
      <c r="MK51" s="262"/>
      <c r="ML51" s="262"/>
      <c r="MM51" s="262"/>
      <c r="MN51" s="262"/>
      <c r="MO51" s="262"/>
      <c r="MP51" s="262"/>
      <c r="MQ51" s="262"/>
      <c r="MR51" s="262"/>
      <c r="MS51" s="262"/>
      <c r="MT51" s="262"/>
      <c r="MU51" s="262"/>
      <c r="MV51" s="262"/>
      <c r="MW51" s="262"/>
      <c r="MX51" s="262"/>
      <c r="MY51" s="262"/>
      <c r="MZ51" s="262"/>
      <c r="NA51" s="262"/>
      <c r="NB51" s="262"/>
      <c r="NC51" s="262"/>
      <c r="ND51" s="262"/>
      <c r="NE51" s="262"/>
    </row>
    <row r="52" spans="1:369">
      <c r="A52" s="241"/>
      <c r="B52" s="241"/>
      <c r="C52" s="241"/>
      <c r="D52" s="264">
        <f>AVERAGE(D38:AG38)</f>
        <v>0.8660714285714286</v>
      </c>
      <c r="E52" s="264">
        <f>AVERAGE(AH37:BI37)</f>
        <v>0.56500000000000006</v>
      </c>
      <c r="F52" s="278">
        <f>AVERAGE(BL37:CN37)</f>
        <v>0.66666666666666663</v>
      </c>
      <c r="G52" s="278">
        <f>AVERAGE(CP37:DR37)</f>
        <v>0.99473684210526303</v>
      </c>
      <c r="H52" s="278">
        <f>AVERAGE(CO37:DR37)</f>
        <v>0.97499999999999998</v>
      </c>
      <c r="I52" s="278">
        <f>AVERAGE(ES37:GA37)</f>
        <v>0.96</v>
      </c>
      <c r="J52" s="278">
        <f>AVERAGE(GB37:HF37)</f>
        <v>1</v>
      </c>
      <c r="K52" s="278">
        <f>AVERAGE(HG37:IK37)</f>
        <v>0.99047619047619051</v>
      </c>
      <c r="L52" s="278">
        <f>AVERAGE(IL37:JO37)</f>
        <v>1</v>
      </c>
      <c r="M52" s="278">
        <f>AVERAGE(JP37:KT37)</f>
        <v>1</v>
      </c>
      <c r="N52" s="278">
        <f>AVERAGE(KU37:LX37)</f>
        <v>1</v>
      </c>
      <c r="O52" s="278">
        <f>AVERAGE(LY37:NC37)</f>
        <v>1</v>
      </c>
      <c r="P52" s="284">
        <f t="shared" si="242"/>
        <v>0.91816259398496236</v>
      </c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1"/>
      <c r="CA52" s="241"/>
      <c r="CB52" s="241"/>
      <c r="CC52" s="241"/>
      <c r="CD52" s="241"/>
      <c r="CE52" s="241"/>
      <c r="CF52" s="241"/>
      <c r="CG52" s="241"/>
      <c r="CH52" s="241"/>
      <c r="CI52" s="262"/>
      <c r="CJ52" s="262"/>
      <c r="CK52" s="262"/>
      <c r="CL52" s="262"/>
      <c r="CM52" s="262"/>
      <c r="CN52" s="262"/>
      <c r="CO52" s="262"/>
      <c r="CP52" s="262"/>
      <c r="CQ52" s="262"/>
      <c r="CR52" s="262"/>
      <c r="CS52" s="262"/>
      <c r="CT52" s="262"/>
      <c r="CU52" s="262"/>
      <c r="CV52" s="262"/>
      <c r="CW52" s="262"/>
      <c r="CX52" s="262"/>
      <c r="CY52" s="262"/>
      <c r="CZ52" s="262"/>
      <c r="DA52" s="262"/>
      <c r="DB52" s="262"/>
      <c r="DC52" s="262"/>
      <c r="DD52" s="262"/>
      <c r="DE52" s="262"/>
      <c r="DF52" s="262"/>
      <c r="DG52" s="262"/>
      <c r="DH52" s="262"/>
      <c r="DI52" s="262"/>
      <c r="DJ52" s="262"/>
      <c r="DK52" s="262"/>
      <c r="DL52" s="262"/>
      <c r="DM52" s="262"/>
      <c r="DN52" s="262"/>
      <c r="DO52" s="262"/>
      <c r="DP52" s="262"/>
      <c r="DQ52" s="262"/>
      <c r="DR52" s="262"/>
      <c r="DS52" s="262"/>
      <c r="DT52" s="262"/>
      <c r="DU52" s="262"/>
      <c r="DV52" s="262"/>
      <c r="DW52" s="262"/>
      <c r="DX52" s="262"/>
      <c r="DY52" s="262"/>
      <c r="DZ52" s="262"/>
      <c r="EA52" s="262"/>
      <c r="EB52" s="262"/>
      <c r="EC52" s="262"/>
      <c r="ED52" s="262"/>
      <c r="EE52" s="262"/>
      <c r="EF52" s="262"/>
      <c r="EG52" s="262"/>
      <c r="EH52" s="262"/>
      <c r="EI52" s="262"/>
      <c r="EJ52" s="262"/>
      <c r="EK52" s="262"/>
      <c r="EL52" s="262"/>
      <c r="EM52" s="262"/>
      <c r="EN52" s="262"/>
      <c r="EO52" s="262"/>
      <c r="EP52" s="262"/>
      <c r="EQ52" s="262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  <c r="GI52" s="262"/>
      <c r="GJ52" s="262"/>
      <c r="GK52" s="262"/>
      <c r="GL52" s="262"/>
      <c r="GM52" s="262"/>
      <c r="GN52" s="262"/>
      <c r="GO52" s="262"/>
      <c r="GP52" s="262"/>
      <c r="GQ52" s="262"/>
      <c r="GR52" s="262"/>
      <c r="GS52" s="262"/>
      <c r="GT52" s="262"/>
      <c r="GU52" s="262"/>
      <c r="GV52" s="262"/>
      <c r="GW52" s="262"/>
      <c r="GX52" s="262"/>
      <c r="GY52" s="262"/>
      <c r="GZ52" s="262"/>
      <c r="HA52" s="262"/>
      <c r="HB52" s="262"/>
      <c r="HC52" s="262"/>
      <c r="HD52" s="262"/>
      <c r="HE52" s="262"/>
      <c r="HF52" s="262"/>
      <c r="HG52" s="262"/>
      <c r="HH52" s="262"/>
      <c r="HI52" s="262"/>
      <c r="HJ52" s="262"/>
      <c r="HK52" s="262"/>
      <c r="HL52" s="262"/>
      <c r="HM52" s="262"/>
      <c r="HN52" s="262"/>
      <c r="HO52" s="262"/>
      <c r="HP52" s="262"/>
      <c r="HQ52" s="262"/>
      <c r="HR52" s="262"/>
      <c r="HS52" s="262"/>
      <c r="HT52" s="262"/>
      <c r="HU52" s="262"/>
      <c r="HV52" s="262"/>
      <c r="HW52" s="262"/>
      <c r="HX52" s="262"/>
      <c r="HY52" s="262"/>
      <c r="HZ52" s="262"/>
      <c r="IA52" s="262"/>
      <c r="IB52" s="262"/>
      <c r="IC52" s="262"/>
      <c r="ID52" s="262"/>
      <c r="IE52" s="262"/>
      <c r="IF52" s="262"/>
      <c r="IG52" s="262"/>
      <c r="IH52" s="262"/>
      <c r="II52" s="262"/>
      <c r="IJ52" s="262"/>
      <c r="IK52" s="262"/>
      <c r="IL52" s="262"/>
      <c r="IM52" s="262"/>
      <c r="IN52" s="262"/>
      <c r="IO52" s="262"/>
      <c r="IP52" s="262"/>
      <c r="IQ52" s="262"/>
      <c r="IR52" s="262"/>
      <c r="IS52" s="262"/>
      <c r="IT52" s="262"/>
      <c r="IU52" s="262"/>
      <c r="IV52" s="262"/>
      <c r="IW52" s="262"/>
      <c r="IX52" s="262"/>
      <c r="IY52" s="262"/>
      <c r="IZ52" s="262"/>
      <c r="JA52" s="262"/>
      <c r="JB52" s="262"/>
      <c r="JC52" s="262"/>
      <c r="JD52" s="262"/>
      <c r="JE52" s="262"/>
      <c r="JF52" s="262"/>
      <c r="JG52" s="262"/>
      <c r="JH52" s="262"/>
      <c r="JI52" s="262"/>
      <c r="JJ52" s="262"/>
      <c r="JK52" s="262"/>
      <c r="JL52" s="262"/>
      <c r="JM52" s="262"/>
      <c r="JN52" s="262"/>
      <c r="JO52" s="262"/>
      <c r="JP52" s="262"/>
      <c r="JQ52" s="262"/>
      <c r="JR52" s="262"/>
      <c r="JS52" s="262"/>
      <c r="JT52" s="262"/>
      <c r="JU52" s="262"/>
      <c r="JV52" s="262"/>
      <c r="JW52" s="262"/>
      <c r="JX52" s="262"/>
      <c r="JY52" s="262"/>
      <c r="JZ52" s="262"/>
      <c r="KA52" s="262"/>
      <c r="KB52" s="262"/>
      <c r="KC52" s="262"/>
      <c r="KD52" s="262"/>
      <c r="KE52" s="262"/>
      <c r="KF52" s="262"/>
      <c r="KG52" s="262"/>
      <c r="KH52" s="262"/>
      <c r="KI52" s="262"/>
      <c r="KJ52" s="262"/>
      <c r="KK52" s="262"/>
      <c r="KL52" s="262"/>
      <c r="KM52" s="262"/>
      <c r="KN52" s="262"/>
      <c r="KO52" s="262"/>
      <c r="KP52" s="262"/>
      <c r="KQ52" s="262"/>
      <c r="KR52" s="262"/>
      <c r="KS52" s="262"/>
      <c r="KT52" s="262"/>
      <c r="KU52" s="262"/>
      <c r="KV52" s="262"/>
      <c r="KW52" s="262"/>
      <c r="KX52" s="262"/>
      <c r="KY52" s="262"/>
      <c r="KZ52" s="262"/>
      <c r="LA52" s="262"/>
      <c r="LB52" s="262"/>
      <c r="LC52" s="262"/>
      <c r="LD52" s="262"/>
      <c r="LE52" s="262"/>
      <c r="LF52" s="262"/>
      <c r="LG52" s="262"/>
      <c r="LH52" s="262"/>
      <c r="LI52" s="262"/>
      <c r="LJ52" s="262"/>
      <c r="LK52" s="262"/>
      <c r="LL52" s="262"/>
      <c r="LM52" s="262"/>
      <c r="LN52" s="262"/>
      <c r="LO52" s="262"/>
      <c r="LP52" s="262"/>
      <c r="LQ52" s="262"/>
      <c r="LR52" s="262"/>
      <c r="LS52" s="262"/>
      <c r="LT52" s="262"/>
      <c r="LU52" s="262"/>
      <c r="LV52" s="262"/>
      <c r="LW52" s="262"/>
      <c r="LX52" s="262"/>
      <c r="LY52" s="262"/>
      <c r="LZ52" s="262"/>
      <c r="MA52" s="262"/>
      <c r="MB52" s="262"/>
      <c r="MC52" s="262"/>
      <c r="MD52" s="262"/>
      <c r="ME52" s="262"/>
      <c r="MF52" s="262"/>
      <c r="MG52" s="262"/>
      <c r="MH52" s="262"/>
      <c r="MI52" s="262"/>
      <c r="MJ52" s="262"/>
      <c r="MK52" s="262"/>
      <c r="ML52" s="262"/>
      <c r="MM52" s="262"/>
      <c r="MN52" s="262"/>
      <c r="MO52" s="262"/>
      <c r="MP52" s="262"/>
      <c r="MQ52" s="262"/>
      <c r="MR52" s="262"/>
      <c r="MS52" s="262"/>
      <c r="MT52" s="262"/>
      <c r="MU52" s="262"/>
      <c r="MV52" s="262"/>
      <c r="MW52" s="262"/>
      <c r="MX52" s="262"/>
      <c r="MY52" s="262"/>
      <c r="MZ52" s="262"/>
      <c r="NA52" s="262"/>
      <c r="NB52" s="262"/>
      <c r="NC52" s="262"/>
      <c r="ND52" s="262"/>
      <c r="NE52" s="262"/>
    </row>
    <row r="53" spans="1:369">
      <c r="A53" s="241"/>
      <c r="B53" s="241"/>
      <c r="C53" s="241"/>
      <c r="D53" s="285">
        <f>AVERAGE(D47:D52)</f>
        <v>0.79242063492063486</v>
      </c>
      <c r="E53" s="285">
        <f t="shared" ref="E53:P53" si="243">AVERAGE(E47:E52)</f>
        <v>0.69175000000000009</v>
      </c>
      <c r="F53" s="285">
        <f t="shared" si="243"/>
        <v>0.80899470899470904</v>
      </c>
      <c r="G53" s="285">
        <f t="shared" si="243"/>
        <v>0.99171052631578949</v>
      </c>
      <c r="H53" s="285">
        <f t="shared" si="243"/>
        <v>0.98499999999999999</v>
      </c>
      <c r="I53" s="285">
        <f t="shared" si="243"/>
        <v>0.99</v>
      </c>
      <c r="J53" s="285">
        <f t="shared" si="243"/>
        <v>0.97826086956521741</v>
      </c>
      <c r="K53" s="285">
        <f t="shared" si="243"/>
        <v>0.99809523809523815</v>
      </c>
      <c r="L53" s="285">
        <f t="shared" si="243"/>
        <v>1</v>
      </c>
      <c r="M53" s="285">
        <f t="shared" si="243"/>
        <v>1</v>
      </c>
      <c r="N53" s="285">
        <f t="shared" si="243"/>
        <v>0.97624999999999995</v>
      </c>
      <c r="O53" s="285">
        <f t="shared" si="243"/>
        <v>1</v>
      </c>
      <c r="P53" s="285">
        <f t="shared" si="243"/>
        <v>0.93437349815763238</v>
      </c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1"/>
      <c r="AY53" s="241"/>
      <c r="AZ53" s="241"/>
      <c r="BA53" s="241"/>
      <c r="BB53" s="241"/>
      <c r="BC53" s="241"/>
      <c r="BD53" s="241"/>
      <c r="BE53" s="241"/>
      <c r="BF53" s="241"/>
      <c r="BG53" s="241"/>
      <c r="BH53" s="241"/>
      <c r="BI53" s="241"/>
      <c r="BJ53" s="241"/>
      <c r="BK53" s="241"/>
      <c r="BL53" s="241"/>
      <c r="BM53" s="241"/>
      <c r="BN53" s="241"/>
      <c r="BO53" s="241"/>
      <c r="BP53" s="241"/>
      <c r="BQ53" s="241"/>
      <c r="BR53" s="241"/>
      <c r="BS53" s="241"/>
      <c r="BT53" s="241"/>
      <c r="BU53" s="241"/>
      <c r="BV53" s="241"/>
      <c r="BW53" s="241"/>
      <c r="BX53" s="241"/>
      <c r="BY53" s="241"/>
      <c r="BZ53" s="241"/>
      <c r="CA53" s="241"/>
      <c r="CB53" s="241"/>
      <c r="CC53" s="241"/>
      <c r="CD53" s="241"/>
      <c r="CE53" s="241"/>
      <c r="CF53" s="241"/>
      <c r="CG53" s="241"/>
      <c r="CH53" s="241"/>
      <c r="CI53" s="262"/>
      <c r="CJ53" s="262"/>
      <c r="CK53" s="262"/>
      <c r="CL53" s="262"/>
      <c r="CM53" s="262"/>
      <c r="CN53" s="262"/>
      <c r="CO53" s="262"/>
      <c r="CP53" s="262"/>
      <c r="CQ53" s="262"/>
      <c r="CR53" s="262"/>
      <c r="CS53" s="262"/>
      <c r="CT53" s="262"/>
      <c r="CU53" s="262"/>
      <c r="CV53" s="262"/>
      <c r="CW53" s="262"/>
      <c r="CX53" s="262"/>
      <c r="CY53" s="262"/>
      <c r="CZ53" s="262"/>
      <c r="DA53" s="262"/>
      <c r="DB53" s="262"/>
      <c r="DC53" s="262"/>
      <c r="DD53" s="262"/>
      <c r="DE53" s="262"/>
      <c r="DF53" s="262"/>
      <c r="DG53" s="262"/>
      <c r="DH53" s="262"/>
      <c r="DI53" s="262"/>
      <c r="DJ53" s="262"/>
      <c r="DK53" s="262"/>
      <c r="DL53" s="262"/>
      <c r="DM53" s="262"/>
      <c r="DN53" s="262"/>
      <c r="DO53" s="262"/>
      <c r="DP53" s="262"/>
      <c r="DQ53" s="262"/>
      <c r="DR53" s="262"/>
      <c r="DS53" s="262"/>
      <c r="DT53" s="262"/>
      <c r="DU53" s="262"/>
      <c r="DV53" s="262"/>
      <c r="DW53" s="262"/>
      <c r="DX53" s="262"/>
      <c r="DY53" s="262"/>
      <c r="DZ53" s="262"/>
      <c r="EA53" s="262"/>
      <c r="EB53" s="262"/>
      <c r="EC53" s="262"/>
      <c r="ED53" s="262"/>
      <c r="EE53" s="262"/>
      <c r="EF53" s="262"/>
      <c r="EG53" s="262"/>
      <c r="EH53" s="262"/>
      <c r="EI53" s="262"/>
      <c r="EJ53" s="262"/>
      <c r="EK53" s="262"/>
      <c r="EL53" s="262"/>
      <c r="EM53" s="262"/>
      <c r="EN53" s="262"/>
      <c r="EO53" s="262"/>
      <c r="EP53" s="262"/>
      <c r="EQ53" s="262"/>
      <c r="ER53" s="262"/>
      <c r="ES53" s="262"/>
      <c r="ET53" s="262"/>
      <c r="EU53" s="262"/>
      <c r="EV53" s="262"/>
      <c r="EW53" s="262"/>
      <c r="EX53" s="262"/>
      <c r="EY53" s="262"/>
      <c r="EZ53" s="262"/>
      <c r="FA53" s="262"/>
      <c r="FB53" s="262"/>
      <c r="FC53" s="262"/>
      <c r="FD53" s="262"/>
      <c r="FE53" s="262"/>
      <c r="FF53" s="262"/>
      <c r="FG53" s="262"/>
      <c r="FH53" s="262"/>
      <c r="FI53" s="262"/>
      <c r="FJ53" s="262"/>
      <c r="FK53" s="262"/>
      <c r="FL53" s="262"/>
      <c r="FM53" s="262"/>
      <c r="FN53" s="262"/>
      <c r="FO53" s="262"/>
      <c r="FP53" s="262"/>
      <c r="FQ53" s="262"/>
      <c r="FR53" s="262"/>
      <c r="FS53" s="262"/>
      <c r="FT53" s="262"/>
      <c r="FU53" s="262"/>
      <c r="FV53" s="262"/>
      <c r="FW53" s="262"/>
      <c r="FX53" s="262"/>
      <c r="FY53" s="262"/>
      <c r="FZ53" s="262"/>
      <c r="GA53" s="262"/>
      <c r="GB53" s="262"/>
      <c r="GC53" s="262"/>
      <c r="GD53" s="262"/>
      <c r="GE53" s="262"/>
      <c r="GF53" s="262"/>
      <c r="GG53" s="262"/>
      <c r="GH53" s="262"/>
      <c r="GI53" s="262"/>
      <c r="GJ53" s="262"/>
      <c r="GK53" s="262"/>
      <c r="GL53" s="262"/>
      <c r="GM53" s="262"/>
      <c r="GN53" s="262"/>
      <c r="GO53" s="262"/>
      <c r="GP53" s="262"/>
      <c r="GQ53" s="262"/>
      <c r="GR53" s="262"/>
      <c r="GS53" s="262"/>
      <c r="GT53" s="262"/>
      <c r="GU53" s="262"/>
      <c r="GV53" s="262"/>
      <c r="GW53" s="262"/>
      <c r="GX53" s="262"/>
      <c r="GY53" s="262"/>
      <c r="GZ53" s="262"/>
      <c r="HA53" s="262"/>
      <c r="HB53" s="262"/>
      <c r="HC53" s="262"/>
      <c r="HD53" s="262"/>
      <c r="HE53" s="262"/>
      <c r="HF53" s="262"/>
      <c r="HG53" s="262"/>
      <c r="HH53" s="262"/>
      <c r="HI53" s="262"/>
      <c r="HJ53" s="262"/>
      <c r="HK53" s="262"/>
      <c r="HL53" s="262"/>
      <c r="HM53" s="262"/>
      <c r="HN53" s="262"/>
      <c r="HO53" s="262"/>
      <c r="HP53" s="262"/>
      <c r="HQ53" s="262"/>
      <c r="HR53" s="262"/>
      <c r="HS53" s="262"/>
      <c r="HT53" s="262"/>
      <c r="HU53" s="262"/>
      <c r="HV53" s="262"/>
      <c r="HW53" s="262"/>
      <c r="HX53" s="262"/>
      <c r="HY53" s="262"/>
      <c r="HZ53" s="262"/>
      <c r="IA53" s="262"/>
      <c r="IB53" s="262"/>
      <c r="IC53" s="262"/>
      <c r="ID53" s="262"/>
      <c r="IE53" s="262"/>
      <c r="IF53" s="262"/>
      <c r="IG53" s="262"/>
      <c r="IH53" s="262"/>
      <c r="II53" s="262"/>
      <c r="IJ53" s="262"/>
      <c r="IK53" s="262"/>
      <c r="IL53" s="262"/>
      <c r="IM53" s="262"/>
      <c r="IN53" s="262"/>
      <c r="IO53" s="262"/>
      <c r="IP53" s="262"/>
      <c r="IQ53" s="262"/>
      <c r="IR53" s="262"/>
      <c r="IS53" s="262"/>
      <c r="IT53" s="262"/>
      <c r="IU53" s="262"/>
      <c r="IV53" s="262"/>
      <c r="IW53" s="262"/>
      <c r="IX53" s="262"/>
      <c r="IY53" s="262"/>
      <c r="IZ53" s="262"/>
      <c r="JA53" s="262"/>
      <c r="JB53" s="262"/>
      <c r="JC53" s="262"/>
      <c r="JD53" s="262"/>
      <c r="JE53" s="262"/>
      <c r="JF53" s="262"/>
      <c r="JG53" s="262"/>
      <c r="JH53" s="262"/>
      <c r="JI53" s="262"/>
      <c r="JJ53" s="262"/>
      <c r="JK53" s="262"/>
      <c r="JL53" s="262"/>
      <c r="JM53" s="262"/>
      <c r="JN53" s="262"/>
      <c r="JO53" s="262"/>
      <c r="JP53" s="262"/>
      <c r="JQ53" s="262"/>
      <c r="JR53" s="262"/>
      <c r="JS53" s="262"/>
      <c r="JT53" s="262"/>
      <c r="JU53" s="262"/>
      <c r="JV53" s="262"/>
      <c r="JW53" s="262"/>
      <c r="JX53" s="262"/>
      <c r="JY53" s="262"/>
      <c r="JZ53" s="262"/>
      <c r="KA53" s="262"/>
      <c r="KB53" s="262"/>
      <c r="KC53" s="262"/>
      <c r="KD53" s="262"/>
      <c r="KE53" s="262"/>
      <c r="KF53" s="262"/>
      <c r="KG53" s="262"/>
      <c r="KH53" s="262"/>
      <c r="KI53" s="262"/>
      <c r="KJ53" s="262"/>
      <c r="KK53" s="262"/>
      <c r="KL53" s="262"/>
      <c r="KM53" s="262"/>
      <c r="KN53" s="262"/>
      <c r="KO53" s="262"/>
      <c r="KP53" s="262"/>
      <c r="KQ53" s="262"/>
      <c r="KR53" s="262"/>
      <c r="KS53" s="262"/>
      <c r="KT53" s="262"/>
      <c r="KU53" s="262"/>
      <c r="KV53" s="262"/>
      <c r="KW53" s="262"/>
      <c r="KX53" s="262"/>
      <c r="KY53" s="262"/>
      <c r="KZ53" s="262"/>
      <c r="LA53" s="262"/>
      <c r="LB53" s="262"/>
      <c r="LC53" s="262"/>
      <c r="LD53" s="262"/>
      <c r="LE53" s="262"/>
      <c r="LF53" s="262"/>
      <c r="LG53" s="262"/>
      <c r="LH53" s="262"/>
      <c r="LI53" s="262"/>
      <c r="LJ53" s="262"/>
      <c r="LK53" s="262"/>
      <c r="LL53" s="262"/>
      <c r="LM53" s="262"/>
      <c r="LN53" s="262"/>
      <c r="LO53" s="262"/>
      <c r="LP53" s="262"/>
      <c r="LQ53" s="262"/>
      <c r="LR53" s="262"/>
      <c r="LS53" s="262"/>
      <c r="LT53" s="262"/>
      <c r="LU53" s="262"/>
      <c r="LV53" s="262"/>
      <c r="LW53" s="262"/>
      <c r="LX53" s="262"/>
      <c r="LY53" s="262"/>
      <c r="LZ53" s="262"/>
      <c r="MA53" s="262"/>
      <c r="MB53" s="262"/>
      <c r="MC53" s="262"/>
      <c r="MD53" s="262"/>
      <c r="ME53" s="262"/>
      <c r="MF53" s="262"/>
      <c r="MG53" s="262"/>
      <c r="MH53" s="262"/>
      <c r="MI53" s="262"/>
      <c r="MJ53" s="262"/>
      <c r="MK53" s="262"/>
      <c r="ML53" s="262"/>
      <c r="MM53" s="262"/>
      <c r="MN53" s="262"/>
      <c r="MO53" s="262"/>
      <c r="MP53" s="262"/>
      <c r="MQ53" s="262"/>
      <c r="MR53" s="262"/>
      <c r="MS53" s="262"/>
      <c r="MT53" s="262"/>
      <c r="MU53" s="262"/>
      <c r="MV53" s="262"/>
      <c r="MW53" s="262"/>
      <c r="MX53" s="262"/>
      <c r="MY53" s="262"/>
      <c r="MZ53" s="262"/>
      <c r="NA53" s="262"/>
      <c r="NB53" s="262"/>
      <c r="NC53" s="262"/>
      <c r="ND53" s="262"/>
      <c r="NE53" s="262"/>
    </row>
    <row r="54" spans="1:369" s="241" customFormat="1"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2"/>
      <c r="DH54" s="262"/>
      <c r="DI54" s="262"/>
      <c r="DJ54" s="262"/>
      <c r="DK54" s="262"/>
      <c r="DL54" s="262"/>
      <c r="DM54" s="262"/>
      <c r="DN54" s="262"/>
      <c r="DO54" s="262"/>
      <c r="DP54" s="262"/>
      <c r="DQ54" s="262"/>
      <c r="DR54" s="262"/>
      <c r="DS54" s="262"/>
      <c r="DT54" s="262"/>
      <c r="DU54" s="262"/>
      <c r="DV54" s="262"/>
      <c r="DW54" s="262"/>
      <c r="DX54" s="262"/>
      <c r="DY54" s="262"/>
      <c r="DZ54" s="262"/>
      <c r="EA54" s="262"/>
      <c r="EB54" s="262"/>
      <c r="EC54" s="262"/>
      <c r="ED54" s="262"/>
      <c r="EE54" s="262"/>
      <c r="EF54" s="262"/>
      <c r="EG54" s="262"/>
      <c r="EH54" s="262"/>
      <c r="EI54" s="262"/>
      <c r="EJ54" s="262"/>
      <c r="EK54" s="262"/>
      <c r="EL54" s="262"/>
      <c r="EM54" s="262"/>
      <c r="EN54" s="262"/>
      <c r="EO54" s="262"/>
      <c r="EP54" s="262"/>
      <c r="EQ54" s="262"/>
      <c r="ER54" s="262"/>
      <c r="ES54" s="262"/>
      <c r="ET54" s="262"/>
      <c r="EU54" s="262"/>
      <c r="EV54" s="262"/>
      <c r="EW54" s="262"/>
      <c r="EX54" s="262"/>
      <c r="EY54" s="262"/>
      <c r="EZ54" s="262"/>
      <c r="FA54" s="262"/>
      <c r="FB54" s="262"/>
      <c r="FC54" s="262"/>
      <c r="FD54" s="262"/>
      <c r="FE54" s="262"/>
      <c r="FF54" s="262"/>
      <c r="FG54" s="262"/>
      <c r="FH54" s="262"/>
      <c r="FI54" s="262"/>
      <c r="FJ54" s="262"/>
      <c r="FK54" s="262"/>
      <c r="FL54" s="262"/>
      <c r="FM54" s="262"/>
      <c r="FN54" s="262"/>
      <c r="FO54" s="262"/>
      <c r="FP54" s="262"/>
      <c r="FQ54" s="262"/>
      <c r="FR54" s="262"/>
      <c r="FS54" s="262"/>
      <c r="FT54" s="262"/>
      <c r="FU54" s="262"/>
      <c r="FV54" s="262"/>
      <c r="FW54" s="262"/>
      <c r="FX54" s="262"/>
      <c r="FY54" s="262"/>
      <c r="FZ54" s="262"/>
      <c r="GA54" s="262"/>
      <c r="GB54" s="262"/>
      <c r="GC54" s="262"/>
      <c r="GD54" s="262"/>
      <c r="GE54" s="262"/>
      <c r="GF54" s="262"/>
      <c r="GG54" s="262"/>
      <c r="GH54" s="262"/>
      <c r="GI54" s="262"/>
      <c r="GJ54" s="262"/>
      <c r="GK54" s="262"/>
      <c r="GL54" s="262"/>
      <c r="GM54" s="262"/>
      <c r="GN54" s="262"/>
      <c r="GO54" s="262"/>
      <c r="GP54" s="262"/>
      <c r="GQ54" s="262"/>
      <c r="GR54" s="262"/>
      <c r="GS54" s="262"/>
      <c r="GT54" s="262"/>
      <c r="GU54" s="262"/>
      <c r="GV54" s="262"/>
      <c r="GW54" s="262"/>
      <c r="GX54" s="262"/>
      <c r="GY54" s="262"/>
      <c r="GZ54" s="262"/>
      <c r="HA54" s="262"/>
      <c r="HB54" s="262"/>
      <c r="HC54" s="262"/>
      <c r="HD54" s="262"/>
      <c r="HE54" s="262"/>
      <c r="HF54" s="262"/>
      <c r="HG54" s="262"/>
      <c r="HH54" s="262"/>
      <c r="HI54" s="262"/>
      <c r="HJ54" s="262"/>
      <c r="HK54" s="262"/>
      <c r="HL54" s="262"/>
      <c r="HM54" s="262"/>
      <c r="HN54" s="262"/>
      <c r="HO54" s="262"/>
      <c r="HP54" s="262"/>
      <c r="HQ54" s="262"/>
      <c r="HR54" s="262"/>
      <c r="HS54" s="262"/>
      <c r="HT54" s="262"/>
      <c r="HU54" s="262"/>
      <c r="HV54" s="262"/>
      <c r="HW54" s="262"/>
      <c r="HX54" s="262"/>
      <c r="HY54" s="262"/>
      <c r="HZ54" s="262"/>
      <c r="IA54" s="262"/>
      <c r="IB54" s="262"/>
      <c r="IC54" s="262"/>
      <c r="ID54" s="262"/>
      <c r="IE54" s="262"/>
      <c r="IF54" s="262"/>
      <c r="IG54" s="262"/>
      <c r="IH54" s="262"/>
      <c r="II54" s="262"/>
      <c r="IJ54" s="262"/>
      <c r="IK54" s="262"/>
      <c r="IL54" s="262"/>
      <c r="IM54" s="262"/>
      <c r="IN54" s="262"/>
      <c r="IO54" s="262"/>
      <c r="IP54" s="262"/>
      <c r="IQ54" s="262"/>
      <c r="IR54" s="262"/>
      <c r="IS54" s="262"/>
      <c r="IT54" s="262"/>
      <c r="IU54" s="262"/>
      <c r="IV54" s="262"/>
      <c r="IW54" s="262"/>
      <c r="IX54" s="262"/>
      <c r="IY54" s="262"/>
      <c r="IZ54" s="262"/>
      <c r="JA54" s="262"/>
      <c r="JB54" s="262"/>
      <c r="JC54" s="262"/>
      <c r="JD54" s="262"/>
      <c r="JE54" s="262"/>
      <c r="JF54" s="262"/>
      <c r="JG54" s="262"/>
      <c r="JH54" s="262"/>
      <c r="JI54" s="262"/>
      <c r="JJ54" s="262"/>
      <c r="JK54" s="262"/>
      <c r="JL54" s="262"/>
      <c r="JM54" s="262"/>
      <c r="JN54" s="262"/>
      <c r="JO54" s="262"/>
      <c r="JP54" s="262"/>
      <c r="JQ54" s="262"/>
      <c r="JR54" s="262"/>
      <c r="JS54" s="262"/>
      <c r="JT54" s="262"/>
      <c r="JU54" s="262"/>
      <c r="JV54" s="262"/>
      <c r="JW54" s="262"/>
      <c r="JX54" s="262"/>
      <c r="JY54" s="262"/>
      <c r="JZ54" s="262"/>
      <c r="KA54" s="262"/>
      <c r="KB54" s="262"/>
      <c r="KC54" s="262"/>
      <c r="KD54" s="262"/>
      <c r="KE54" s="262"/>
      <c r="KF54" s="262"/>
      <c r="KG54" s="262"/>
      <c r="KH54" s="262"/>
      <c r="KI54" s="262"/>
      <c r="KJ54" s="262"/>
      <c r="KK54" s="262"/>
      <c r="KL54" s="262"/>
      <c r="KM54" s="262"/>
      <c r="KN54" s="262"/>
      <c r="KO54" s="262"/>
      <c r="KP54" s="262"/>
      <c r="KQ54" s="262"/>
      <c r="KR54" s="262"/>
      <c r="KS54" s="262"/>
      <c r="KT54" s="262"/>
      <c r="KU54" s="262"/>
      <c r="KV54" s="262"/>
      <c r="KW54" s="262"/>
      <c r="KX54" s="262"/>
      <c r="KY54" s="262"/>
      <c r="KZ54" s="262"/>
      <c r="LA54" s="262"/>
      <c r="LB54" s="262"/>
      <c r="LC54" s="262"/>
      <c r="LD54" s="262"/>
      <c r="LE54" s="262"/>
      <c r="LF54" s="262"/>
      <c r="LG54" s="262"/>
      <c r="LH54" s="262"/>
      <c r="LI54" s="262"/>
      <c r="LJ54" s="262"/>
      <c r="LK54" s="262"/>
      <c r="LL54" s="262"/>
      <c r="LM54" s="262"/>
      <c r="LN54" s="262"/>
      <c r="LO54" s="262"/>
      <c r="LP54" s="262"/>
      <c r="LQ54" s="262"/>
      <c r="LR54" s="262"/>
      <c r="LS54" s="262"/>
      <c r="LT54" s="262"/>
      <c r="LU54" s="262"/>
      <c r="LV54" s="262"/>
      <c r="LW54" s="262"/>
      <c r="LX54" s="262"/>
      <c r="LY54" s="262"/>
      <c r="LZ54" s="262"/>
      <c r="MA54" s="262"/>
      <c r="MB54" s="262"/>
      <c r="MC54" s="262"/>
      <c r="MD54" s="262"/>
      <c r="ME54" s="262"/>
      <c r="MF54" s="262"/>
      <c r="MG54" s="262"/>
      <c r="MH54" s="262"/>
      <c r="MI54" s="262"/>
      <c r="MJ54" s="262"/>
      <c r="MK54" s="262"/>
      <c r="ML54" s="262"/>
      <c r="MM54" s="262"/>
      <c r="MN54" s="262"/>
      <c r="MO54" s="262"/>
      <c r="MP54" s="262"/>
      <c r="MQ54" s="262"/>
      <c r="MR54" s="262"/>
      <c r="MS54" s="262"/>
      <c r="MT54" s="262"/>
      <c r="MU54" s="262"/>
      <c r="MV54" s="262"/>
      <c r="MW54" s="262"/>
      <c r="MX54" s="262"/>
      <c r="MY54" s="262"/>
      <c r="MZ54" s="262"/>
      <c r="NA54" s="262"/>
      <c r="NB54" s="262"/>
      <c r="NC54" s="262"/>
      <c r="ND54" s="262"/>
      <c r="NE54" s="262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BF3F-0BBB-4E3E-A47D-C9325C7D6B43}">
  <sheetPr codeName="Sheet2"/>
  <dimension ref="A1:NJ52"/>
  <sheetViews>
    <sheetView workbookViewId="0">
      <pane xSplit="3" ySplit="1" topLeftCell="LC2" activePane="bottomRight" state="frozen"/>
      <selection pane="bottomRight" activeCell="LL20" sqref="LL20"/>
      <selection pane="bottomLeft"/>
      <selection pane="topRight"/>
    </sheetView>
  </sheetViews>
  <sheetFormatPr defaultColWidth="9.140625" defaultRowHeight="14.45"/>
  <cols>
    <col min="1" max="1" width="19.28515625" style="1" bestFit="1" customWidth="1"/>
    <col min="2" max="2" width="25.28515625" style="1" customWidth="1"/>
    <col min="3" max="3" width="15.7109375" style="1" hidden="1" customWidth="1"/>
    <col min="4" max="4" width="23" style="1" customWidth="1"/>
    <col min="5" max="5" width="20.5703125" style="1" customWidth="1"/>
    <col min="6" max="6" width="16.7109375" style="1" customWidth="1"/>
    <col min="7" max="8" width="11.7109375" style="1" customWidth="1"/>
    <col min="9" max="13" width="14.28515625" style="1" customWidth="1"/>
    <col min="14" max="15" width="11.7109375" style="1" customWidth="1"/>
    <col min="16" max="20" width="14.28515625" style="1" customWidth="1"/>
    <col min="21" max="22" width="11.7109375" style="1" customWidth="1"/>
    <col min="23" max="27" width="14.28515625" style="1" customWidth="1"/>
    <col min="28" max="29" width="11.7109375" style="1" customWidth="1"/>
    <col min="30" max="34" width="14.28515625" style="1" customWidth="1"/>
    <col min="35" max="36" width="11.7109375" style="1" customWidth="1"/>
    <col min="37" max="41" width="14.28515625" style="1" customWidth="1"/>
    <col min="42" max="43" width="11.7109375" style="1" customWidth="1"/>
    <col min="44" max="46" width="14.28515625" style="1" customWidth="1"/>
    <col min="47" max="47" width="20.140625" style="1" customWidth="1"/>
    <col min="48" max="48" width="14.28515625" style="1" customWidth="1"/>
    <col min="49" max="50" width="11.7109375" style="1" customWidth="1"/>
    <col min="51" max="55" width="14.28515625" style="1" customWidth="1"/>
    <col min="56" max="57" width="11.7109375" style="1" customWidth="1"/>
    <col min="58" max="62" width="19" style="1" customWidth="1"/>
    <col min="63" max="64" width="11.7109375" style="1" customWidth="1"/>
    <col min="65" max="69" width="14.28515625" style="1" customWidth="1"/>
    <col min="70" max="71" width="11.7109375" style="1" customWidth="1"/>
    <col min="72" max="76" width="14.28515625" style="1" customWidth="1"/>
    <col min="77" max="78" width="11.7109375" style="1" customWidth="1"/>
    <col min="79" max="83" width="15.7109375" style="1" customWidth="1"/>
    <col min="84" max="85" width="11.7109375" style="1" customWidth="1"/>
    <col min="86" max="90" width="14.28515625" style="1" customWidth="1"/>
    <col min="91" max="92" width="11.7109375" style="1" customWidth="1"/>
    <col min="93" max="97" width="14.28515625" style="1" customWidth="1"/>
    <col min="98" max="99" width="11.7109375" style="1" customWidth="1"/>
    <col min="100" max="104" width="14.28515625" style="1" customWidth="1"/>
    <col min="105" max="106" width="11.7109375" style="1" customWidth="1"/>
    <col min="107" max="110" width="14.28515625" style="1" customWidth="1"/>
    <col min="111" max="114" width="11.7109375" style="1" customWidth="1"/>
    <col min="115" max="118" width="14.28515625" style="1" customWidth="1"/>
    <col min="119" max="120" width="12.42578125" style="1" customWidth="1"/>
    <col min="121" max="125" width="14.28515625" style="1" customWidth="1"/>
    <col min="126" max="127" width="11.7109375" style="1" customWidth="1"/>
    <col min="128" max="136" width="12.28515625" style="1" customWidth="1"/>
    <col min="137" max="155" width="11.7109375" style="1" customWidth="1"/>
    <col min="156" max="160" width="12.28515625" style="1" customWidth="1"/>
    <col min="161" max="162" width="11.7109375" style="1" customWidth="1"/>
    <col min="163" max="163" width="12.28515625" style="1" customWidth="1"/>
    <col min="164" max="194" width="11.7109375" style="1" customWidth="1"/>
    <col min="195" max="195" width="12.28515625" style="1" customWidth="1"/>
    <col min="196" max="196" width="11.7109375" style="1" customWidth="1"/>
    <col min="197" max="197" width="12" style="1" customWidth="1"/>
    <col min="198" max="198" width="13" style="1" customWidth="1"/>
    <col min="199" max="199" width="13.5703125" style="1" customWidth="1"/>
    <col min="200" max="200" width="14" style="1" customWidth="1"/>
    <col min="201" max="201" width="15.140625" style="1" customWidth="1"/>
    <col min="202" max="202" width="14.7109375" style="1" customWidth="1"/>
    <col min="203" max="204" width="11.7109375" style="1" customWidth="1"/>
    <col min="205" max="206" width="14" style="1" customWidth="1"/>
    <col min="207" max="207" width="11.7109375" style="1" customWidth="1"/>
    <col min="208" max="208" width="17.85546875" style="1" customWidth="1"/>
    <col min="209" max="209" width="18.140625" style="1" customWidth="1"/>
    <col min="210" max="218" width="11.7109375" style="1" customWidth="1"/>
    <col min="219" max="219" width="12.28515625" style="1" customWidth="1"/>
    <col min="220" max="240" width="11.7109375" style="1" customWidth="1"/>
    <col min="241" max="241" width="15.28515625" style="1" customWidth="1"/>
    <col min="242" max="242" width="13.42578125" style="1" customWidth="1"/>
    <col min="243" max="246" width="11.7109375" style="1" customWidth="1"/>
    <col min="247" max="247" width="11.7109375" style="1" bestFit="1" customWidth="1"/>
    <col min="248" max="248" width="12.7109375" style="1" customWidth="1"/>
    <col min="249" max="281" width="11.7109375" style="1" bestFit="1" customWidth="1"/>
    <col min="282" max="282" width="12.28515625" style="1" bestFit="1" customWidth="1"/>
    <col min="283" max="290" width="11.7109375" style="1" bestFit="1" customWidth="1"/>
    <col min="291" max="291" width="12.5703125" style="1" customWidth="1"/>
    <col min="292" max="292" width="11.7109375" style="1" bestFit="1" customWidth="1"/>
    <col min="293" max="293" width="13.140625" style="1" customWidth="1"/>
    <col min="294" max="303" width="11.7109375" style="1" bestFit="1" customWidth="1"/>
    <col min="304" max="305" width="13.5703125" style="1" customWidth="1"/>
    <col min="306" max="318" width="11.7109375" style="1" bestFit="1" customWidth="1"/>
    <col min="319" max="319" width="12" style="1" customWidth="1"/>
    <col min="320" max="320" width="11.42578125" style="1" customWidth="1"/>
    <col min="321" max="321" width="15" style="1" customWidth="1"/>
    <col min="322" max="323" width="11.7109375" style="1" bestFit="1" customWidth="1"/>
    <col min="324" max="324" width="13.85546875" style="1" customWidth="1"/>
    <col min="325" max="326" width="11.7109375" style="1" bestFit="1" customWidth="1"/>
    <col min="327" max="327" width="12.140625" style="1" bestFit="1" customWidth="1"/>
    <col min="328" max="328" width="14.42578125" style="1" bestFit="1" customWidth="1"/>
    <col min="329" max="353" width="11.7109375" style="1" bestFit="1" customWidth="1"/>
    <col min="354" max="354" width="12.28515625" style="1" customWidth="1"/>
    <col min="355" max="368" width="11.7109375" style="1" bestFit="1" customWidth="1"/>
    <col min="369" max="370" width="10.85546875" style="1" bestFit="1" customWidth="1"/>
    <col min="371" max="16384" width="9.140625" style="1"/>
  </cols>
  <sheetData>
    <row r="1" spans="1:374" s="88" customFormat="1">
      <c r="A1" s="101" t="s">
        <v>52</v>
      </c>
      <c r="B1" s="102" t="s">
        <v>384</v>
      </c>
      <c r="C1" s="103" t="s">
        <v>54</v>
      </c>
      <c r="D1" s="89">
        <v>45658</v>
      </c>
      <c r="E1" s="89">
        <v>45659</v>
      </c>
      <c r="F1" s="89">
        <v>45660</v>
      </c>
      <c r="G1" s="89">
        <v>45661</v>
      </c>
      <c r="H1" s="89">
        <v>45662</v>
      </c>
      <c r="I1" s="89">
        <v>45663</v>
      </c>
      <c r="J1" s="89">
        <v>45664</v>
      </c>
      <c r="K1" s="89">
        <v>45665</v>
      </c>
      <c r="L1" s="89">
        <v>45666</v>
      </c>
      <c r="M1" s="89">
        <v>45667</v>
      </c>
      <c r="N1" s="89">
        <v>45668</v>
      </c>
      <c r="O1" s="89">
        <v>45669</v>
      </c>
      <c r="P1" s="89">
        <v>45670</v>
      </c>
      <c r="Q1" s="89">
        <v>45671</v>
      </c>
      <c r="R1" s="89">
        <v>45672</v>
      </c>
      <c r="S1" s="89">
        <v>45673</v>
      </c>
      <c r="T1" s="89">
        <v>45674</v>
      </c>
      <c r="U1" s="89">
        <v>45675</v>
      </c>
      <c r="V1" s="89">
        <v>45676</v>
      </c>
      <c r="W1" s="89">
        <v>45677</v>
      </c>
      <c r="X1" s="89">
        <v>45678</v>
      </c>
      <c r="Y1" s="89">
        <v>45679</v>
      </c>
      <c r="Z1" s="89">
        <v>45680</v>
      </c>
      <c r="AA1" s="89">
        <v>45681</v>
      </c>
      <c r="AB1" s="89">
        <v>45682</v>
      </c>
      <c r="AC1" s="89">
        <v>45683</v>
      </c>
      <c r="AD1" s="89">
        <v>45684</v>
      </c>
      <c r="AE1" s="89">
        <v>45685</v>
      </c>
      <c r="AF1" s="89">
        <v>45686</v>
      </c>
      <c r="AG1" s="89">
        <v>45687</v>
      </c>
      <c r="AH1" s="89">
        <v>45688</v>
      </c>
      <c r="AI1" s="89">
        <v>45689</v>
      </c>
      <c r="AJ1" s="89">
        <v>45690</v>
      </c>
      <c r="AK1" s="89">
        <v>45691</v>
      </c>
      <c r="AL1" s="89">
        <v>45692</v>
      </c>
      <c r="AM1" s="89">
        <v>45693</v>
      </c>
      <c r="AN1" s="89">
        <v>45694</v>
      </c>
      <c r="AO1" s="89">
        <v>45695</v>
      </c>
      <c r="AP1" s="89">
        <v>45696</v>
      </c>
      <c r="AQ1" s="89">
        <v>45697</v>
      </c>
      <c r="AR1" s="89">
        <v>45698</v>
      </c>
      <c r="AS1" s="89">
        <v>45699</v>
      </c>
      <c r="AT1" s="89">
        <v>45700</v>
      </c>
      <c r="AU1" s="89">
        <v>45701</v>
      </c>
      <c r="AV1" s="89">
        <v>45702</v>
      </c>
      <c r="AW1" s="89">
        <v>45703</v>
      </c>
      <c r="AX1" s="89">
        <v>45704</v>
      </c>
      <c r="AY1" s="89">
        <v>45705</v>
      </c>
      <c r="AZ1" s="89">
        <v>45706</v>
      </c>
      <c r="BA1" s="89">
        <v>45707</v>
      </c>
      <c r="BB1" s="89">
        <v>45708</v>
      </c>
      <c r="BC1" s="89">
        <v>45709</v>
      </c>
      <c r="BD1" s="89">
        <v>45710</v>
      </c>
      <c r="BE1" s="89">
        <v>45711</v>
      </c>
      <c r="BF1" s="89">
        <v>45712</v>
      </c>
      <c r="BG1" s="89">
        <v>45713</v>
      </c>
      <c r="BH1" s="89">
        <v>45714</v>
      </c>
      <c r="BI1" s="89">
        <v>45715</v>
      </c>
      <c r="BJ1" s="89">
        <v>45716</v>
      </c>
      <c r="BK1" s="89">
        <v>45717</v>
      </c>
      <c r="BL1" s="89">
        <v>45718</v>
      </c>
      <c r="BM1" s="89">
        <v>45719</v>
      </c>
      <c r="BN1" s="89">
        <v>45720</v>
      </c>
      <c r="BO1" s="89">
        <v>45721</v>
      </c>
      <c r="BP1" s="89">
        <v>45722</v>
      </c>
      <c r="BQ1" s="89">
        <v>45723</v>
      </c>
      <c r="BR1" s="89">
        <v>45724</v>
      </c>
      <c r="BS1" s="89">
        <v>45725</v>
      </c>
      <c r="BT1" s="89">
        <v>45726</v>
      </c>
      <c r="BU1" s="89">
        <v>45727</v>
      </c>
      <c r="BV1" s="89">
        <v>45728</v>
      </c>
      <c r="BW1" s="89">
        <v>45729</v>
      </c>
      <c r="BX1" s="89">
        <v>45730</v>
      </c>
      <c r="BY1" s="89">
        <v>45731</v>
      </c>
      <c r="BZ1" s="89">
        <v>45732</v>
      </c>
      <c r="CA1" s="89">
        <v>45733</v>
      </c>
      <c r="CB1" s="89">
        <v>45734</v>
      </c>
      <c r="CC1" s="89">
        <v>45735</v>
      </c>
      <c r="CD1" s="89">
        <v>45736</v>
      </c>
      <c r="CE1" s="89">
        <v>45737</v>
      </c>
      <c r="CF1" s="89">
        <v>45738</v>
      </c>
      <c r="CG1" s="89">
        <v>45739</v>
      </c>
      <c r="CH1" s="89">
        <v>45740</v>
      </c>
      <c r="CI1" s="89">
        <v>45741</v>
      </c>
      <c r="CJ1" s="89">
        <v>45742</v>
      </c>
      <c r="CK1" s="89">
        <v>45743</v>
      </c>
      <c r="CL1" s="89">
        <v>45744</v>
      </c>
      <c r="CM1" s="89">
        <v>45745</v>
      </c>
      <c r="CN1" s="89">
        <v>45746</v>
      </c>
      <c r="CO1" s="89">
        <v>45747</v>
      </c>
      <c r="CP1" s="89">
        <v>45748</v>
      </c>
      <c r="CQ1" s="89">
        <v>45749</v>
      </c>
      <c r="CR1" s="89">
        <v>45750</v>
      </c>
      <c r="CS1" s="89">
        <v>45751</v>
      </c>
      <c r="CT1" s="89">
        <v>45752</v>
      </c>
      <c r="CU1" s="89">
        <v>45753</v>
      </c>
      <c r="CV1" s="89">
        <v>45754</v>
      </c>
      <c r="CW1" s="89">
        <v>45755</v>
      </c>
      <c r="CX1" s="89">
        <v>45756</v>
      </c>
      <c r="CY1" s="89">
        <v>45757</v>
      </c>
      <c r="CZ1" s="89">
        <v>45758</v>
      </c>
      <c r="DA1" s="89">
        <v>45759</v>
      </c>
      <c r="DB1" s="89">
        <v>45760</v>
      </c>
      <c r="DC1" s="89">
        <v>45761</v>
      </c>
      <c r="DD1" s="89">
        <v>45762</v>
      </c>
      <c r="DE1" s="89">
        <v>45763</v>
      </c>
      <c r="DF1" s="89">
        <v>45764</v>
      </c>
      <c r="DG1" s="89">
        <v>45765</v>
      </c>
      <c r="DH1" s="89">
        <v>45766</v>
      </c>
      <c r="DI1" s="89">
        <v>45767</v>
      </c>
      <c r="DJ1" s="89">
        <v>45768</v>
      </c>
      <c r="DK1" s="89">
        <v>45769</v>
      </c>
      <c r="DL1" s="89">
        <v>45770</v>
      </c>
      <c r="DM1" s="89">
        <v>45771</v>
      </c>
      <c r="DN1" s="89">
        <v>45772</v>
      </c>
      <c r="DO1" s="89">
        <v>45773</v>
      </c>
      <c r="DP1" s="89">
        <v>45774</v>
      </c>
      <c r="DQ1" s="89">
        <v>45775</v>
      </c>
      <c r="DR1" s="89">
        <v>45776</v>
      </c>
      <c r="DS1" s="89">
        <v>45777</v>
      </c>
      <c r="DT1" s="89">
        <v>45778</v>
      </c>
      <c r="DU1" s="89">
        <v>45779</v>
      </c>
      <c r="DV1" s="89">
        <v>45780</v>
      </c>
      <c r="DW1" s="89">
        <v>45781</v>
      </c>
      <c r="DX1" s="89">
        <v>45782</v>
      </c>
      <c r="DY1" s="89">
        <v>45783</v>
      </c>
      <c r="DZ1" s="89">
        <v>45784</v>
      </c>
      <c r="EA1" s="89">
        <v>45785</v>
      </c>
      <c r="EB1" s="89">
        <v>45786</v>
      </c>
      <c r="EC1" s="89">
        <v>45787</v>
      </c>
      <c r="ED1" s="89">
        <v>45788</v>
      </c>
      <c r="EE1" s="89">
        <v>45789</v>
      </c>
      <c r="EF1" s="89">
        <v>45790</v>
      </c>
      <c r="EG1" s="89">
        <v>45791</v>
      </c>
      <c r="EH1" s="89">
        <v>45792</v>
      </c>
      <c r="EI1" s="89">
        <v>45793</v>
      </c>
      <c r="EJ1" s="89">
        <v>45794</v>
      </c>
      <c r="EK1" s="89">
        <v>45795</v>
      </c>
      <c r="EL1" s="89">
        <v>45796</v>
      </c>
      <c r="EM1" s="89">
        <v>45797</v>
      </c>
      <c r="EN1" s="89">
        <v>45798</v>
      </c>
      <c r="EO1" s="89">
        <v>45799</v>
      </c>
      <c r="EP1" s="89">
        <v>45800</v>
      </c>
      <c r="EQ1" s="89">
        <v>45801</v>
      </c>
      <c r="ER1" s="89">
        <v>45802</v>
      </c>
      <c r="ES1" s="89">
        <v>45803</v>
      </c>
      <c r="ET1" s="89">
        <v>45804</v>
      </c>
      <c r="EU1" s="89">
        <v>45805</v>
      </c>
      <c r="EV1" s="89">
        <v>45806</v>
      </c>
      <c r="EW1" s="89">
        <v>45807</v>
      </c>
      <c r="EX1" s="89">
        <v>45808</v>
      </c>
      <c r="EY1" s="89">
        <v>45809</v>
      </c>
      <c r="EZ1" s="89">
        <v>45810</v>
      </c>
      <c r="FA1" s="89">
        <v>45811</v>
      </c>
      <c r="FB1" s="89">
        <v>45812</v>
      </c>
      <c r="FC1" s="89">
        <v>45813</v>
      </c>
      <c r="FD1" s="89">
        <v>45814</v>
      </c>
      <c r="FE1" s="89">
        <v>45815</v>
      </c>
      <c r="FF1" s="89">
        <v>45816</v>
      </c>
      <c r="FG1" s="89">
        <v>45817</v>
      </c>
      <c r="FH1" s="89">
        <v>45818</v>
      </c>
      <c r="FI1" s="89">
        <v>45819</v>
      </c>
      <c r="FJ1" s="89">
        <v>45820</v>
      </c>
      <c r="FK1" s="89">
        <v>45821</v>
      </c>
      <c r="FL1" s="89">
        <v>45822</v>
      </c>
      <c r="FM1" s="89">
        <v>45823</v>
      </c>
      <c r="FN1" s="89">
        <v>45824</v>
      </c>
      <c r="FO1" s="89">
        <v>45825</v>
      </c>
      <c r="FP1" s="89">
        <v>45826</v>
      </c>
      <c r="FQ1" s="89">
        <v>45827</v>
      </c>
      <c r="FR1" s="89">
        <v>45828</v>
      </c>
      <c r="FS1" s="89">
        <v>45829</v>
      </c>
      <c r="FT1" s="89">
        <v>45830</v>
      </c>
      <c r="FU1" s="89">
        <v>45831</v>
      </c>
      <c r="FV1" s="89">
        <v>45832</v>
      </c>
      <c r="FW1" s="89">
        <v>45833</v>
      </c>
      <c r="FX1" s="89">
        <v>45834</v>
      </c>
      <c r="FY1" s="89">
        <v>45835</v>
      </c>
      <c r="FZ1" s="89">
        <v>45836</v>
      </c>
      <c r="GA1" s="89">
        <v>45837</v>
      </c>
      <c r="GB1" s="89">
        <v>45838</v>
      </c>
      <c r="GC1" s="89">
        <v>45839</v>
      </c>
      <c r="GD1" s="89">
        <v>45840</v>
      </c>
      <c r="GE1" s="89">
        <v>45841</v>
      </c>
      <c r="GF1" s="89">
        <v>45842</v>
      </c>
      <c r="GG1" s="89">
        <v>45843</v>
      </c>
      <c r="GH1" s="89">
        <v>45844</v>
      </c>
      <c r="GI1" s="89">
        <v>45845</v>
      </c>
      <c r="GJ1" s="89">
        <v>45846</v>
      </c>
      <c r="GK1" s="89">
        <v>45847</v>
      </c>
      <c r="GL1" s="89">
        <v>45848</v>
      </c>
      <c r="GM1" s="89">
        <v>45849</v>
      </c>
      <c r="GN1" s="89">
        <v>45850</v>
      </c>
      <c r="GO1" s="89">
        <v>45851</v>
      </c>
      <c r="GP1" s="89">
        <v>45852</v>
      </c>
      <c r="GQ1" s="89">
        <v>45853</v>
      </c>
      <c r="GR1" s="89">
        <v>45854</v>
      </c>
      <c r="GS1" s="89">
        <v>45855</v>
      </c>
      <c r="GT1" s="89">
        <v>45856</v>
      </c>
      <c r="GU1" s="89">
        <v>45857</v>
      </c>
      <c r="GV1" s="89">
        <v>45858</v>
      </c>
      <c r="GW1" s="89">
        <v>45859</v>
      </c>
      <c r="GX1" s="89">
        <v>45860</v>
      </c>
      <c r="GY1" s="89">
        <v>45861</v>
      </c>
      <c r="GZ1" s="89">
        <v>45862</v>
      </c>
      <c r="HA1" s="89">
        <v>45863</v>
      </c>
      <c r="HB1" s="89">
        <v>45864</v>
      </c>
      <c r="HC1" s="89">
        <v>45865</v>
      </c>
      <c r="HD1" s="89">
        <v>45866</v>
      </c>
      <c r="HE1" s="89">
        <v>45867</v>
      </c>
      <c r="HF1" s="89">
        <v>45868</v>
      </c>
      <c r="HG1" s="89">
        <v>45869</v>
      </c>
      <c r="HH1" s="89">
        <v>45870</v>
      </c>
      <c r="HI1" s="89">
        <v>45871</v>
      </c>
      <c r="HJ1" s="89">
        <v>45872</v>
      </c>
      <c r="HK1" s="89">
        <v>45873</v>
      </c>
      <c r="HL1" s="89">
        <v>45874</v>
      </c>
      <c r="HM1" s="89">
        <v>45875</v>
      </c>
      <c r="HN1" s="89">
        <v>45876</v>
      </c>
      <c r="HO1" s="89">
        <v>45877</v>
      </c>
      <c r="HP1" s="89">
        <v>45878</v>
      </c>
      <c r="HQ1" s="89">
        <v>45879</v>
      </c>
      <c r="HR1" s="89">
        <v>45880</v>
      </c>
      <c r="HS1" s="89">
        <v>45881</v>
      </c>
      <c r="HT1" s="89">
        <v>45882</v>
      </c>
      <c r="HU1" s="89">
        <v>45883</v>
      </c>
      <c r="HV1" s="89">
        <v>45884</v>
      </c>
      <c r="HW1" s="89">
        <v>45885</v>
      </c>
      <c r="HX1" s="89">
        <v>45886</v>
      </c>
      <c r="HY1" s="89">
        <v>45887</v>
      </c>
      <c r="HZ1" s="89">
        <v>45888</v>
      </c>
      <c r="IA1" s="89">
        <v>45889</v>
      </c>
      <c r="IB1" s="89">
        <v>45890</v>
      </c>
      <c r="IC1" s="89">
        <v>45891</v>
      </c>
      <c r="ID1" s="89">
        <v>45892</v>
      </c>
      <c r="IE1" s="89">
        <v>45893</v>
      </c>
      <c r="IF1" s="89">
        <v>45894</v>
      </c>
      <c r="IG1" s="89">
        <v>45895</v>
      </c>
      <c r="IH1" s="89">
        <v>45896</v>
      </c>
      <c r="II1" s="89">
        <v>45897</v>
      </c>
      <c r="IJ1" s="89">
        <v>45898</v>
      </c>
      <c r="IK1" s="89">
        <v>45899</v>
      </c>
      <c r="IL1" s="89">
        <v>45900</v>
      </c>
      <c r="IM1" s="89">
        <v>45901</v>
      </c>
      <c r="IN1" s="89">
        <v>45902</v>
      </c>
      <c r="IO1" s="89">
        <v>45903</v>
      </c>
      <c r="IP1" s="89">
        <v>45904</v>
      </c>
      <c r="IQ1" s="89">
        <v>45905</v>
      </c>
      <c r="IR1" s="89">
        <v>45906</v>
      </c>
      <c r="IS1" s="89">
        <v>45907</v>
      </c>
      <c r="IT1" s="89">
        <v>45908</v>
      </c>
      <c r="IU1" s="89">
        <v>45909</v>
      </c>
      <c r="IV1" s="89">
        <v>45910</v>
      </c>
      <c r="IW1" s="89">
        <v>45911</v>
      </c>
      <c r="IX1" s="89">
        <v>45912</v>
      </c>
      <c r="IY1" s="89">
        <v>45913</v>
      </c>
      <c r="IZ1" s="89">
        <v>45914</v>
      </c>
      <c r="JA1" s="89">
        <v>45915</v>
      </c>
      <c r="JB1" s="89">
        <v>45916</v>
      </c>
      <c r="JC1" s="89">
        <v>45917</v>
      </c>
      <c r="JD1" s="89">
        <v>45918</v>
      </c>
      <c r="JE1" s="89">
        <v>45919</v>
      </c>
      <c r="JF1" s="89">
        <v>45920</v>
      </c>
      <c r="JG1" s="89">
        <v>45921</v>
      </c>
      <c r="JH1" s="89">
        <v>45922</v>
      </c>
      <c r="JI1" s="89">
        <v>45923</v>
      </c>
      <c r="JJ1" s="89">
        <v>45924</v>
      </c>
      <c r="JK1" s="89">
        <v>45925</v>
      </c>
      <c r="JL1" s="89">
        <v>45926</v>
      </c>
      <c r="JM1" s="89">
        <v>45927</v>
      </c>
      <c r="JN1" s="89">
        <v>45928</v>
      </c>
      <c r="JO1" s="89">
        <v>45929</v>
      </c>
      <c r="JP1" s="89">
        <v>45930</v>
      </c>
      <c r="JQ1" s="89">
        <v>45931</v>
      </c>
      <c r="JR1" s="89">
        <v>45932</v>
      </c>
      <c r="JS1" s="89">
        <v>45933</v>
      </c>
      <c r="JT1" s="89">
        <v>45934</v>
      </c>
      <c r="JU1" s="89">
        <v>45935</v>
      </c>
      <c r="JV1" s="89">
        <v>45936</v>
      </c>
      <c r="JW1" s="89">
        <v>45937</v>
      </c>
      <c r="JX1" s="89">
        <v>45938</v>
      </c>
      <c r="JY1" s="89">
        <v>45939</v>
      </c>
      <c r="JZ1" s="89">
        <v>45940</v>
      </c>
      <c r="KA1" s="89">
        <v>45941</v>
      </c>
      <c r="KB1" s="89">
        <v>45942</v>
      </c>
      <c r="KC1" s="89">
        <v>45943</v>
      </c>
      <c r="KD1" s="89">
        <v>45944</v>
      </c>
      <c r="KE1" s="89">
        <v>45945</v>
      </c>
      <c r="KF1" s="89">
        <v>45946</v>
      </c>
      <c r="KG1" s="89">
        <v>45947</v>
      </c>
      <c r="KH1" s="89">
        <v>45948</v>
      </c>
      <c r="KI1" s="89">
        <v>45949</v>
      </c>
      <c r="KJ1" s="89">
        <v>45950</v>
      </c>
      <c r="KK1" s="89">
        <v>45951</v>
      </c>
      <c r="KL1" s="89">
        <v>45952</v>
      </c>
      <c r="KM1" s="89">
        <v>45953</v>
      </c>
      <c r="KN1" s="89">
        <v>45954</v>
      </c>
      <c r="KO1" s="89">
        <v>45955</v>
      </c>
      <c r="KP1" s="89">
        <v>45956</v>
      </c>
      <c r="KQ1" s="89">
        <v>45957</v>
      </c>
      <c r="KR1" s="89">
        <v>45958</v>
      </c>
      <c r="KS1" s="89">
        <v>45959</v>
      </c>
      <c r="KT1" s="89">
        <v>45960</v>
      </c>
      <c r="KU1" s="89">
        <v>45961</v>
      </c>
      <c r="KV1" s="89">
        <v>45962</v>
      </c>
      <c r="KW1" s="89">
        <v>45963</v>
      </c>
      <c r="KX1" s="89">
        <v>45964</v>
      </c>
      <c r="KY1" s="89">
        <v>45965</v>
      </c>
      <c r="KZ1" s="89">
        <v>45966</v>
      </c>
      <c r="LA1" s="89">
        <v>45967</v>
      </c>
      <c r="LB1" s="89">
        <v>45968</v>
      </c>
      <c r="LC1" s="89">
        <v>45969</v>
      </c>
      <c r="LD1" s="89">
        <v>45970</v>
      </c>
      <c r="LE1" s="89">
        <v>45971</v>
      </c>
      <c r="LF1" s="89">
        <v>45972</v>
      </c>
      <c r="LG1" s="89">
        <v>45973</v>
      </c>
      <c r="LH1" s="89">
        <v>45974</v>
      </c>
      <c r="LI1" s="89">
        <v>45975</v>
      </c>
      <c r="LJ1" s="89">
        <v>45976</v>
      </c>
      <c r="LK1" s="89">
        <v>45977</v>
      </c>
      <c r="LL1" s="89">
        <v>45978</v>
      </c>
      <c r="LM1" s="89">
        <v>45979</v>
      </c>
      <c r="LN1" s="89">
        <v>45980</v>
      </c>
      <c r="LO1" s="89">
        <v>45981</v>
      </c>
      <c r="LP1" s="89">
        <v>45982</v>
      </c>
      <c r="LQ1" s="89">
        <v>45983</v>
      </c>
      <c r="LR1" s="89">
        <v>45984</v>
      </c>
      <c r="LS1" s="89">
        <v>45985</v>
      </c>
      <c r="LT1" s="89">
        <v>45986</v>
      </c>
      <c r="LU1" s="89">
        <v>45987</v>
      </c>
      <c r="LV1" s="89">
        <v>45988</v>
      </c>
      <c r="LW1" s="89">
        <v>45989</v>
      </c>
      <c r="LX1" s="89">
        <v>45990</v>
      </c>
      <c r="LY1" s="89">
        <v>45991</v>
      </c>
      <c r="LZ1" s="89">
        <v>45992</v>
      </c>
      <c r="MA1" s="89">
        <v>45993</v>
      </c>
      <c r="MB1" s="89">
        <v>45994</v>
      </c>
      <c r="MC1" s="89">
        <v>45995</v>
      </c>
      <c r="MD1" s="89">
        <v>45996</v>
      </c>
      <c r="ME1" s="89">
        <v>45997</v>
      </c>
      <c r="MF1" s="89">
        <v>45998</v>
      </c>
      <c r="MG1" s="89">
        <v>45999</v>
      </c>
      <c r="MH1" s="89">
        <v>46000</v>
      </c>
      <c r="MI1" s="89">
        <v>46001</v>
      </c>
      <c r="MJ1" s="89">
        <v>46002</v>
      </c>
      <c r="MK1" s="89">
        <v>46003</v>
      </c>
      <c r="ML1" s="89">
        <v>46004</v>
      </c>
      <c r="MM1" s="89">
        <v>46005</v>
      </c>
      <c r="MN1" s="89">
        <v>46006</v>
      </c>
      <c r="MO1" s="89">
        <v>46007</v>
      </c>
      <c r="MP1" s="89">
        <v>46008</v>
      </c>
      <c r="MQ1" s="89">
        <v>46009</v>
      </c>
      <c r="MR1" s="89">
        <v>46010</v>
      </c>
      <c r="MS1" s="89">
        <v>46011</v>
      </c>
      <c r="MT1" s="89">
        <v>46012</v>
      </c>
      <c r="MU1" s="89">
        <v>46013</v>
      </c>
      <c r="MV1" s="89">
        <v>46014</v>
      </c>
      <c r="MW1" s="89">
        <v>46015</v>
      </c>
      <c r="MX1" s="89">
        <v>46016</v>
      </c>
      <c r="MY1" s="89">
        <v>46017</v>
      </c>
      <c r="MZ1" s="89">
        <v>46018</v>
      </c>
      <c r="NA1" s="89">
        <v>46019</v>
      </c>
      <c r="NB1" s="89">
        <v>46020</v>
      </c>
      <c r="NC1" s="89">
        <v>46021</v>
      </c>
      <c r="ND1" s="89">
        <v>46022</v>
      </c>
      <c r="NE1" s="89">
        <v>45658</v>
      </c>
      <c r="NF1" s="226">
        <v>45659</v>
      </c>
      <c r="NG1" s="1"/>
      <c r="NH1" s="1"/>
      <c r="NI1" s="1"/>
      <c r="NJ1" s="1"/>
    </row>
    <row r="2" spans="1:374" s="88" customFormat="1">
      <c r="A2" s="104" t="s">
        <v>137</v>
      </c>
      <c r="B2" s="39"/>
      <c r="C2" s="105"/>
      <c r="D2" s="3"/>
      <c r="E2" s="39"/>
      <c r="F2" s="39"/>
      <c r="G2" s="3"/>
      <c r="H2" s="3"/>
      <c r="I2" s="39"/>
      <c r="J2" s="39"/>
      <c r="K2" s="39"/>
      <c r="L2" s="39"/>
      <c r="M2" s="39"/>
      <c r="N2" s="3"/>
      <c r="O2" s="3"/>
      <c r="P2" s="39"/>
      <c r="Q2" s="39"/>
      <c r="R2" s="39"/>
      <c r="S2" s="39"/>
      <c r="T2" s="39"/>
      <c r="U2" s="24"/>
      <c r="V2" s="24"/>
      <c r="W2" s="39"/>
      <c r="X2" s="39"/>
      <c r="Y2" s="39"/>
      <c r="Z2" s="39"/>
      <c r="AA2" s="39"/>
      <c r="AB2" s="24"/>
      <c r="AC2" s="24"/>
      <c r="AD2" s="39"/>
      <c r="AE2" s="39"/>
      <c r="AF2" s="39"/>
      <c r="AG2" s="39"/>
      <c r="AH2" s="39"/>
      <c r="AI2" s="24"/>
      <c r="AJ2" s="24"/>
      <c r="AK2" s="39"/>
      <c r="AL2" s="39"/>
      <c r="AM2" s="39"/>
      <c r="AN2" s="39"/>
      <c r="AO2" s="39"/>
      <c r="AP2" s="24"/>
      <c r="AQ2" s="24"/>
      <c r="AR2" s="39"/>
      <c r="AS2" s="39"/>
      <c r="AT2" s="39"/>
      <c r="AU2" s="39"/>
      <c r="AV2" s="39"/>
      <c r="AW2" s="24"/>
      <c r="AX2" s="24"/>
      <c r="AY2" s="39"/>
      <c r="AZ2" s="39"/>
      <c r="BA2" s="39"/>
      <c r="BB2" s="39"/>
      <c r="BC2" s="39"/>
      <c r="BD2" s="24"/>
      <c r="BE2" s="24"/>
      <c r="BF2" s="39"/>
      <c r="BG2" s="39"/>
      <c r="BH2" s="39"/>
      <c r="BI2" s="39"/>
      <c r="BJ2" s="39"/>
      <c r="BK2" s="24"/>
      <c r="BL2" s="24"/>
      <c r="BM2" s="39"/>
      <c r="BN2" s="39"/>
      <c r="BO2" s="39"/>
      <c r="BP2" s="39"/>
      <c r="BQ2" s="39"/>
      <c r="BR2" s="24"/>
      <c r="BS2" s="24"/>
      <c r="BT2" s="39"/>
      <c r="BU2" s="39"/>
      <c r="BV2" s="39"/>
      <c r="BW2" s="39"/>
      <c r="BX2" s="39"/>
      <c r="BY2" s="24"/>
      <c r="BZ2" s="24"/>
      <c r="CA2" s="39"/>
      <c r="CB2" s="39"/>
      <c r="CC2" s="39"/>
      <c r="CD2" s="39"/>
      <c r="CE2" s="39"/>
      <c r="CF2" s="24"/>
      <c r="CG2" s="24"/>
      <c r="CH2" s="39"/>
      <c r="CI2" s="39"/>
      <c r="CJ2" s="39"/>
      <c r="CK2" s="39"/>
      <c r="CL2" s="39"/>
      <c r="CM2" s="24"/>
      <c r="CN2" s="24"/>
      <c r="CO2" s="39"/>
      <c r="CP2" s="39"/>
      <c r="CQ2" s="39"/>
      <c r="CR2" s="39"/>
      <c r="CS2" s="39"/>
      <c r="CT2" s="24"/>
      <c r="CU2" s="24"/>
      <c r="CV2" s="39"/>
      <c r="CW2" s="39"/>
      <c r="CX2" s="39"/>
      <c r="CY2" s="39"/>
      <c r="CZ2" s="39"/>
      <c r="DA2" s="24"/>
      <c r="DB2" s="24"/>
      <c r="DC2" s="39"/>
      <c r="DD2" s="39"/>
      <c r="DE2" s="39"/>
      <c r="DF2" s="39"/>
      <c r="DG2" s="24"/>
      <c r="DH2" s="24"/>
      <c r="DI2" s="24"/>
      <c r="DJ2" s="24"/>
      <c r="DK2" s="39"/>
      <c r="DL2" s="39"/>
      <c r="DM2" s="39"/>
      <c r="DN2" s="39"/>
      <c r="DO2" s="24"/>
      <c r="DP2" s="24"/>
      <c r="DQ2" s="39"/>
      <c r="DR2" s="39"/>
      <c r="DS2" s="39"/>
      <c r="DT2" s="39"/>
      <c r="DU2" s="39"/>
      <c r="DV2" s="24"/>
      <c r="DW2" s="24"/>
      <c r="DX2" s="24"/>
      <c r="DY2" s="39"/>
      <c r="DZ2" s="39"/>
      <c r="EA2" s="39"/>
      <c r="EB2" s="39"/>
      <c r="EC2" s="24"/>
      <c r="ED2" s="24"/>
      <c r="EE2" s="39"/>
      <c r="EF2" s="39"/>
      <c r="EG2" s="39"/>
      <c r="EH2" s="39"/>
      <c r="EI2" s="39"/>
      <c r="EJ2" s="24"/>
      <c r="EK2" s="24"/>
      <c r="EL2" s="39"/>
      <c r="EM2" s="39"/>
      <c r="EN2" s="39"/>
      <c r="EO2" s="39"/>
      <c r="EP2" s="39"/>
      <c r="EQ2" s="24"/>
      <c r="ER2" s="24"/>
      <c r="ES2" s="24"/>
      <c r="ET2" s="39"/>
      <c r="EU2" s="39"/>
      <c r="EV2" s="39"/>
      <c r="EW2" s="39"/>
      <c r="EX2" s="24"/>
      <c r="EY2" s="24"/>
      <c r="EZ2" s="39"/>
      <c r="FA2" s="39"/>
      <c r="FB2" s="39"/>
      <c r="FC2" s="39"/>
      <c r="FD2" s="39"/>
      <c r="FE2" s="24"/>
      <c r="FF2" s="24"/>
      <c r="FG2" s="39"/>
      <c r="FH2" s="39"/>
      <c r="FI2" s="39"/>
      <c r="FJ2" s="39"/>
      <c r="FK2" s="39"/>
      <c r="FL2" s="24"/>
      <c r="FM2" s="24"/>
      <c r="FN2" s="39"/>
      <c r="FO2" s="39"/>
      <c r="FP2" s="39"/>
      <c r="FQ2" s="39"/>
      <c r="FR2" s="39"/>
      <c r="FS2" s="24"/>
      <c r="FT2" s="24"/>
      <c r="FU2" s="39"/>
      <c r="FV2" s="39"/>
      <c r="FW2" s="39"/>
      <c r="FX2" s="39"/>
      <c r="FY2" s="39"/>
      <c r="FZ2" s="24"/>
      <c r="GA2" s="24"/>
      <c r="GB2" s="39"/>
      <c r="GC2" s="39"/>
      <c r="GD2" s="39"/>
      <c r="GE2" s="39"/>
      <c r="GF2" s="39"/>
      <c r="GG2" s="24"/>
      <c r="GH2" s="24"/>
      <c r="GI2" s="39"/>
      <c r="GJ2" s="39"/>
      <c r="GK2" s="39"/>
      <c r="GL2" s="39"/>
      <c r="GM2" s="39"/>
      <c r="GN2" s="24"/>
      <c r="GO2" s="24"/>
      <c r="GP2" s="39"/>
      <c r="GQ2" s="39"/>
      <c r="GR2" s="39"/>
      <c r="GS2" s="39"/>
      <c r="GT2" s="39"/>
      <c r="GU2" s="24"/>
      <c r="GV2" s="24"/>
      <c r="GW2" s="39"/>
      <c r="GX2" s="39"/>
      <c r="GY2" s="39" t="s">
        <v>385</v>
      </c>
      <c r="GZ2" s="39"/>
      <c r="HA2" s="39"/>
      <c r="HB2" s="24"/>
      <c r="HC2" s="24"/>
      <c r="HD2" s="39"/>
      <c r="HE2" s="39"/>
      <c r="HF2" s="39" t="s">
        <v>385</v>
      </c>
      <c r="HG2" s="39"/>
      <c r="HH2" s="39"/>
      <c r="HI2" s="24"/>
      <c r="HJ2" s="24"/>
      <c r="HK2" s="39"/>
      <c r="HL2" s="39"/>
      <c r="HM2" s="39"/>
      <c r="HN2" s="39"/>
      <c r="HO2" s="39"/>
      <c r="HP2" s="24"/>
      <c r="HQ2" s="24"/>
      <c r="HR2" s="39"/>
      <c r="HS2" s="39"/>
      <c r="HT2" s="39"/>
      <c r="HU2" s="39"/>
      <c r="HV2" s="39"/>
      <c r="HW2" s="24"/>
      <c r="HX2" s="24"/>
      <c r="HY2" s="39"/>
      <c r="HZ2" s="39"/>
      <c r="IA2" s="39"/>
      <c r="IB2" s="39"/>
      <c r="IC2" s="39"/>
      <c r="ID2" s="24"/>
      <c r="IE2" s="24"/>
      <c r="IF2" s="39"/>
      <c r="IG2" s="39"/>
      <c r="IH2" s="39"/>
      <c r="II2" s="39"/>
      <c r="IJ2" s="39"/>
      <c r="IK2" s="24"/>
      <c r="IL2" s="24"/>
      <c r="IM2" s="39"/>
      <c r="IN2" s="39"/>
      <c r="IO2" s="39"/>
      <c r="IP2" s="39"/>
      <c r="IQ2" s="39"/>
      <c r="IR2" s="24"/>
      <c r="IS2" s="24"/>
      <c r="IT2" s="39"/>
      <c r="IU2" s="39"/>
      <c r="IV2" s="39"/>
      <c r="IW2" s="39"/>
      <c r="IX2" s="39"/>
      <c r="IY2" s="24"/>
      <c r="IZ2" s="24"/>
      <c r="JA2" s="39"/>
      <c r="JB2" s="39"/>
      <c r="JC2" s="39"/>
      <c r="JD2" s="39"/>
      <c r="JE2" s="39"/>
      <c r="JF2" s="24"/>
      <c r="JG2" s="24"/>
      <c r="JH2" s="39"/>
      <c r="JI2" s="39"/>
      <c r="JJ2" s="39"/>
      <c r="JK2" s="39"/>
      <c r="JL2" s="39"/>
      <c r="JM2" s="24"/>
      <c r="JN2" s="24"/>
      <c r="JO2" s="39"/>
      <c r="JP2" s="39"/>
      <c r="JQ2" s="39"/>
      <c r="JR2" s="39"/>
      <c r="JS2" s="39"/>
      <c r="JT2" s="24"/>
      <c r="JU2" s="24"/>
      <c r="JV2" s="39"/>
      <c r="JW2" s="39"/>
      <c r="JX2" s="39"/>
      <c r="JY2" s="39"/>
      <c r="JZ2" s="39"/>
      <c r="KA2" s="24"/>
      <c r="KB2" s="24"/>
      <c r="KC2" s="39"/>
      <c r="KD2" s="39"/>
      <c r="KE2" s="39"/>
      <c r="KF2" s="39"/>
      <c r="KG2" s="39"/>
      <c r="KH2" s="24"/>
      <c r="KI2" s="24"/>
      <c r="KJ2" s="39"/>
      <c r="KK2" s="39"/>
      <c r="KL2" s="39"/>
      <c r="KM2" s="39"/>
      <c r="KN2" s="39"/>
      <c r="KO2" s="24"/>
      <c r="KP2" s="24"/>
      <c r="KQ2" s="39"/>
      <c r="KR2" s="39"/>
      <c r="KS2" s="39"/>
      <c r="KT2" s="39"/>
      <c r="KU2" s="39"/>
      <c r="KV2" s="24"/>
      <c r="KW2" s="24"/>
      <c r="KX2" s="39"/>
      <c r="KY2" s="39"/>
      <c r="KZ2" s="39"/>
      <c r="LA2" s="39"/>
      <c r="LB2" s="39"/>
      <c r="LC2" s="24"/>
      <c r="LD2" s="24"/>
      <c r="LE2" s="39"/>
      <c r="LF2" s="39"/>
      <c r="LG2" s="39"/>
      <c r="LH2" s="39"/>
      <c r="LI2" s="39"/>
      <c r="LJ2" s="24"/>
      <c r="LK2" s="24"/>
      <c r="LL2" s="39"/>
      <c r="LM2" s="39"/>
      <c r="LN2" s="39"/>
      <c r="LO2" s="39"/>
      <c r="LP2" s="39"/>
      <c r="LQ2" s="24"/>
      <c r="LR2" s="24"/>
      <c r="LS2" s="39"/>
      <c r="LT2" s="39"/>
      <c r="LU2" s="39"/>
      <c r="LV2" s="39"/>
      <c r="LW2" s="39"/>
      <c r="LX2" s="24"/>
      <c r="LY2" s="24"/>
      <c r="LZ2" s="39"/>
      <c r="MA2" s="39"/>
      <c r="MB2" s="39"/>
      <c r="MC2" s="39"/>
      <c r="MD2" s="39"/>
      <c r="ME2" s="24"/>
      <c r="MF2" s="24"/>
      <c r="MG2" s="39"/>
      <c r="MH2" s="39"/>
      <c r="MI2" s="39"/>
      <c r="MJ2" s="39"/>
      <c r="MK2" s="39"/>
      <c r="ML2" s="24"/>
      <c r="MM2" s="24"/>
      <c r="MN2" s="39"/>
      <c r="MO2" s="39"/>
      <c r="MP2" s="39"/>
      <c r="MQ2" s="39"/>
      <c r="MR2" s="39"/>
      <c r="MS2" s="24"/>
      <c r="MT2" s="24"/>
      <c r="MU2" s="39"/>
      <c r="MV2" s="39"/>
      <c r="MW2" s="39"/>
      <c r="MX2" s="3"/>
      <c r="MY2" s="3"/>
      <c r="MZ2" s="24"/>
      <c r="NA2" s="24"/>
      <c r="NB2" s="199"/>
      <c r="NC2" s="199"/>
      <c r="ND2" s="199"/>
      <c r="NE2" s="24"/>
      <c r="NF2" s="199"/>
    </row>
    <row r="3" spans="1:374">
      <c r="A3" s="106" t="s">
        <v>138</v>
      </c>
      <c r="B3" s="48" t="s">
        <v>18</v>
      </c>
      <c r="C3" s="107" t="s">
        <v>234</v>
      </c>
      <c r="D3" s="3"/>
      <c r="E3" s="2" t="s">
        <v>143</v>
      </c>
      <c r="F3" s="2" t="s">
        <v>143</v>
      </c>
      <c r="G3" s="3"/>
      <c r="H3" s="3"/>
      <c r="I3" s="2" t="s">
        <v>143</v>
      </c>
      <c r="J3" s="2" t="s">
        <v>143</v>
      </c>
      <c r="K3" s="2" t="s">
        <v>143</v>
      </c>
      <c r="L3" s="2" t="s">
        <v>143</v>
      </c>
      <c r="M3" s="2" t="s">
        <v>143</v>
      </c>
      <c r="N3" s="3"/>
      <c r="O3" s="3"/>
      <c r="P3" s="2" t="s">
        <v>143</v>
      </c>
      <c r="Q3" s="2" t="s">
        <v>143</v>
      </c>
      <c r="R3" s="2" t="s">
        <v>143</v>
      </c>
      <c r="S3" s="2" t="s">
        <v>143</v>
      </c>
      <c r="T3" s="2" t="s">
        <v>143</v>
      </c>
      <c r="U3" s="3"/>
      <c r="V3" s="3"/>
      <c r="W3" s="2" t="s">
        <v>143</v>
      </c>
      <c r="X3" s="2" t="s">
        <v>143</v>
      </c>
      <c r="Y3" s="2" t="s">
        <v>143</v>
      </c>
      <c r="Z3" s="2" t="s">
        <v>143</v>
      </c>
      <c r="AA3" s="2" t="s">
        <v>143</v>
      </c>
      <c r="AB3" s="3"/>
      <c r="AC3" s="3"/>
      <c r="AD3" s="2" t="s">
        <v>143</v>
      </c>
      <c r="AE3" s="2" t="s">
        <v>143</v>
      </c>
      <c r="AF3" s="2" t="s">
        <v>143</v>
      </c>
      <c r="AG3" s="2" t="s">
        <v>143</v>
      </c>
      <c r="AH3" s="2" t="s">
        <v>143</v>
      </c>
      <c r="AI3" s="3"/>
      <c r="AJ3" s="3"/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3"/>
      <c r="AQ3" s="3"/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3"/>
      <c r="AX3" s="3"/>
      <c r="AY3" s="11" t="s">
        <v>141</v>
      </c>
      <c r="AZ3" s="11" t="s">
        <v>141</v>
      </c>
      <c r="BA3" s="11" t="s">
        <v>141</v>
      </c>
      <c r="BB3" s="11" t="s">
        <v>141</v>
      </c>
      <c r="BC3" s="11" t="s">
        <v>141</v>
      </c>
      <c r="BD3" s="3"/>
      <c r="BE3" s="3"/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3"/>
      <c r="BL3" s="3"/>
      <c r="BM3" s="2" t="s">
        <v>143</v>
      </c>
      <c r="BN3" s="2" t="s">
        <v>143</v>
      </c>
      <c r="BO3" s="2" t="s">
        <v>143</v>
      </c>
      <c r="BP3" s="2" t="s">
        <v>143</v>
      </c>
      <c r="BQ3" s="11" t="s">
        <v>141</v>
      </c>
      <c r="BR3" s="3"/>
      <c r="BS3" s="3"/>
      <c r="BT3" s="2" t="s">
        <v>143</v>
      </c>
      <c r="BU3" s="2" t="s">
        <v>143</v>
      </c>
      <c r="BV3" s="2" t="s">
        <v>143</v>
      </c>
      <c r="BW3" s="2" t="s">
        <v>143</v>
      </c>
      <c r="BX3" s="11" t="s">
        <v>141</v>
      </c>
      <c r="BY3" s="3"/>
      <c r="BZ3" s="3"/>
      <c r="CA3" s="2" t="s">
        <v>143</v>
      </c>
      <c r="CB3" s="2" t="s">
        <v>143</v>
      </c>
      <c r="CC3" s="2" t="s">
        <v>143</v>
      </c>
      <c r="CD3" s="2" t="s">
        <v>143</v>
      </c>
      <c r="CE3" s="11" t="s">
        <v>141</v>
      </c>
      <c r="CF3" s="3"/>
      <c r="CG3" s="3"/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3"/>
      <c r="CN3" s="3"/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3"/>
      <c r="CU3" s="3"/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3"/>
      <c r="DB3" s="3"/>
      <c r="DC3" s="2" t="s">
        <v>143</v>
      </c>
      <c r="DD3" s="2" t="s">
        <v>143</v>
      </c>
      <c r="DE3" s="81" t="s">
        <v>141</v>
      </c>
      <c r="DF3" s="2" t="s">
        <v>143</v>
      </c>
      <c r="DG3" s="3"/>
      <c r="DH3" s="3"/>
      <c r="DI3" s="3"/>
      <c r="DJ3" s="3"/>
      <c r="DK3" s="2" t="s">
        <v>143</v>
      </c>
      <c r="DL3" s="81" t="s">
        <v>141</v>
      </c>
      <c r="DM3" s="2" t="s">
        <v>143</v>
      </c>
      <c r="DN3" s="2" t="s">
        <v>143</v>
      </c>
      <c r="DO3" s="3"/>
      <c r="DP3" s="3"/>
      <c r="DQ3" s="2" t="s">
        <v>143</v>
      </c>
      <c r="DR3" s="2" t="s">
        <v>143</v>
      </c>
      <c r="DS3" s="2" t="s">
        <v>143</v>
      </c>
      <c r="DT3" s="2" t="s">
        <v>143</v>
      </c>
      <c r="DU3" s="2" t="s">
        <v>143</v>
      </c>
      <c r="DV3" s="3"/>
      <c r="DW3" s="3"/>
      <c r="DX3" s="3"/>
      <c r="DY3" s="2" t="s">
        <v>143</v>
      </c>
      <c r="DZ3" s="2" t="s">
        <v>143</v>
      </c>
      <c r="EA3" s="2" t="s">
        <v>143</v>
      </c>
      <c r="EB3" s="2" t="s">
        <v>143</v>
      </c>
      <c r="EC3" s="3"/>
      <c r="ED3" s="3"/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3"/>
      <c r="EK3" s="3"/>
      <c r="EL3" s="2" t="s">
        <v>143</v>
      </c>
      <c r="EM3" s="2" t="s">
        <v>143</v>
      </c>
      <c r="EN3" s="2" t="s">
        <v>143</v>
      </c>
      <c r="EO3" s="2" t="s">
        <v>143</v>
      </c>
      <c r="EP3" s="2" t="s">
        <v>143</v>
      </c>
      <c r="EQ3" s="3"/>
      <c r="ER3" s="3"/>
      <c r="ES3" s="3"/>
      <c r="ET3" s="81" t="s">
        <v>141</v>
      </c>
      <c r="EU3" s="81" t="s">
        <v>141</v>
      </c>
      <c r="EV3" s="81" t="s">
        <v>141</v>
      </c>
      <c r="EW3" s="81" t="s">
        <v>141</v>
      </c>
      <c r="EX3" s="3"/>
      <c r="EY3" s="3"/>
      <c r="EZ3" s="2" t="s">
        <v>143</v>
      </c>
      <c r="FA3" s="2" t="s">
        <v>143</v>
      </c>
      <c r="FB3" s="2" t="s">
        <v>143</v>
      </c>
      <c r="FC3" s="2" t="s">
        <v>143</v>
      </c>
      <c r="FD3" s="2" t="s">
        <v>143</v>
      </c>
      <c r="FE3" s="3"/>
      <c r="FF3" s="3"/>
      <c r="FG3" s="2" t="s">
        <v>143</v>
      </c>
      <c r="FH3" s="2" t="s">
        <v>143</v>
      </c>
      <c r="FI3" s="2" t="s">
        <v>143</v>
      </c>
      <c r="FJ3" s="2" t="s">
        <v>143</v>
      </c>
      <c r="FK3" s="2" t="s">
        <v>143</v>
      </c>
      <c r="FL3" s="3"/>
      <c r="FM3" s="3"/>
      <c r="FN3" s="2" t="s">
        <v>143</v>
      </c>
      <c r="FO3" s="81" t="s">
        <v>141</v>
      </c>
      <c r="FP3" s="2" t="s">
        <v>143</v>
      </c>
      <c r="FQ3" s="2" t="s">
        <v>143</v>
      </c>
      <c r="FR3" s="2" t="s">
        <v>143</v>
      </c>
      <c r="FS3" s="3"/>
      <c r="FT3" s="3"/>
      <c r="FU3" s="2" t="s">
        <v>143</v>
      </c>
      <c r="FV3" s="2" t="s">
        <v>143</v>
      </c>
      <c r="FW3" s="2" t="s">
        <v>143</v>
      </c>
      <c r="FX3" s="2" t="s">
        <v>143</v>
      </c>
      <c r="FY3" s="2" t="s">
        <v>143</v>
      </c>
      <c r="FZ3" s="3"/>
      <c r="GA3" s="3"/>
      <c r="GB3" s="2" t="s">
        <v>143</v>
      </c>
      <c r="GC3" s="2" t="s">
        <v>143</v>
      </c>
      <c r="GD3" s="2" t="s">
        <v>143</v>
      </c>
      <c r="GE3" s="2" t="s">
        <v>143</v>
      </c>
      <c r="GF3" s="2" t="s">
        <v>143</v>
      </c>
      <c r="GG3" s="3"/>
      <c r="GH3" s="3"/>
      <c r="GI3" s="2" t="s">
        <v>143</v>
      </c>
      <c r="GJ3" s="2" t="s">
        <v>143</v>
      </c>
      <c r="GK3" s="2" t="s">
        <v>143</v>
      </c>
      <c r="GL3" s="2" t="s">
        <v>143</v>
      </c>
      <c r="GM3" s="2" t="s">
        <v>143</v>
      </c>
      <c r="GN3" s="3"/>
      <c r="GO3" s="3"/>
      <c r="GP3" s="2" t="s">
        <v>143</v>
      </c>
      <c r="GQ3" s="2" t="s">
        <v>143</v>
      </c>
      <c r="GR3" s="2" t="s">
        <v>143</v>
      </c>
      <c r="GS3" s="2" t="s">
        <v>143</v>
      </c>
      <c r="GT3" s="2" t="s">
        <v>143</v>
      </c>
      <c r="GU3" s="3"/>
      <c r="GV3" s="3"/>
      <c r="GW3" s="2" t="s">
        <v>143</v>
      </c>
      <c r="GX3" s="2" t="s">
        <v>143</v>
      </c>
      <c r="GY3" s="2" t="s">
        <v>143</v>
      </c>
      <c r="GZ3" s="2" t="s">
        <v>143</v>
      </c>
      <c r="HA3" s="81" t="s">
        <v>141</v>
      </c>
      <c r="HB3" s="3"/>
      <c r="HC3" s="3"/>
      <c r="HD3" s="2" t="s">
        <v>143</v>
      </c>
      <c r="HE3" s="2" t="s">
        <v>143</v>
      </c>
      <c r="HF3" s="2" t="s">
        <v>143</v>
      </c>
      <c r="HG3" s="2" t="s">
        <v>143</v>
      </c>
      <c r="HH3" s="81" t="s">
        <v>141</v>
      </c>
      <c r="HI3" s="3"/>
      <c r="HJ3" s="3"/>
      <c r="HK3" s="81" t="s">
        <v>141</v>
      </c>
      <c r="HL3" s="2" t="s">
        <v>143</v>
      </c>
      <c r="HM3" s="2" t="s">
        <v>143</v>
      </c>
      <c r="HN3" s="2" t="s">
        <v>143</v>
      </c>
      <c r="HO3" s="2" t="s">
        <v>143</v>
      </c>
      <c r="HP3" s="3"/>
      <c r="HQ3" s="3"/>
      <c r="HR3" s="2" t="s">
        <v>143</v>
      </c>
      <c r="HS3" s="2" t="s">
        <v>143</v>
      </c>
      <c r="HT3" s="2" t="s">
        <v>143</v>
      </c>
      <c r="HU3" s="2" t="s">
        <v>143</v>
      </c>
      <c r="HV3" s="81" t="s">
        <v>141</v>
      </c>
      <c r="HW3" s="3"/>
      <c r="HX3" s="3"/>
      <c r="HY3" s="81" t="s">
        <v>141</v>
      </c>
      <c r="HZ3" s="2" t="s">
        <v>143</v>
      </c>
      <c r="IA3" s="2" t="s">
        <v>143</v>
      </c>
      <c r="IB3" s="2" t="s">
        <v>143</v>
      </c>
      <c r="IC3" s="2" t="s">
        <v>143</v>
      </c>
      <c r="ID3" s="3"/>
      <c r="IE3" s="3"/>
      <c r="IF3" s="201" t="s">
        <v>386</v>
      </c>
      <c r="IG3" s="2" t="s">
        <v>143</v>
      </c>
      <c r="IH3" s="2" t="s">
        <v>143</v>
      </c>
      <c r="II3" s="2" t="s">
        <v>143</v>
      </c>
      <c r="IJ3" s="81" t="s">
        <v>141</v>
      </c>
      <c r="IK3" s="3"/>
      <c r="IL3" s="3"/>
      <c r="IM3" s="218" t="s">
        <v>141</v>
      </c>
      <c r="IN3" s="214" t="s">
        <v>143</v>
      </c>
      <c r="IO3" s="214" t="s">
        <v>143</v>
      </c>
      <c r="IP3" s="214" t="s">
        <v>143</v>
      </c>
      <c r="IQ3" s="214" t="s">
        <v>143</v>
      </c>
      <c r="IR3" s="3"/>
      <c r="IS3" s="3"/>
      <c r="IT3" s="214" t="s">
        <v>143</v>
      </c>
      <c r="IU3" s="214" t="s">
        <v>143</v>
      </c>
      <c r="IV3" s="214" t="s">
        <v>143</v>
      </c>
      <c r="IW3" s="214" t="s">
        <v>143</v>
      </c>
      <c r="IX3" s="214" t="s">
        <v>143</v>
      </c>
      <c r="IY3" s="3"/>
      <c r="IZ3" s="3"/>
      <c r="JA3" s="214" t="s">
        <v>143</v>
      </c>
      <c r="JB3" s="214" t="s">
        <v>237</v>
      </c>
      <c r="JC3" s="214" t="s">
        <v>143</v>
      </c>
      <c r="JD3" s="214" t="s">
        <v>237</v>
      </c>
      <c r="JE3" s="214" t="s">
        <v>143</v>
      </c>
      <c r="JF3" s="3"/>
      <c r="JG3" s="3"/>
      <c r="JH3" s="214" t="s">
        <v>143</v>
      </c>
      <c r="JI3" s="214" t="s">
        <v>237</v>
      </c>
      <c r="JJ3" s="214" t="s">
        <v>143</v>
      </c>
      <c r="JK3" s="214" t="s">
        <v>237</v>
      </c>
      <c r="JL3" s="214" t="s">
        <v>143</v>
      </c>
      <c r="JM3" s="3"/>
      <c r="JN3" s="3"/>
      <c r="JO3" s="214" t="s">
        <v>143</v>
      </c>
      <c r="JP3" s="214" t="s">
        <v>237</v>
      </c>
      <c r="JQ3" s="214" t="s">
        <v>143</v>
      </c>
      <c r="JR3" s="214" t="s">
        <v>237</v>
      </c>
      <c r="JS3" s="214" t="s">
        <v>143</v>
      </c>
      <c r="JT3" s="3"/>
      <c r="JU3" s="3"/>
      <c r="JV3" s="214" t="s">
        <v>143</v>
      </c>
      <c r="JW3" s="214" t="s">
        <v>143</v>
      </c>
      <c r="JX3" s="214" t="s">
        <v>143</v>
      </c>
      <c r="JY3" s="214" t="s">
        <v>237</v>
      </c>
      <c r="JZ3" s="214" t="s">
        <v>143</v>
      </c>
      <c r="KA3" s="3"/>
      <c r="KB3" s="3"/>
      <c r="KC3" s="214" t="s">
        <v>143</v>
      </c>
      <c r="KD3" s="214" t="s">
        <v>143</v>
      </c>
      <c r="KE3" s="214" t="s">
        <v>143</v>
      </c>
      <c r="KF3" s="214" t="s">
        <v>143</v>
      </c>
      <c r="KG3" s="214" t="s">
        <v>143</v>
      </c>
      <c r="KH3" s="3"/>
      <c r="KI3" s="3"/>
      <c r="KJ3" s="214" t="s">
        <v>143</v>
      </c>
      <c r="KK3" s="214" t="s">
        <v>237</v>
      </c>
      <c r="KL3" s="214" t="s">
        <v>143</v>
      </c>
      <c r="KM3" s="214" t="s">
        <v>237</v>
      </c>
      <c r="KN3" s="214" t="s">
        <v>143</v>
      </c>
      <c r="KO3" s="3"/>
      <c r="KP3" s="3"/>
      <c r="KQ3" s="214" t="s">
        <v>143</v>
      </c>
      <c r="KR3" s="214" t="s">
        <v>237</v>
      </c>
      <c r="KS3" s="218" t="s">
        <v>141</v>
      </c>
      <c r="KT3" s="214" t="s">
        <v>237</v>
      </c>
      <c r="KU3" s="218" t="s">
        <v>141</v>
      </c>
      <c r="KV3" s="3"/>
      <c r="KW3" s="3"/>
      <c r="KX3" s="214" t="s">
        <v>143</v>
      </c>
      <c r="KY3" s="214" t="s">
        <v>237</v>
      </c>
      <c r="KZ3" s="214" t="s">
        <v>237</v>
      </c>
      <c r="LA3" s="214" t="s">
        <v>237</v>
      </c>
      <c r="LB3" s="214" t="s">
        <v>143</v>
      </c>
      <c r="LC3" s="3"/>
      <c r="LD3" s="3"/>
      <c r="LE3" s="214" t="s">
        <v>143</v>
      </c>
      <c r="LF3" s="214" t="s">
        <v>237</v>
      </c>
      <c r="LG3" s="214" t="s">
        <v>143</v>
      </c>
      <c r="LH3" s="214" t="s">
        <v>237</v>
      </c>
      <c r="LI3" s="214" t="s">
        <v>143</v>
      </c>
      <c r="LJ3" s="3"/>
      <c r="LK3" s="3"/>
      <c r="LL3" s="214" t="s">
        <v>143</v>
      </c>
      <c r="LM3" s="214" t="s">
        <v>237</v>
      </c>
      <c r="LN3" s="214" t="s">
        <v>143</v>
      </c>
      <c r="LO3" s="214" t="s">
        <v>237</v>
      </c>
      <c r="LP3" s="214" t="s">
        <v>143</v>
      </c>
      <c r="LQ3" s="3"/>
      <c r="LR3" s="3"/>
      <c r="LS3" s="214" t="s">
        <v>143</v>
      </c>
      <c r="LT3" s="214" t="s">
        <v>237</v>
      </c>
      <c r="LU3" s="214" t="s">
        <v>143</v>
      </c>
      <c r="LV3" s="214" t="s">
        <v>237</v>
      </c>
      <c r="LW3" s="214" t="s">
        <v>143</v>
      </c>
      <c r="LX3" s="3"/>
      <c r="LY3" s="3"/>
      <c r="LZ3" s="214" t="s">
        <v>143</v>
      </c>
      <c r="MA3" s="214" t="s">
        <v>143</v>
      </c>
      <c r="MB3" s="214" t="s">
        <v>143</v>
      </c>
      <c r="MC3" s="214" t="s">
        <v>143</v>
      </c>
      <c r="MD3" s="227" t="s">
        <v>149</v>
      </c>
      <c r="ME3" s="3"/>
      <c r="MF3" s="3"/>
      <c r="MG3" s="214" t="s">
        <v>143</v>
      </c>
      <c r="MH3" s="214" t="s">
        <v>143</v>
      </c>
      <c r="MI3" s="214" t="s">
        <v>143</v>
      </c>
      <c r="MJ3" s="214" t="s">
        <v>143</v>
      </c>
      <c r="MK3" s="214" t="s">
        <v>143</v>
      </c>
      <c r="ML3" s="3"/>
      <c r="MM3" s="3"/>
      <c r="MN3" s="214" t="s">
        <v>143</v>
      </c>
      <c r="MO3" s="214" t="s">
        <v>143</v>
      </c>
      <c r="MP3" s="214" t="s">
        <v>387</v>
      </c>
      <c r="MQ3" s="214" t="s">
        <v>143</v>
      </c>
      <c r="MR3" s="214" t="s">
        <v>143</v>
      </c>
      <c r="MS3" s="3"/>
      <c r="MT3" s="3"/>
      <c r="MU3" s="214" t="s">
        <v>143</v>
      </c>
      <c r="MV3" s="214" t="s">
        <v>143</v>
      </c>
      <c r="MW3" s="214" t="s">
        <v>143</v>
      </c>
      <c r="MX3" s="3"/>
      <c r="MY3" s="3"/>
      <c r="MZ3" s="3"/>
      <c r="NA3" s="3"/>
      <c r="NB3" s="214" t="s">
        <v>143</v>
      </c>
      <c r="NC3" s="214" t="s">
        <v>143</v>
      </c>
      <c r="ND3" s="219" t="s">
        <v>141</v>
      </c>
      <c r="NE3" s="3"/>
      <c r="NF3" s="219" t="s">
        <v>141</v>
      </c>
    </row>
    <row r="4" spans="1:374">
      <c r="A4" s="106" t="s">
        <v>145</v>
      </c>
      <c r="B4" s="48" t="s">
        <v>18</v>
      </c>
      <c r="C4" s="107" t="s">
        <v>234</v>
      </c>
      <c r="D4" s="3"/>
      <c r="E4" s="11" t="s">
        <v>141</v>
      </c>
      <c r="F4" s="80" t="s">
        <v>151</v>
      </c>
      <c r="G4" s="3"/>
      <c r="H4" s="3"/>
      <c r="I4" s="80" t="s">
        <v>151</v>
      </c>
      <c r="J4" s="80" t="s">
        <v>151</v>
      </c>
      <c r="K4" s="80" t="s">
        <v>151</v>
      </c>
      <c r="L4" s="80" t="s">
        <v>151</v>
      </c>
      <c r="M4" s="80" t="s">
        <v>151</v>
      </c>
      <c r="N4" s="3"/>
      <c r="O4" s="3"/>
      <c r="P4" s="80" t="s">
        <v>151</v>
      </c>
      <c r="Q4" s="80" t="s">
        <v>151</v>
      </c>
      <c r="R4" s="80" t="s">
        <v>151</v>
      </c>
      <c r="S4" s="80" t="s">
        <v>151</v>
      </c>
      <c r="T4" s="80" t="s">
        <v>151</v>
      </c>
      <c r="U4" s="3"/>
      <c r="V4" s="3" t="s">
        <v>153</v>
      </c>
      <c r="W4" s="80" t="s">
        <v>151</v>
      </c>
      <c r="X4" s="80" t="s">
        <v>151</v>
      </c>
      <c r="Y4" s="80" t="s">
        <v>151</v>
      </c>
      <c r="Z4" s="2" t="s">
        <v>143</v>
      </c>
      <c r="AA4" s="2" t="s">
        <v>143</v>
      </c>
      <c r="AB4" s="3"/>
      <c r="AC4" s="3"/>
      <c r="AD4" s="2" t="s">
        <v>143</v>
      </c>
      <c r="AE4" s="80" t="s">
        <v>151</v>
      </c>
      <c r="AF4" s="80" t="s">
        <v>151</v>
      </c>
      <c r="AG4" s="80" t="s">
        <v>151</v>
      </c>
      <c r="AH4" s="80" t="s">
        <v>151</v>
      </c>
      <c r="AI4" s="3"/>
      <c r="AJ4" s="3"/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3"/>
      <c r="AQ4" s="3"/>
      <c r="AR4" s="2" t="s">
        <v>143</v>
      </c>
      <c r="AS4" s="2" t="s">
        <v>143</v>
      </c>
      <c r="AT4" s="2" t="s">
        <v>143</v>
      </c>
      <c r="AU4" s="11" t="s">
        <v>388</v>
      </c>
      <c r="AV4" s="2" t="s">
        <v>143</v>
      </c>
      <c r="AW4" s="3"/>
      <c r="AX4" s="3"/>
      <c r="AY4" s="2" t="s">
        <v>143</v>
      </c>
      <c r="AZ4" s="2" t="s">
        <v>143</v>
      </c>
      <c r="BA4" s="11" t="s">
        <v>141</v>
      </c>
      <c r="BB4" s="11" t="s">
        <v>141</v>
      </c>
      <c r="BC4" s="11" t="s">
        <v>141</v>
      </c>
      <c r="BD4" s="3"/>
      <c r="BE4" s="3"/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3"/>
      <c r="BL4" s="3"/>
      <c r="BM4" s="2" t="s">
        <v>143</v>
      </c>
      <c r="BN4" s="2" t="s">
        <v>143</v>
      </c>
      <c r="BO4" s="2" t="s">
        <v>143</v>
      </c>
      <c r="BP4" s="2" t="s">
        <v>143</v>
      </c>
      <c r="BQ4" s="2" t="s">
        <v>143</v>
      </c>
      <c r="BR4" s="3"/>
      <c r="BS4" s="3"/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3"/>
      <c r="BZ4" s="3"/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3"/>
      <c r="CG4" s="3"/>
      <c r="CH4" s="2" t="s">
        <v>143</v>
      </c>
      <c r="CI4" s="2" t="s">
        <v>143</v>
      </c>
      <c r="CJ4" s="11" t="s">
        <v>141</v>
      </c>
      <c r="CK4" s="11" t="s">
        <v>141</v>
      </c>
      <c r="CL4" s="11" t="s">
        <v>141</v>
      </c>
      <c r="CM4" s="3"/>
      <c r="CN4" s="3"/>
      <c r="CO4" s="11" t="s">
        <v>141</v>
      </c>
      <c r="CP4" s="2" t="s">
        <v>143</v>
      </c>
      <c r="CQ4" s="2" t="s">
        <v>143</v>
      </c>
      <c r="CR4" s="2" t="s">
        <v>143</v>
      </c>
      <c r="CS4" s="2" t="s">
        <v>143</v>
      </c>
      <c r="CT4" s="3"/>
      <c r="CU4" s="3"/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3"/>
      <c r="DB4" s="3"/>
      <c r="DC4" s="2" t="s">
        <v>143</v>
      </c>
      <c r="DD4" s="2" t="s">
        <v>143</v>
      </c>
      <c r="DE4" s="2" t="s">
        <v>143</v>
      </c>
      <c r="DF4" s="81" t="s">
        <v>141</v>
      </c>
      <c r="DG4" s="3"/>
      <c r="DH4" s="3"/>
      <c r="DI4" s="3"/>
      <c r="DJ4" s="3"/>
      <c r="DK4" s="2" t="s">
        <v>143</v>
      </c>
      <c r="DL4" s="81" t="s">
        <v>141</v>
      </c>
      <c r="DM4" s="81" t="s">
        <v>141</v>
      </c>
      <c r="DN4" s="81" t="s">
        <v>141</v>
      </c>
      <c r="DO4" s="3"/>
      <c r="DP4" s="3"/>
      <c r="DQ4" s="2" t="s">
        <v>143</v>
      </c>
      <c r="DR4" s="2" t="s">
        <v>143</v>
      </c>
      <c r="DS4" s="2" t="s">
        <v>143</v>
      </c>
      <c r="DT4" s="2" t="s">
        <v>143</v>
      </c>
      <c r="DU4" s="2" t="s">
        <v>143</v>
      </c>
      <c r="DV4" s="3"/>
      <c r="DW4" s="3"/>
      <c r="DX4" s="3"/>
      <c r="DY4" s="2" t="s">
        <v>143</v>
      </c>
      <c r="DZ4" s="2" t="s">
        <v>143</v>
      </c>
      <c r="EA4" s="2" t="s">
        <v>143</v>
      </c>
      <c r="EB4" s="2" t="s">
        <v>143</v>
      </c>
      <c r="EC4" s="3"/>
      <c r="ED4" s="3"/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3"/>
      <c r="EK4" s="3"/>
      <c r="EL4" s="2" t="s">
        <v>143</v>
      </c>
      <c r="EM4" s="2" t="s">
        <v>143</v>
      </c>
      <c r="EN4" s="2" t="s">
        <v>143</v>
      </c>
      <c r="EO4" s="2" t="s">
        <v>143</v>
      </c>
      <c r="EP4" s="2" t="s">
        <v>143</v>
      </c>
      <c r="EQ4" s="3"/>
      <c r="ER4" s="3"/>
      <c r="ES4" s="3"/>
      <c r="ET4" s="2" t="s">
        <v>143</v>
      </c>
      <c r="EU4" s="2" t="s">
        <v>143</v>
      </c>
      <c r="EV4" s="81" t="s">
        <v>141</v>
      </c>
      <c r="EW4" s="81" t="s">
        <v>141</v>
      </c>
      <c r="EX4" s="3"/>
      <c r="EY4" s="3"/>
      <c r="EZ4" s="2" t="s">
        <v>143</v>
      </c>
      <c r="FA4" s="2" t="s">
        <v>143</v>
      </c>
      <c r="FB4" s="2" t="s">
        <v>143</v>
      </c>
      <c r="FC4" s="2" t="s">
        <v>143</v>
      </c>
      <c r="FD4" s="2" t="s">
        <v>143</v>
      </c>
      <c r="FE4" s="3"/>
      <c r="FF4" s="3"/>
      <c r="FG4" s="2" t="s">
        <v>143</v>
      </c>
      <c r="FH4" s="2" t="s">
        <v>143</v>
      </c>
      <c r="FI4" s="2" t="s">
        <v>143</v>
      </c>
      <c r="FJ4" s="2" t="s">
        <v>143</v>
      </c>
      <c r="FK4" s="2" t="s">
        <v>143</v>
      </c>
      <c r="FL4" s="3"/>
      <c r="FM4" s="3"/>
      <c r="FN4" s="2" t="s">
        <v>143</v>
      </c>
      <c r="FO4" s="2" t="s">
        <v>143</v>
      </c>
      <c r="FP4" s="2" t="s">
        <v>143</v>
      </c>
      <c r="FQ4" s="2" t="s">
        <v>143</v>
      </c>
      <c r="FR4" s="2" t="s">
        <v>143</v>
      </c>
      <c r="FS4" s="3"/>
      <c r="FT4" s="3"/>
      <c r="FU4" s="2" t="s">
        <v>143</v>
      </c>
      <c r="FV4" s="2" t="s">
        <v>143</v>
      </c>
      <c r="FW4" s="2" t="s">
        <v>143</v>
      </c>
      <c r="FX4" s="2" t="s">
        <v>143</v>
      </c>
      <c r="FY4" s="2" t="s">
        <v>143</v>
      </c>
      <c r="FZ4" s="3"/>
      <c r="GA4" s="3"/>
      <c r="GB4" s="2" t="s">
        <v>143</v>
      </c>
      <c r="GC4" s="2" t="s">
        <v>143</v>
      </c>
      <c r="GD4" s="2" t="s">
        <v>143</v>
      </c>
      <c r="GE4" s="2" t="s">
        <v>143</v>
      </c>
      <c r="GF4" s="2" t="s">
        <v>143</v>
      </c>
      <c r="GG4" s="3"/>
      <c r="GH4" s="3"/>
      <c r="GI4" s="2" t="s">
        <v>143</v>
      </c>
      <c r="GJ4" s="2" t="s">
        <v>143</v>
      </c>
      <c r="GK4" s="2" t="s">
        <v>143</v>
      </c>
      <c r="GL4" s="2" t="s">
        <v>143</v>
      </c>
      <c r="GM4" s="2" t="s">
        <v>143</v>
      </c>
      <c r="GN4" s="3"/>
      <c r="GO4" s="3"/>
      <c r="GP4" s="2" t="s">
        <v>143</v>
      </c>
      <c r="GQ4" s="2" t="s">
        <v>143</v>
      </c>
      <c r="GR4" s="2" t="s">
        <v>143</v>
      </c>
      <c r="GS4" s="2" t="s">
        <v>143</v>
      </c>
      <c r="GT4" s="2" t="s">
        <v>143</v>
      </c>
      <c r="GU4" s="3"/>
      <c r="GV4" s="3"/>
      <c r="GW4" s="81" t="s">
        <v>141</v>
      </c>
      <c r="GX4" s="81" t="s">
        <v>141</v>
      </c>
      <c r="GY4" s="81" t="s">
        <v>141</v>
      </c>
      <c r="GZ4" s="81" t="s">
        <v>141</v>
      </c>
      <c r="HA4" s="81" t="s">
        <v>141</v>
      </c>
      <c r="HB4" s="3"/>
      <c r="HC4" s="3"/>
      <c r="HD4" s="210" t="s">
        <v>389</v>
      </c>
      <c r="HE4" s="210" t="s">
        <v>389</v>
      </c>
      <c r="HF4" s="210" t="s">
        <v>389</v>
      </c>
      <c r="HG4" s="210" t="s">
        <v>389</v>
      </c>
      <c r="HH4" s="210" t="s">
        <v>389</v>
      </c>
      <c r="HI4" s="3"/>
      <c r="HJ4" s="3"/>
      <c r="HK4" s="2" t="s">
        <v>143</v>
      </c>
      <c r="HL4" s="2" t="s">
        <v>143</v>
      </c>
      <c r="HM4" s="2" t="s">
        <v>143</v>
      </c>
      <c r="HN4" s="2" t="s">
        <v>143</v>
      </c>
      <c r="HO4" s="2" t="s">
        <v>143</v>
      </c>
      <c r="HP4" s="3"/>
      <c r="HQ4" s="3"/>
      <c r="HR4" s="210" t="s">
        <v>331</v>
      </c>
      <c r="HS4" s="2" t="s">
        <v>143</v>
      </c>
      <c r="HT4" s="2" t="s">
        <v>143</v>
      </c>
      <c r="HU4" s="2" t="s">
        <v>143</v>
      </c>
      <c r="HV4" s="81" t="s">
        <v>141</v>
      </c>
      <c r="HW4" s="3"/>
      <c r="HX4" s="3"/>
      <c r="HY4" s="81" t="s">
        <v>141</v>
      </c>
      <c r="HZ4" s="2" t="s">
        <v>143</v>
      </c>
      <c r="IA4" s="2" t="s">
        <v>143</v>
      </c>
      <c r="IB4" s="2" t="s">
        <v>143</v>
      </c>
      <c r="IC4" s="81" t="s">
        <v>390</v>
      </c>
      <c r="ID4" s="3"/>
      <c r="IE4" s="3"/>
      <c r="IF4" s="201" t="s">
        <v>386</v>
      </c>
      <c r="IG4" s="211" t="s">
        <v>331</v>
      </c>
      <c r="IH4" s="2" t="s">
        <v>143</v>
      </c>
      <c r="II4" s="79" t="s">
        <v>391</v>
      </c>
      <c r="IJ4" s="81" t="s">
        <v>141</v>
      </c>
      <c r="IK4" s="3"/>
      <c r="IL4" s="3"/>
      <c r="IM4" s="214" t="s">
        <v>143</v>
      </c>
      <c r="IN4" s="213" t="s">
        <v>391</v>
      </c>
      <c r="IO4" s="214" t="s">
        <v>143</v>
      </c>
      <c r="IP4" s="213" t="s">
        <v>391</v>
      </c>
      <c r="IQ4" s="214" t="s">
        <v>143</v>
      </c>
      <c r="IR4" s="3"/>
      <c r="IS4" s="3"/>
      <c r="IT4" s="214" t="s">
        <v>143</v>
      </c>
      <c r="IU4" s="218" t="s">
        <v>392</v>
      </c>
      <c r="IV4" s="214" t="s">
        <v>143</v>
      </c>
      <c r="IW4" s="213" t="s">
        <v>391</v>
      </c>
      <c r="IX4" s="214" t="s">
        <v>143</v>
      </c>
      <c r="IY4" s="3"/>
      <c r="IZ4" s="3"/>
      <c r="JA4" s="214" t="s">
        <v>143</v>
      </c>
      <c r="JB4" s="213" t="s">
        <v>391</v>
      </c>
      <c r="JC4" s="214" t="s">
        <v>143</v>
      </c>
      <c r="JD4" s="213" t="s">
        <v>391</v>
      </c>
      <c r="JE4" s="214" t="s">
        <v>148</v>
      </c>
      <c r="JF4" s="3"/>
      <c r="JG4" s="3"/>
      <c r="JH4" s="214" t="s">
        <v>143</v>
      </c>
      <c r="JI4" s="213" t="s">
        <v>391</v>
      </c>
      <c r="JJ4" s="214" t="s">
        <v>143</v>
      </c>
      <c r="JK4" s="213" t="s">
        <v>391</v>
      </c>
      <c r="JL4" s="214" t="s">
        <v>143</v>
      </c>
      <c r="JM4" s="3"/>
      <c r="JN4" s="3"/>
      <c r="JO4" s="214" t="s">
        <v>143</v>
      </c>
      <c r="JP4" s="213" t="s">
        <v>391</v>
      </c>
      <c r="JQ4" s="214" t="s">
        <v>143</v>
      </c>
      <c r="JR4" s="213" t="s">
        <v>391</v>
      </c>
      <c r="JS4" s="214" t="s">
        <v>143</v>
      </c>
      <c r="JT4" s="3"/>
      <c r="JU4" s="3"/>
      <c r="JV4" s="214" t="s">
        <v>143</v>
      </c>
      <c r="JW4" s="213" t="s">
        <v>391</v>
      </c>
      <c r="JX4" s="214" t="s">
        <v>143</v>
      </c>
      <c r="JY4" s="213" t="s">
        <v>391</v>
      </c>
      <c r="JZ4" s="214" t="s">
        <v>237</v>
      </c>
      <c r="KA4" s="3"/>
      <c r="KB4" s="3"/>
      <c r="KC4" s="218" t="s">
        <v>141</v>
      </c>
      <c r="KD4" s="218" t="s">
        <v>141</v>
      </c>
      <c r="KE4" s="218" t="s">
        <v>141</v>
      </c>
      <c r="KF4" s="218" t="s">
        <v>141</v>
      </c>
      <c r="KG4" s="218" t="s">
        <v>141</v>
      </c>
      <c r="KH4" s="3"/>
      <c r="KI4" s="3"/>
      <c r="KJ4" s="214" t="s">
        <v>143</v>
      </c>
      <c r="KK4" s="214" t="s">
        <v>143</v>
      </c>
      <c r="KL4" s="213" t="s">
        <v>391</v>
      </c>
      <c r="KM4" s="213" t="s">
        <v>391</v>
      </c>
      <c r="KN4" s="214" t="s">
        <v>143</v>
      </c>
      <c r="KO4" s="3"/>
      <c r="KP4" s="3"/>
      <c r="KQ4" s="214" t="s">
        <v>237</v>
      </c>
      <c r="KR4" s="213" t="s">
        <v>391</v>
      </c>
      <c r="KS4" s="214" t="s">
        <v>143</v>
      </c>
      <c r="KT4" s="213" t="s">
        <v>391</v>
      </c>
      <c r="KU4" s="214" t="s">
        <v>143</v>
      </c>
      <c r="KV4" s="3"/>
      <c r="KW4" s="3"/>
      <c r="KX4" s="214" t="s">
        <v>143</v>
      </c>
      <c r="KY4" s="214" t="s">
        <v>143</v>
      </c>
      <c r="KZ4" s="214" t="s">
        <v>143</v>
      </c>
      <c r="LA4" s="213" t="s">
        <v>393</v>
      </c>
      <c r="LB4" s="213" t="s">
        <v>394</v>
      </c>
      <c r="LC4" s="3"/>
      <c r="LD4" s="3"/>
      <c r="LE4" s="214" t="s">
        <v>143</v>
      </c>
      <c r="LF4" s="214" t="s">
        <v>143</v>
      </c>
      <c r="LG4" s="82" t="s">
        <v>395</v>
      </c>
      <c r="LH4" s="214" t="s">
        <v>143</v>
      </c>
      <c r="LI4" s="214" t="s">
        <v>143</v>
      </c>
      <c r="LJ4" s="3"/>
      <c r="LK4" s="3"/>
      <c r="LL4" s="214" t="s">
        <v>143</v>
      </c>
      <c r="LM4" s="213" t="s">
        <v>391</v>
      </c>
      <c r="LN4" s="214" t="s">
        <v>143</v>
      </c>
      <c r="LO4" s="213" t="s">
        <v>391</v>
      </c>
      <c r="LP4" s="214" t="s">
        <v>143</v>
      </c>
      <c r="LQ4" s="3"/>
      <c r="LR4" s="3"/>
      <c r="LS4" s="214" t="s">
        <v>237</v>
      </c>
      <c r="LT4" s="213" t="s">
        <v>391</v>
      </c>
      <c r="LU4" s="214" t="s">
        <v>143</v>
      </c>
      <c r="LV4" s="213" t="s">
        <v>391</v>
      </c>
      <c r="LW4" s="214" t="s">
        <v>143</v>
      </c>
      <c r="LX4" s="3"/>
      <c r="LY4" s="3"/>
      <c r="LZ4" s="218" t="s">
        <v>141</v>
      </c>
      <c r="MA4" s="214" t="s">
        <v>143</v>
      </c>
      <c r="MB4" s="214" t="s">
        <v>143</v>
      </c>
      <c r="MC4" s="214" t="s">
        <v>143</v>
      </c>
      <c r="MD4" s="214" t="s">
        <v>143</v>
      </c>
      <c r="ME4" s="3"/>
      <c r="MF4" s="3"/>
      <c r="MG4" s="213" t="s">
        <v>140</v>
      </c>
      <c r="MH4" s="213" t="s">
        <v>140</v>
      </c>
      <c r="MI4" s="213" t="s">
        <v>140</v>
      </c>
      <c r="MJ4" s="213" t="s">
        <v>140</v>
      </c>
      <c r="MK4" s="213" t="s">
        <v>140</v>
      </c>
      <c r="ML4" s="3"/>
      <c r="MM4" s="3"/>
      <c r="MN4" s="213" t="s">
        <v>394</v>
      </c>
      <c r="MO4" s="214" t="s">
        <v>143</v>
      </c>
      <c r="MP4" s="214" t="s">
        <v>387</v>
      </c>
      <c r="MQ4" s="214" t="s">
        <v>143</v>
      </c>
      <c r="MR4" s="214" t="s">
        <v>143</v>
      </c>
      <c r="MS4" s="3"/>
      <c r="MT4" s="3"/>
      <c r="MU4" s="214" t="s">
        <v>143</v>
      </c>
      <c r="MV4" s="214" t="s">
        <v>143</v>
      </c>
      <c r="MW4" s="214" t="s">
        <v>143</v>
      </c>
      <c r="MX4" s="3"/>
      <c r="MY4" s="3"/>
      <c r="MZ4" s="3"/>
      <c r="NA4" s="3"/>
      <c r="NB4" s="214" t="s">
        <v>143</v>
      </c>
      <c r="NC4" s="214" t="s">
        <v>143</v>
      </c>
      <c r="ND4" s="214" t="s">
        <v>143</v>
      </c>
      <c r="NE4" s="3"/>
      <c r="NF4" s="219" t="s">
        <v>141</v>
      </c>
    </row>
    <row r="5" spans="1:374">
      <c r="A5" s="106" t="s">
        <v>154</v>
      </c>
      <c r="B5" s="48" t="s">
        <v>18</v>
      </c>
      <c r="C5" s="107" t="s">
        <v>234</v>
      </c>
      <c r="D5" s="3"/>
      <c r="E5" s="2" t="s">
        <v>143</v>
      </c>
      <c r="F5" s="2" t="s">
        <v>143</v>
      </c>
      <c r="G5" s="3"/>
      <c r="H5" s="3"/>
      <c r="I5" s="2" t="s">
        <v>143</v>
      </c>
      <c r="J5" s="2" t="s">
        <v>143</v>
      </c>
      <c r="K5" s="2" t="s">
        <v>143</v>
      </c>
      <c r="L5" s="2" t="s">
        <v>143</v>
      </c>
      <c r="M5" s="2" t="s">
        <v>143</v>
      </c>
      <c r="N5" s="3"/>
      <c r="O5" s="3"/>
      <c r="P5" s="2" t="s">
        <v>143</v>
      </c>
      <c r="Q5" s="2" t="s">
        <v>143</v>
      </c>
      <c r="R5" s="11" t="s">
        <v>141</v>
      </c>
      <c r="S5" s="11" t="s">
        <v>141</v>
      </c>
      <c r="T5" s="11" t="s">
        <v>141</v>
      </c>
      <c r="U5" s="3"/>
      <c r="V5" s="3"/>
      <c r="W5" s="11" t="s">
        <v>141</v>
      </c>
      <c r="X5" s="11" t="s">
        <v>141</v>
      </c>
      <c r="Y5" s="11" t="s">
        <v>141</v>
      </c>
      <c r="Z5" s="11" t="s">
        <v>141</v>
      </c>
      <c r="AA5" s="11" t="s">
        <v>141</v>
      </c>
      <c r="AB5" s="3"/>
      <c r="AC5" s="3"/>
      <c r="AD5" s="11" t="s">
        <v>141</v>
      </c>
      <c r="AE5" s="11" t="s">
        <v>141</v>
      </c>
      <c r="AF5" s="11" t="s">
        <v>141</v>
      </c>
      <c r="AG5" s="2" t="s">
        <v>143</v>
      </c>
      <c r="AH5" s="2" t="s">
        <v>143</v>
      </c>
      <c r="AI5" s="3"/>
      <c r="AJ5" s="3"/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3"/>
      <c r="AQ5" s="3"/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3"/>
      <c r="AX5" s="3"/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3"/>
      <c r="BE5" s="3"/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3"/>
      <c r="BL5" s="3"/>
      <c r="BM5" s="2" t="s">
        <v>143</v>
      </c>
      <c r="BN5" s="2" t="s">
        <v>143</v>
      </c>
      <c r="BO5" s="2" t="s">
        <v>143</v>
      </c>
      <c r="BP5" s="2" t="s">
        <v>143</v>
      </c>
      <c r="BQ5" s="2" t="s">
        <v>143</v>
      </c>
      <c r="BR5" s="3"/>
      <c r="BS5" s="3"/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3"/>
      <c r="BZ5" s="3"/>
      <c r="CA5" s="11" t="s">
        <v>149</v>
      </c>
      <c r="CB5" s="2" t="s">
        <v>143</v>
      </c>
      <c r="CC5" s="2" t="s">
        <v>143</v>
      </c>
      <c r="CD5" s="2" t="s">
        <v>143</v>
      </c>
      <c r="CE5" s="11" t="s">
        <v>141</v>
      </c>
      <c r="CF5" s="3"/>
      <c r="CG5" s="3"/>
      <c r="CH5" s="11" t="s">
        <v>141</v>
      </c>
      <c r="CI5" s="11" t="s">
        <v>141</v>
      </c>
      <c r="CJ5" s="2" t="s">
        <v>143</v>
      </c>
      <c r="CK5" s="11" t="s">
        <v>149</v>
      </c>
      <c r="CL5" s="11" t="s">
        <v>149</v>
      </c>
      <c r="CM5" s="3"/>
      <c r="CN5" s="3"/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3"/>
      <c r="CU5" s="3"/>
      <c r="CV5" s="2" t="s">
        <v>143</v>
      </c>
      <c r="CW5" s="2" t="s">
        <v>143</v>
      </c>
      <c r="CX5" s="2" t="s">
        <v>143</v>
      </c>
      <c r="CY5" s="2" t="s">
        <v>143</v>
      </c>
      <c r="CZ5" s="81" t="s">
        <v>141</v>
      </c>
      <c r="DA5" s="3"/>
      <c r="DB5" s="3"/>
      <c r="DC5" s="2" t="s">
        <v>143</v>
      </c>
      <c r="DD5" s="2" t="s">
        <v>143</v>
      </c>
      <c r="DE5" s="2" t="s">
        <v>143</v>
      </c>
      <c r="DF5" s="2" t="s">
        <v>143</v>
      </c>
      <c r="DG5" s="3"/>
      <c r="DH5" s="3"/>
      <c r="DI5" s="3"/>
      <c r="DJ5" s="3"/>
      <c r="DK5" s="81" t="s">
        <v>141</v>
      </c>
      <c r="DL5" s="81" t="s">
        <v>141</v>
      </c>
      <c r="DM5" s="2" t="s">
        <v>143</v>
      </c>
      <c r="DN5" s="2" t="s">
        <v>143</v>
      </c>
      <c r="DO5" s="3"/>
      <c r="DP5" s="3"/>
      <c r="DQ5" s="2" t="s">
        <v>143</v>
      </c>
      <c r="DR5" s="2" t="s">
        <v>143</v>
      </c>
      <c r="DS5" s="2" t="s">
        <v>143</v>
      </c>
      <c r="DT5" s="2" t="s">
        <v>143</v>
      </c>
      <c r="DU5" s="2" t="s">
        <v>143</v>
      </c>
      <c r="DV5" s="3"/>
      <c r="DW5" s="3"/>
      <c r="DX5" s="3"/>
      <c r="DY5" s="2" t="s">
        <v>143</v>
      </c>
      <c r="DZ5" s="2" t="s">
        <v>143</v>
      </c>
      <c r="EA5" s="2" t="s">
        <v>143</v>
      </c>
      <c r="EB5" s="2" t="s">
        <v>143</v>
      </c>
      <c r="EC5" s="3"/>
      <c r="ED5" s="3"/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3"/>
      <c r="EK5" s="3"/>
      <c r="EL5" s="2" t="s">
        <v>143</v>
      </c>
      <c r="EM5" s="2" t="s">
        <v>143</v>
      </c>
      <c r="EN5" s="2" t="s">
        <v>143</v>
      </c>
      <c r="EO5" s="2" t="s">
        <v>143</v>
      </c>
      <c r="EP5" s="2" t="s">
        <v>143</v>
      </c>
      <c r="EQ5" s="3"/>
      <c r="ER5" s="3"/>
      <c r="ES5" s="3"/>
      <c r="ET5" s="81" t="s">
        <v>141</v>
      </c>
      <c r="EU5" s="2" t="s">
        <v>143</v>
      </c>
      <c r="EV5" s="2" t="s">
        <v>143</v>
      </c>
      <c r="EW5" s="2" t="s">
        <v>143</v>
      </c>
      <c r="EX5" s="3"/>
      <c r="EY5" s="3"/>
      <c r="EZ5" s="2" t="s">
        <v>143</v>
      </c>
      <c r="FA5" s="2" t="s">
        <v>143</v>
      </c>
      <c r="FB5" s="2" t="s">
        <v>143</v>
      </c>
      <c r="FC5" s="2" t="s">
        <v>143</v>
      </c>
      <c r="FD5" s="2" t="s">
        <v>143</v>
      </c>
      <c r="FE5" s="3"/>
      <c r="FF5" s="3"/>
      <c r="FG5" s="2" t="s">
        <v>143</v>
      </c>
      <c r="FH5" s="2" t="s">
        <v>143</v>
      </c>
      <c r="FI5" s="81" t="s">
        <v>141</v>
      </c>
      <c r="FJ5" s="2" t="s">
        <v>143</v>
      </c>
      <c r="FK5" s="2" t="s">
        <v>143</v>
      </c>
      <c r="FL5" s="3"/>
      <c r="FM5" s="3"/>
      <c r="FN5" s="2" t="s">
        <v>143</v>
      </c>
      <c r="FO5" s="2" t="s">
        <v>143</v>
      </c>
      <c r="FP5" s="2" t="s">
        <v>143</v>
      </c>
      <c r="FQ5" s="2" t="s">
        <v>143</v>
      </c>
      <c r="FR5" s="2" t="s">
        <v>143</v>
      </c>
      <c r="FS5" s="3"/>
      <c r="FT5" s="3"/>
      <c r="FU5" s="2" t="s">
        <v>143</v>
      </c>
      <c r="FV5" s="2" t="s">
        <v>143</v>
      </c>
      <c r="FW5" s="2" t="s">
        <v>143</v>
      </c>
      <c r="FX5" s="2" t="s">
        <v>143</v>
      </c>
      <c r="FY5" s="81" t="s">
        <v>141</v>
      </c>
      <c r="FZ5" s="3"/>
      <c r="GA5" s="3"/>
      <c r="GB5" s="2" t="s">
        <v>143</v>
      </c>
      <c r="GC5" s="2" t="s">
        <v>143</v>
      </c>
      <c r="GD5" s="2" t="s">
        <v>143</v>
      </c>
      <c r="GE5" s="2" t="s">
        <v>143</v>
      </c>
      <c r="GF5" s="2" t="s">
        <v>143</v>
      </c>
      <c r="GG5" s="3"/>
      <c r="GH5" s="3"/>
      <c r="GI5" s="2" t="s">
        <v>143</v>
      </c>
      <c r="GJ5" s="2" t="s">
        <v>143</v>
      </c>
      <c r="GK5" s="2" t="s">
        <v>143</v>
      </c>
      <c r="GL5" s="2" t="s">
        <v>143</v>
      </c>
      <c r="GM5" s="2" t="s">
        <v>143</v>
      </c>
      <c r="GN5" s="3"/>
      <c r="GO5" s="3"/>
      <c r="GP5" s="2" t="s">
        <v>143</v>
      </c>
      <c r="GQ5" s="2" t="s">
        <v>143</v>
      </c>
      <c r="GR5" s="2" t="s">
        <v>143</v>
      </c>
      <c r="GS5" s="2" t="s">
        <v>143</v>
      </c>
      <c r="GT5" s="2" t="s">
        <v>143</v>
      </c>
      <c r="GU5" s="3"/>
      <c r="GV5" s="3"/>
      <c r="GW5" s="2" t="s">
        <v>143</v>
      </c>
      <c r="GX5" s="2" t="s">
        <v>143</v>
      </c>
      <c r="GY5" s="81" t="s">
        <v>141</v>
      </c>
      <c r="GZ5" s="2" t="s">
        <v>143</v>
      </c>
      <c r="HA5" s="81" t="s">
        <v>141</v>
      </c>
      <c r="HB5" s="3"/>
      <c r="HC5" s="3"/>
      <c r="HD5" s="81" t="s">
        <v>141</v>
      </c>
      <c r="HE5" s="81" t="s">
        <v>141</v>
      </c>
      <c r="HF5" s="2" t="s">
        <v>143</v>
      </c>
      <c r="HG5" s="2" t="s">
        <v>143</v>
      </c>
      <c r="HH5" s="2" t="s">
        <v>143</v>
      </c>
      <c r="HI5" s="3"/>
      <c r="HJ5" s="3"/>
      <c r="HK5" s="2" t="s">
        <v>143</v>
      </c>
      <c r="HL5" s="2" t="s">
        <v>143</v>
      </c>
      <c r="HM5" s="2" t="s">
        <v>143</v>
      </c>
      <c r="HN5" s="2" t="s">
        <v>143</v>
      </c>
      <c r="HO5" s="2" t="s">
        <v>143</v>
      </c>
      <c r="HP5" s="3"/>
      <c r="HQ5" s="3"/>
      <c r="HR5" s="2" t="s">
        <v>143</v>
      </c>
      <c r="HS5" s="2" t="s">
        <v>143</v>
      </c>
      <c r="HT5" s="2" t="s">
        <v>143</v>
      </c>
      <c r="HU5" s="2" t="s">
        <v>143</v>
      </c>
      <c r="HV5" s="2" t="s">
        <v>143</v>
      </c>
      <c r="HW5" s="3"/>
      <c r="HX5" s="3"/>
      <c r="HY5" s="2" t="s">
        <v>143</v>
      </c>
      <c r="HZ5" s="2" t="s">
        <v>143</v>
      </c>
      <c r="IA5" s="2" t="s">
        <v>143</v>
      </c>
      <c r="IB5" s="2" t="s">
        <v>143</v>
      </c>
      <c r="IC5" s="2" t="s">
        <v>143</v>
      </c>
      <c r="ID5" s="3"/>
      <c r="IE5" s="3"/>
      <c r="IF5" s="201" t="s">
        <v>386</v>
      </c>
      <c r="IG5" s="2" t="s">
        <v>143</v>
      </c>
      <c r="IH5" s="2" t="s">
        <v>143</v>
      </c>
      <c r="II5" s="2" t="s">
        <v>143</v>
      </c>
      <c r="IJ5" s="2" t="s">
        <v>143</v>
      </c>
      <c r="IK5" s="3"/>
      <c r="IL5" s="3"/>
      <c r="IM5" s="214" t="s">
        <v>143</v>
      </c>
      <c r="IN5" s="214" t="s">
        <v>143</v>
      </c>
      <c r="IO5" s="214" t="s">
        <v>143</v>
      </c>
      <c r="IP5" s="214" t="s">
        <v>143</v>
      </c>
      <c r="IQ5" s="214" t="s">
        <v>143</v>
      </c>
      <c r="IR5" s="3"/>
      <c r="IS5" s="3"/>
      <c r="IT5" s="214" t="s">
        <v>143</v>
      </c>
      <c r="IU5" s="214" t="s">
        <v>143</v>
      </c>
      <c r="IV5" s="214" t="s">
        <v>143</v>
      </c>
      <c r="IW5" s="214" t="s">
        <v>143</v>
      </c>
      <c r="IX5" s="214" t="s">
        <v>143</v>
      </c>
      <c r="IY5" s="3"/>
      <c r="IZ5" s="3"/>
      <c r="JA5" s="218" t="s">
        <v>141</v>
      </c>
      <c r="JB5" s="218" t="s">
        <v>141</v>
      </c>
      <c r="JC5" s="214" t="s">
        <v>237</v>
      </c>
      <c r="JD5" s="214" t="s">
        <v>143</v>
      </c>
      <c r="JE5" s="214" t="s">
        <v>237</v>
      </c>
      <c r="JF5" s="3"/>
      <c r="JG5" s="3"/>
      <c r="JH5" s="214" t="s">
        <v>143</v>
      </c>
      <c r="JI5" s="214" t="s">
        <v>143</v>
      </c>
      <c r="JJ5" s="214" t="s">
        <v>143</v>
      </c>
      <c r="JK5" s="214" t="s">
        <v>143</v>
      </c>
      <c r="JL5" s="218" t="s">
        <v>141</v>
      </c>
      <c r="JM5" s="3"/>
      <c r="JN5" s="3"/>
      <c r="JO5" s="214" t="s">
        <v>143</v>
      </c>
      <c r="JP5" s="214" t="s">
        <v>143</v>
      </c>
      <c r="JQ5" s="214" t="s">
        <v>143</v>
      </c>
      <c r="JR5" s="214" t="s">
        <v>143</v>
      </c>
      <c r="JS5" s="214" t="s">
        <v>143</v>
      </c>
      <c r="JT5" s="3"/>
      <c r="JU5" s="3"/>
      <c r="JV5" s="214" t="s">
        <v>143</v>
      </c>
      <c r="JW5" s="214" t="s">
        <v>143</v>
      </c>
      <c r="JX5" s="214" t="s">
        <v>143</v>
      </c>
      <c r="JY5" s="214" t="s">
        <v>143</v>
      </c>
      <c r="JZ5" s="214" t="s">
        <v>143</v>
      </c>
      <c r="KA5" s="3"/>
      <c r="KB5" s="3"/>
      <c r="KC5" s="214" t="s">
        <v>143</v>
      </c>
      <c r="KD5" s="214" t="s">
        <v>143</v>
      </c>
      <c r="KE5" s="214" t="s">
        <v>143</v>
      </c>
      <c r="KF5" s="214" t="s">
        <v>143</v>
      </c>
      <c r="KG5" s="214" t="s">
        <v>143</v>
      </c>
      <c r="KH5" s="3"/>
      <c r="KI5" s="3"/>
      <c r="KJ5" s="218" t="s">
        <v>141</v>
      </c>
      <c r="KK5" s="218" t="s">
        <v>141</v>
      </c>
      <c r="KL5" s="214" t="s">
        <v>143</v>
      </c>
      <c r="KM5" s="214" t="s">
        <v>143</v>
      </c>
      <c r="KN5" s="214" t="s">
        <v>143</v>
      </c>
      <c r="KO5" s="3"/>
      <c r="KP5" s="3"/>
      <c r="KQ5" s="214" t="s">
        <v>237</v>
      </c>
      <c r="KR5" s="214" t="s">
        <v>143</v>
      </c>
      <c r="KS5" s="214" t="s">
        <v>143</v>
      </c>
      <c r="KT5" s="214" t="s">
        <v>143</v>
      </c>
      <c r="KU5" s="214" t="s">
        <v>143</v>
      </c>
      <c r="KV5" s="3"/>
      <c r="KW5" s="3"/>
      <c r="KX5" s="214" t="s">
        <v>143</v>
      </c>
      <c r="KY5" s="214" t="s">
        <v>143</v>
      </c>
      <c r="KZ5" s="214" t="s">
        <v>143</v>
      </c>
      <c r="LA5" s="214" t="s">
        <v>143</v>
      </c>
      <c r="LB5" s="214" t="s">
        <v>143</v>
      </c>
      <c r="LC5" s="3"/>
      <c r="LD5" s="3"/>
      <c r="LE5" s="214" t="s">
        <v>143</v>
      </c>
      <c r="LF5" s="214" t="s">
        <v>143</v>
      </c>
      <c r="LG5" s="214" t="s">
        <v>143</v>
      </c>
      <c r="LH5" s="214" t="s">
        <v>143</v>
      </c>
      <c r="LI5" s="214" t="s">
        <v>143</v>
      </c>
      <c r="LJ5" s="3"/>
      <c r="LK5" s="3"/>
      <c r="LL5" s="214" t="s">
        <v>143</v>
      </c>
      <c r="LM5" s="214" t="s">
        <v>143</v>
      </c>
      <c r="LN5" s="214" t="s">
        <v>143</v>
      </c>
      <c r="LO5" s="214" t="s">
        <v>143</v>
      </c>
      <c r="LP5" s="214" t="s">
        <v>143</v>
      </c>
      <c r="LQ5" s="3"/>
      <c r="LR5" s="3"/>
      <c r="LS5" s="214" t="s">
        <v>237</v>
      </c>
      <c r="LT5" s="214" t="s">
        <v>143</v>
      </c>
      <c r="LU5" s="214" t="s">
        <v>143</v>
      </c>
      <c r="LV5" s="214" t="s">
        <v>143</v>
      </c>
      <c r="LW5" s="214" t="s">
        <v>143</v>
      </c>
      <c r="LX5" s="3"/>
      <c r="LY5" s="3"/>
      <c r="LZ5" s="218" t="s">
        <v>141</v>
      </c>
      <c r="MA5" s="227" t="s">
        <v>149</v>
      </c>
      <c r="MB5" s="214" t="s">
        <v>143</v>
      </c>
      <c r="MC5" s="214" t="s">
        <v>143</v>
      </c>
      <c r="MD5" s="214" t="s">
        <v>143</v>
      </c>
      <c r="ME5" s="3"/>
      <c r="MF5" s="3"/>
      <c r="MG5" s="214" t="s">
        <v>143</v>
      </c>
      <c r="MH5" s="214" t="s">
        <v>143</v>
      </c>
      <c r="MI5" s="214" t="s">
        <v>143</v>
      </c>
      <c r="MJ5" s="214" t="s">
        <v>143</v>
      </c>
      <c r="MK5" s="214" t="s">
        <v>143</v>
      </c>
      <c r="ML5" s="3"/>
      <c r="MM5" s="3"/>
      <c r="MN5" s="214" t="s">
        <v>143</v>
      </c>
      <c r="MO5" s="214" t="s">
        <v>143</v>
      </c>
      <c r="MP5" s="214" t="s">
        <v>387</v>
      </c>
      <c r="MQ5" s="214" t="s">
        <v>143</v>
      </c>
      <c r="MR5" s="214" t="s">
        <v>143</v>
      </c>
      <c r="MS5" s="3"/>
      <c r="MT5" s="3"/>
      <c r="MU5" s="214" t="s">
        <v>143</v>
      </c>
      <c r="MV5" s="214" t="s">
        <v>143</v>
      </c>
      <c r="MW5" s="214" t="s">
        <v>143</v>
      </c>
      <c r="MX5" s="3"/>
      <c r="MY5" s="3"/>
      <c r="MZ5" s="3"/>
      <c r="NA5" s="3"/>
      <c r="NB5" s="214" t="s">
        <v>143</v>
      </c>
      <c r="NC5" s="214" t="s">
        <v>143</v>
      </c>
      <c r="ND5" s="214" t="s">
        <v>143</v>
      </c>
      <c r="NE5" s="3"/>
      <c r="NF5" s="214" t="s">
        <v>143</v>
      </c>
    </row>
    <row r="6" spans="1:374">
      <c r="A6" s="106" t="s">
        <v>161</v>
      </c>
      <c r="B6" s="48" t="s">
        <v>18</v>
      </c>
      <c r="C6" s="107" t="s">
        <v>234</v>
      </c>
      <c r="D6" s="3"/>
      <c r="E6" s="11" t="s">
        <v>141</v>
      </c>
      <c r="F6" s="11" t="s">
        <v>141</v>
      </c>
      <c r="G6" s="3"/>
      <c r="H6" s="3"/>
      <c r="I6" s="2" t="s">
        <v>143</v>
      </c>
      <c r="J6" s="2" t="s">
        <v>143</v>
      </c>
      <c r="K6" s="2" t="s">
        <v>143</v>
      </c>
      <c r="L6" s="2" t="s">
        <v>143</v>
      </c>
      <c r="M6" s="2" t="s">
        <v>143</v>
      </c>
      <c r="N6" s="3"/>
      <c r="O6" s="3"/>
      <c r="P6" s="2" t="s">
        <v>143</v>
      </c>
      <c r="Q6" s="2" t="s">
        <v>143</v>
      </c>
      <c r="R6" s="2" t="s">
        <v>143</v>
      </c>
      <c r="S6" s="2" t="s">
        <v>143</v>
      </c>
      <c r="T6" s="2" t="s">
        <v>143</v>
      </c>
      <c r="U6" s="3"/>
      <c r="V6" s="3"/>
      <c r="W6" s="2" t="s">
        <v>143</v>
      </c>
      <c r="X6" s="2" t="s">
        <v>143</v>
      </c>
      <c r="Y6" s="2" t="s">
        <v>143</v>
      </c>
      <c r="Z6" s="2" t="s">
        <v>143</v>
      </c>
      <c r="AA6" s="2" t="s">
        <v>143</v>
      </c>
      <c r="AB6" s="3"/>
      <c r="AC6" s="3"/>
      <c r="AD6" s="2" t="s">
        <v>143</v>
      </c>
      <c r="AE6" s="2" t="s">
        <v>143</v>
      </c>
      <c r="AF6" s="2" t="s">
        <v>143</v>
      </c>
      <c r="AG6" s="2" t="s">
        <v>143</v>
      </c>
      <c r="AH6" s="2" t="s">
        <v>143</v>
      </c>
      <c r="AI6" s="3"/>
      <c r="AJ6" s="3"/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3"/>
      <c r="AQ6" s="3"/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3"/>
      <c r="AX6" s="3"/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3"/>
      <c r="BE6" s="3"/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3"/>
      <c r="BL6" s="3"/>
      <c r="BM6" s="11" t="s">
        <v>141</v>
      </c>
      <c r="BN6" s="2" t="s">
        <v>143</v>
      </c>
      <c r="BO6" s="2" t="s">
        <v>143</v>
      </c>
      <c r="BP6" s="2" t="s">
        <v>143</v>
      </c>
      <c r="BQ6" s="2" t="s">
        <v>143</v>
      </c>
      <c r="BR6" s="3"/>
      <c r="BS6" s="3"/>
      <c r="BT6" s="11" t="s">
        <v>141</v>
      </c>
      <c r="BU6" s="11" t="s">
        <v>141</v>
      </c>
      <c r="BV6" s="2" t="s">
        <v>143</v>
      </c>
      <c r="BW6" s="2" t="s">
        <v>143</v>
      </c>
      <c r="BX6" s="2" t="s">
        <v>143</v>
      </c>
      <c r="BY6" s="3"/>
      <c r="BZ6" s="3"/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3"/>
      <c r="CG6" s="3"/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3"/>
      <c r="CN6" s="3"/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3"/>
      <c r="CU6" s="3"/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3"/>
      <c r="DB6" s="3"/>
      <c r="DC6" s="2" t="s">
        <v>143</v>
      </c>
      <c r="DD6" s="2" t="s">
        <v>143</v>
      </c>
      <c r="DE6" s="2" t="s">
        <v>143</v>
      </c>
      <c r="DF6" s="2" t="s">
        <v>143</v>
      </c>
      <c r="DG6" s="3"/>
      <c r="DH6" s="3"/>
      <c r="DI6" s="3"/>
      <c r="DJ6" s="3"/>
      <c r="DK6" s="2" t="s">
        <v>143</v>
      </c>
      <c r="DL6" s="2" t="s">
        <v>143</v>
      </c>
      <c r="DM6" s="2" t="s">
        <v>143</v>
      </c>
      <c r="DN6" s="2" t="s">
        <v>143</v>
      </c>
      <c r="DO6" s="3"/>
      <c r="DP6" s="3"/>
      <c r="DQ6" s="2" t="s">
        <v>143</v>
      </c>
      <c r="DR6" s="2" t="s">
        <v>143</v>
      </c>
      <c r="DS6" s="2" t="s">
        <v>143</v>
      </c>
      <c r="DT6" s="2" t="s">
        <v>143</v>
      </c>
      <c r="DU6" s="2" t="s">
        <v>143</v>
      </c>
      <c r="DV6" s="3"/>
      <c r="DW6" s="3"/>
      <c r="DX6" s="3"/>
      <c r="DY6" s="2" t="s">
        <v>143</v>
      </c>
      <c r="DZ6" s="2" t="s">
        <v>143</v>
      </c>
      <c r="EA6" s="2" t="s">
        <v>143</v>
      </c>
      <c r="EB6" s="2" t="s">
        <v>143</v>
      </c>
      <c r="EC6" s="3"/>
      <c r="ED6" s="3"/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3"/>
      <c r="EK6" s="3"/>
      <c r="EL6" s="201" t="s">
        <v>149</v>
      </c>
      <c r="EM6" s="2" t="s">
        <v>143</v>
      </c>
      <c r="EN6" s="2" t="s">
        <v>143</v>
      </c>
      <c r="EO6" s="2" t="s">
        <v>143</v>
      </c>
      <c r="EP6" s="2" t="s">
        <v>143</v>
      </c>
      <c r="EQ6" s="3"/>
      <c r="ER6" s="3"/>
      <c r="ES6" s="3"/>
      <c r="ET6" s="2" t="s">
        <v>143</v>
      </c>
      <c r="EU6" s="2" t="s">
        <v>143</v>
      </c>
      <c r="EV6" s="2" t="s">
        <v>143</v>
      </c>
      <c r="EW6" s="2" t="s">
        <v>143</v>
      </c>
      <c r="EX6" s="3"/>
      <c r="EY6" s="3"/>
      <c r="EZ6" s="2" t="s">
        <v>143</v>
      </c>
      <c r="FA6" s="2" t="s">
        <v>143</v>
      </c>
      <c r="FB6" s="2" t="s">
        <v>143</v>
      </c>
      <c r="FC6" s="2" t="s">
        <v>143</v>
      </c>
      <c r="FD6" s="2" t="s">
        <v>143</v>
      </c>
      <c r="FE6" s="3"/>
      <c r="FF6" s="3"/>
      <c r="FG6" s="2" t="s">
        <v>143</v>
      </c>
      <c r="FH6" s="2" t="s">
        <v>143</v>
      </c>
      <c r="FI6" s="2" t="s">
        <v>143</v>
      </c>
      <c r="FJ6" s="2" t="s">
        <v>143</v>
      </c>
      <c r="FK6" s="2" t="s">
        <v>143</v>
      </c>
      <c r="FL6" s="3"/>
      <c r="FM6" s="3"/>
      <c r="FN6" s="2" t="s">
        <v>143</v>
      </c>
      <c r="FO6" s="2" t="s">
        <v>143</v>
      </c>
      <c r="FP6" s="2" t="s">
        <v>143</v>
      </c>
      <c r="FQ6" s="2" t="s">
        <v>143</v>
      </c>
      <c r="FR6" s="2" t="s">
        <v>143</v>
      </c>
      <c r="FS6" s="3"/>
      <c r="FT6" s="3"/>
      <c r="FU6" s="2" t="s">
        <v>143</v>
      </c>
      <c r="FV6" s="2" t="s">
        <v>143</v>
      </c>
      <c r="FW6" s="2" t="s">
        <v>143</v>
      </c>
      <c r="FX6" s="2" t="s">
        <v>143</v>
      </c>
      <c r="FY6" s="2" t="s">
        <v>143</v>
      </c>
      <c r="FZ6" s="3"/>
      <c r="GA6" s="3"/>
      <c r="GB6" s="2" t="s">
        <v>143</v>
      </c>
      <c r="GC6" s="2" t="s">
        <v>143</v>
      </c>
      <c r="GD6" s="2" t="s">
        <v>143</v>
      </c>
      <c r="GE6" s="2" t="s">
        <v>143</v>
      </c>
      <c r="GF6" s="2" t="s">
        <v>143</v>
      </c>
      <c r="GG6" s="3"/>
      <c r="GH6" s="3"/>
      <c r="GI6" s="2" t="s">
        <v>143</v>
      </c>
      <c r="GJ6" s="2" t="s">
        <v>143</v>
      </c>
      <c r="GK6" s="2" t="s">
        <v>143</v>
      </c>
      <c r="GL6" s="2" t="s">
        <v>143</v>
      </c>
      <c r="GM6" s="2" t="s">
        <v>143</v>
      </c>
      <c r="GN6" s="3"/>
      <c r="GO6" s="3"/>
      <c r="GP6" s="2" t="s">
        <v>143</v>
      </c>
      <c r="GQ6" s="2" t="s">
        <v>143</v>
      </c>
      <c r="GR6" s="2" t="s">
        <v>143</v>
      </c>
      <c r="GS6" s="2" t="s">
        <v>143</v>
      </c>
      <c r="GT6" s="81" t="s">
        <v>141</v>
      </c>
      <c r="GU6" s="3"/>
      <c r="GV6" s="3"/>
      <c r="GW6" s="2" t="s">
        <v>143</v>
      </c>
      <c r="GX6" s="2" t="s">
        <v>143</v>
      </c>
      <c r="GY6" s="2" t="s">
        <v>143</v>
      </c>
      <c r="GZ6" s="2" t="s">
        <v>143</v>
      </c>
      <c r="HA6" s="2" t="s">
        <v>143</v>
      </c>
      <c r="HB6" s="3"/>
      <c r="HC6" s="3"/>
      <c r="HD6" s="2" t="s">
        <v>143</v>
      </c>
      <c r="HE6" s="2" t="s">
        <v>143</v>
      </c>
      <c r="HF6" s="2" t="s">
        <v>143</v>
      </c>
      <c r="HG6" s="2" t="s">
        <v>143</v>
      </c>
      <c r="HH6" s="2" t="s">
        <v>143</v>
      </c>
      <c r="HI6" s="3"/>
      <c r="HJ6" s="3"/>
      <c r="HK6" s="2" t="s">
        <v>143</v>
      </c>
      <c r="HL6" s="2" t="s">
        <v>143</v>
      </c>
      <c r="HM6" s="2" t="s">
        <v>143</v>
      </c>
      <c r="HN6" s="2" t="s">
        <v>143</v>
      </c>
      <c r="HO6" s="81" t="s">
        <v>141</v>
      </c>
      <c r="HP6" s="3"/>
      <c r="HQ6" s="3"/>
      <c r="HR6" s="2" t="s">
        <v>143</v>
      </c>
      <c r="HS6" s="2" t="s">
        <v>143</v>
      </c>
      <c r="HT6" s="2" t="s">
        <v>143</v>
      </c>
      <c r="HU6" s="2" t="s">
        <v>143</v>
      </c>
      <c r="HV6" s="2" t="s">
        <v>143</v>
      </c>
      <c r="HW6" s="3"/>
      <c r="HX6" s="3"/>
      <c r="HY6" s="2" t="s">
        <v>143</v>
      </c>
      <c r="HZ6" s="81" t="s">
        <v>141</v>
      </c>
      <c r="IA6" s="2" t="s">
        <v>143</v>
      </c>
      <c r="IB6" s="2" t="s">
        <v>143</v>
      </c>
      <c r="IC6" s="2" t="s">
        <v>143</v>
      </c>
      <c r="ID6" s="3"/>
      <c r="IE6" s="3"/>
      <c r="IF6" s="201" t="s">
        <v>386</v>
      </c>
      <c r="IG6" s="2" t="s">
        <v>143</v>
      </c>
      <c r="IH6" s="79" t="s">
        <v>396</v>
      </c>
      <c r="II6" s="2" t="s">
        <v>143</v>
      </c>
      <c r="IJ6" s="2" t="s">
        <v>143</v>
      </c>
      <c r="IK6" s="3"/>
      <c r="IL6" s="3"/>
      <c r="IM6" s="214" t="s">
        <v>143</v>
      </c>
      <c r="IN6" s="213" t="s">
        <v>397</v>
      </c>
      <c r="IO6" s="213" t="s">
        <v>397</v>
      </c>
      <c r="IP6" s="213" t="s">
        <v>397</v>
      </c>
      <c r="IQ6" s="214" t="s">
        <v>143</v>
      </c>
      <c r="IR6" s="3"/>
      <c r="IS6" s="3"/>
      <c r="IT6" s="214" t="s">
        <v>143</v>
      </c>
      <c r="IU6" s="213" t="s">
        <v>397</v>
      </c>
      <c r="IV6" s="213" t="s">
        <v>397</v>
      </c>
      <c r="IW6" s="213" t="s">
        <v>397</v>
      </c>
      <c r="IX6" s="214" t="s">
        <v>143</v>
      </c>
      <c r="IY6" s="3"/>
      <c r="IZ6" s="3"/>
      <c r="JA6" s="214" t="s">
        <v>143</v>
      </c>
      <c r="JB6" s="214" t="s">
        <v>143</v>
      </c>
      <c r="JC6" s="214" t="s">
        <v>143</v>
      </c>
      <c r="JD6" s="218" t="s">
        <v>141</v>
      </c>
      <c r="JE6" s="214" t="s">
        <v>143</v>
      </c>
      <c r="JF6" s="3"/>
      <c r="JG6" s="3"/>
      <c r="JH6" s="214" t="s">
        <v>148</v>
      </c>
      <c r="JI6" s="214" t="s">
        <v>148</v>
      </c>
      <c r="JJ6" s="214" t="s">
        <v>143</v>
      </c>
      <c r="JK6" s="214" t="s">
        <v>143</v>
      </c>
      <c r="JL6" s="214" t="s">
        <v>143</v>
      </c>
      <c r="JM6" s="3"/>
      <c r="JN6" s="3"/>
      <c r="JO6" s="214" t="s">
        <v>143</v>
      </c>
      <c r="JP6" s="214" t="s">
        <v>143</v>
      </c>
      <c r="JQ6" s="214" t="s">
        <v>143</v>
      </c>
      <c r="JR6" s="214" t="s">
        <v>143</v>
      </c>
      <c r="JS6" s="218" t="s">
        <v>141</v>
      </c>
      <c r="JT6" s="3"/>
      <c r="JU6" s="3"/>
      <c r="JV6" s="218" t="s">
        <v>141</v>
      </c>
      <c r="JW6" s="218" t="s">
        <v>141</v>
      </c>
      <c r="JX6" s="218" t="s">
        <v>141</v>
      </c>
      <c r="JY6" s="218" t="s">
        <v>141</v>
      </c>
      <c r="JZ6" s="218" t="s">
        <v>141</v>
      </c>
      <c r="KA6" s="3"/>
      <c r="KB6" s="3"/>
      <c r="KC6" s="218" t="s">
        <v>141</v>
      </c>
      <c r="KD6" s="218" t="s">
        <v>141</v>
      </c>
      <c r="KE6" s="218" t="s">
        <v>141</v>
      </c>
      <c r="KF6" s="218" t="s">
        <v>141</v>
      </c>
      <c r="KG6" s="218" t="s">
        <v>141</v>
      </c>
      <c r="KH6" s="3"/>
      <c r="KI6" s="3"/>
      <c r="KJ6" s="214" t="s">
        <v>143</v>
      </c>
      <c r="KK6" s="214" t="s">
        <v>143</v>
      </c>
      <c r="KL6" s="214" t="s">
        <v>143</v>
      </c>
      <c r="KM6" s="214" t="s">
        <v>237</v>
      </c>
      <c r="KN6" s="214" t="s">
        <v>143</v>
      </c>
      <c r="KO6" s="3"/>
      <c r="KP6" s="3"/>
      <c r="KQ6" s="214" t="s">
        <v>143</v>
      </c>
      <c r="KR6" s="214" t="s">
        <v>143</v>
      </c>
      <c r="KS6" s="214" t="s">
        <v>143</v>
      </c>
      <c r="KT6" s="214" t="s">
        <v>143</v>
      </c>
      <c r="KU6" s="214" t="s">
        <v>143</v>
      </c>
      <c r="KV6" s="3"/>
      <c r="KW6" s="3"/>
      <c r="KX6" s="214" t="s">
        <v>143</v>
      </c>
      <c r="KY6" s="214" t="s">
        <v>143</v>
      </c>
      <c r="KZ6" s="214" t="s">
        <v>143</v>
      </c>
      <c r="LA6" s="214" t="s">
        <v>143</v>
      </c>
      <c r="LB6" s="214" t="s">
        <v>143</v>
      </c>
      <c r="LC6" s="3"/>
      <c r="LD6" s="3"/>
      <c r="LE6" s="214" t="s">
        <v>143</v>
      </c>
      <c r="LF6" s="214" t="s">
        <v>143</v>
      </c>
      <c r="LG6" s="214" t="s">
        <v>143</v>
      </c>
      <c r="LH6" s="214" t="s">
        <v>143</v>
      </c>
      <c r="LI6" s="214" t="s">
        <v>143</v>
      </c>
      <c r="LJ6" s="3"/>
      <c r="LK6" s="3"/>
      <c r="LL6" s="214" t="s">
        <v>143</v>
      </c>
      <c r="LM6" s="214" t="s">
        <v>143</v>
      </c>
      <c r="LN6" s="214" t="s">
        <v>143</v>
      </c>
      <c r="LO6" s="214" t="s">
        <v>143</v>
      </c>
      <c r="LP6" s="214" t="s">
        <v>143</v>
      </c>
      <c r="LQ6" s="3"/>
      <c r="LR6" s="3"/>
      <c r="LS6" s="214" t="s">
        <v>143</v>
      </c>
      <c r="LT6" s="214" t="s">
        <v>143</v>
      </c>
      <c r="LU6" s="214" t="s">
        <v>143</v>
      </c>
      <c r="LV6" s="214" t="s">
        <v>143</v>
      </c>
      <c r="LW6" s="214" t="s">
        <v>143</v>
      </c>
      <c r="LX6" s="3"/>
      <c r="LY6" s="3"/>
      <c r="LZ6" s="214" t="s">
        <v>143</v>
      </c>
      <c r="MA6" s="214" t="s">
        <v>143</v>
      </c>
      <c r="MB6" s="218" t="s">
        <v>141</v>
      </c>
      <c r="MC6" s="214" t="s">
        <v>143</v>
      </c>
      <c r="MD6" s="214" t="s">
        <v>143</v>
      </c>
      <c r="ME6" s="3"/>
      <c r="MF6" s="3"/>
      <c r="MG6" s="227" t="s">
        <v>149</v>
      </c>
      <c r="MH6" s="214" t="s">
        <v>143</v>
      </c>
      <c r="MI6" s="214" t="s">
        <v>143</v>
      </c>
      <c r="MJ6" s="214" t="s">
        <v>143</v>
      </c>
      <c r="MK6" s="214" t="s">
        <v>143</v>
      </c>
      <c r="ML6" s="3"/>
      <c r="MM6" s="3"/>
      <c r="MN6" s="214" t="s">
        <v>143</v>
      </c>
      <c r="MO6" s="214" t="s">
        <v>143</v>
      </c>
      <c r="MP6" s="214" t="s">
        <v>387</v>
      </c>
      <c r="MQ6" s="214" t="s">
        <v>143</v>
      </c>
      <c r="MR6" s="214" t="s">
        <v>143</v>
      </c>
      <c r="MS6" s="3"/>
      <c r="MT6" s="3"/>
      <c r="MU6" s="214" t="s">
        <v>143</v>
      </c>
      <c r="MV6" s="214" t="s">
        <v>143</v>
      </c>
      <c r="MW6" s="214" t="s">
        <v>143</v>
      </c>
      <c r="MX6" s="3"/>
      <c r="MY6" s="3"/>
      <c r="MZ6" s="3"/>
      <c r="NA6" s="3"/>
      <c r="NB6" s="214" t="s">
        <v>143</v>
      </c>
      <c r="NC6" s="214" t="s">
        <v>143</v>
      </c>
      <c r="ND6" s="214" t="s">
        <v>143</v>
      </c>
      <c r="NE6" s="3"/>
      <c r="NF6" s="219" t="s">
        <v>141</v>
      </c>
    </row>
    <row r="7" spans="1:374">
      <c r="A7" s="106" t="s">
        <v>169</v>
      </c>
      <c r="B7" s="48" t="s">
        <v>18</v>
      </c>
      <c r="C7" s="107" t="s">
        <v>234</v>
      </c>
      <c r="D7" s="3"/>
      <c r="E7" s="11" t="s">
        <v>141</v>
      </c>
      <c r="F7" s="80" t="s">
        <v>151</v>
      </c>
      <c r="G7" s="3"/>
      <c r="H7" s="3"/>
      <c r="I7" s="80" t="s">
        <v>151</v>
      </c>
      <c r="J7" s="80" t="s">
        <v>151</v>
      </c>
      <c r="K7" s="80" t="s">
        <v>151</v>
      </c>
      <c r="L7" s="80" t="s">
        <v>151</v>
      </c>
      <c r="M7" s="80" t="s">
        <v>151</v>
      </c>
      <c r="N7" s="3"/>
      <c r="O7" s="3"/>
      <c r="P7" s="80" t="s">
        <v>151</v>
      </c>
      <c r="Q7" s="80" t="s">
        <v>151</v>
      </c>
      <c r="R7" s="80" t="s">
        <v>151</v>
      </c>
      <c r="S7" s="80" t="s">
        <v>151</v>
      </c>
      <c r="T7" s="80" t="s">
        <v>151</v>
      </c>
      <c r="U7" s="3"/>
      <c r="V7" s="3"/>
      <c r="W7" s="80" t="s">
        <v>151</v>
      </c>
      <c r="X7" s="80" t="s">
        <v>151</v>
      </c>
      <c r="Y7" s="80" t="s">
        <v>151</v>
      </c>
      <c r="Z7" s="80" t="s">
        <v>151</v>
      </c>
      <c r="AA7" s="2" t="s">
        <v>143</v>
      </c>
      <c r="AB7" s="3"/>
      <c r="AC7" s="3"/>
      <c r="AD7" s="80" t="s">
        <v>151</v>
      </c>
      <c r="AE7" s="80" t="s">
        <v>151</v>
      </c>
      <c r="AF7" s="80" t="s">
        <v>151</v>
      </c>
      <c r="AG7" s="2" t="s">
        <v>143</v>
      </c>
      <c r="AH7" s="80" t="s">
        <v>151</v>
      </c>
      <c r="AI7" s="3"/>
      <c r="AJ7" s="3"/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3"/>
      <c r="AQ7" s="3"/>
      <c r="AR7" s="2" t="s">
        <v>143</v>
      </c>
      <c r="AS7" s="80" t="s">
        <v>151</v>
      </c>
      <c r="AT7" s="2" t="s">
        <v>143</v>
      </c>
      <c r="AU7" s="2" t="s">
        <v>143</v>
      </c>
      <c r="AV7" s="2" t="s">
        <v>143</v>
      </c>
      <c r="AW7" s="3"/>
      <c r="AX7" s="3"/>
      <c r="AY7" s="2" t="s">
        <v>143</v>
      </c>
      <c r="AZ7" s="2" t="s">
        <v>143</v>
      </c>
      <c r="BA7" s="2" t="s">
        <v>143</v>
      </c>
      <c r="BB7" s="11" t="s">
        <v>141</v>
      </c>
      <c r="BC7" s="2" t="s">
        <v>143</v>
      </c>
      <c r="BD7" s="3"/>
      <c r="BE7" s="3"/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3"/>
      <c r="BL7" s="3"/>
      <c r="BM7" s="2" t="s">
        <v>143</v>
      </c>
      <c r="BN7" s="2" t="s">
        <v>143</v>
      </c>
      <c r="BO7" s="2" t="s">
        <v>143</v>
      </c>
      <c r="BP7" s="2" t="s">
        <v>143</v>
      </c>
      <c r="BQ7" s="2" t="s">
        <v>143</v>
      </c>
      <c r="BR7" s="3"/>
      <c r="BS7" s="3"/>
      <c r="BT7" s="2" t="s">
        <v>143</v>
      </c>
      <c r="BU7" s="2" t="s">
        <v>143</v>
      </c>
      <c r="BV7" s="2" t="s">
        <v>143</v>
      </c>
      <c r="BW7" s="11" t="s">
        <v>141</v>
      </c>
      <c r="BX7" s="11" t="s">
        <v>141</v>
      </c>
      <c r="BY7" s="3"/>
      <c r="BZ7" s="3"/>
      <c r="CA7" s="2" t="s">
        <v>143</v>
      </c>
      <c r="CB7" s="2" t="s">
        <v>143</v>
      </c>
      <c r="CC7" s="2" t="s">
        <v>143</v>
      </c>
      <c r="CD7" s="11" t="s">
        <v>141</v>
      </c>
      <c r="CE7" s="2" t="s">
        <v>143</v>
      </c>
      <c r="CF7" s="3"/>
      <c r="CG7" s="3"/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3"/>
      <c r="CN7" s="3"/>
      <c r="CO7" s="2" t="s">
        <v>143</v>
      </c>
      <c r="CP7" s="2" t="s">
        <v>143</v>
      </c>
      <c r="CQ7" s="2" t="s">
        <v>143</v>
      </c>
      <c r="CR7" s="2" t="s">
        <v>143</v>
      </c>
      <c r="CS7" s="81" t="s">
        <v>141</v>
      </c>
      <c r="CT7" s="3"/>
      <c r="CU7" s="3"/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3"/>
      <c r="DB7" s="3"/>
      <c r="DC7" s="2" t="s">
        <v>143</v>
      </c>
      <c r="DD7" s="2" t="s">
        <v>143</v>
      </c>
      <c r="DE7" s="2" t="s">
        <v>143</v>
      </c>
      <c r="DF7" s="2" t="s">
        <v>143</v>
      </c>
      <c r="DG7" s="3"/>
      <c r="DH7" s="3"/>
      <c r="DI7" s="3"/>
      <c r="DJ7" s="3"/>
      <c r="DK7" s="2" t="s">
        <v>143</v>
      </c>
      <c r="DL7" s="2" t="s">
        <v>143</v>
      </c>
      <c r="DM7" s="2" t="s">
        <v>143</v>
      </c>
      <c r="DN7" s="2" t="s">
        <v>143</v>
      </c>
      <c r="DO7" s="3"/>
      <c r="DP7" s="3"/>
      <c r="DQ7" s="2" t="s">
        <v>143</v>
      </c>
      <c r="DR7" s="2" t="s">
        <v>143</v>
      </c>
      <c r="DS7" s="2" t="s">
        <v>143</v>
      </c>
      <c r="DT7" s="2" t="s">
        <v>143</v>
      </c>
      <c r="DU7" s="2" t="s">
        <v>143</v>
      </c>
      <c r="DV7" s="3"/>
      <c r="DW7" s="3"/>
      <c r="DX7" s="3"/>
      <c r="DY7" s="2" t="s">
        <v>143</v>
      </c>
      <c r="DZ7" s="81" t="s">
        <v>141</v>
      </c>
      <c r="EA7" s="81" t="s">
        <v>141</v>
      </c>
      <c r="EB7" s="2" t="s">
        <v>143</v>
      </c>
      <c r="EC7" s="3"/>
      <c r="ED7" s="3"/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3"/>
      <c r="EK7" s="3"/>
      <c r="EL7" s="2" t="s">
        <v>143</v>
      </c>
      <c r="EM7" s="2" t="s">
        <v>143</v>
      </c>
      <c r="EN7" s="2" t="s">
        <v>143</v>
      </c>
      <c r="EO7" s="2" t="s">
        <v>143</v>
      </c>
      <c r="EP7" s="2" t="s">
        <v>143</v>
      </c>
      <c r="EQ7" s="3"/>
      <c r="ER7" s="3"/>
      <c r="ES7" s="3"/>
      <c r="ET7" s="2" t="s">
        <v>143</v>
      </c>
      <c r="EU7" s="2" t="s">
        <v>143</v>
      </c>
      <c r="EV7" s="2" t="s">
        <v>143</v>
      </c>
      <c r="EW7" s="2" t="s">
        <v>143</v>
      </c>
      <c r="EX7" s="3"/>
      <c r="EY7" s="3"/>
      <c r="EZ7" s="2" t="s">
        <v>143</v>
      </c>
      <c r="FA7" s="2" t="s">
        <v>143</v>
      </c>
      <c r="FB7" s="2" t="s">
        <v>143</v>
      </c>
      <c r="FC7" s="2" t="s">
        <v>143</v>
      </c>
      <c r="FD7" s="2" t="s">
        <v>143</v>
      </c>
      <c r="FE7" s="3"/>
      <c r="FF7" s="3"/>
      <c r="FG7" s="2" t="s">
        <v>143</v>
      </c>
      <c r="FH7" s="2" t="s">
        <v>143</v>
      </c>
      <c r="FI7" s="2" t="s">
        <v>143</v>
      </c>
      <c r="FJ7" s="2" t="s">
        <v>143</v>
      </c>
      <c r="FK7" s="2" t="s">
        <v>143</v>
      </c>
      <c r="FL7" s="3"/>
      <c r="FM7" s="3"/>
      <c r="FN7" s="81" t="s">
        <v>141</v>
      </c>
      <c r="FO7" s="81" t="s">
        <v>141</v>
      </c>
      <c r="FP7" s="81" t="s">
        <v>141</v>
      </c>
      <c r="FQ7" s="81" t="s">
        <v>141</v>
      </c>
      <c r="FR7" s="81" t="s">
        <v>141</v>
      </c>
      <c r="FS7" s="3"/>
      <c r="FT7" s="3"/>
      <c r="FU7" s="2" t="s">
        <v>143</v>
      </c>
      <c r="FV7" s="2" t="s">
        <v>143</v>
      </c>
      <c r="FW7" s="2" t="s">
        <v>143</v>
      </c>
      <c r="FX7" s="2" t="s">
        <v>143</v>
      </c>
      <c r="FY7" s="2" t="s">
        <v>143</v>
      </c>
      <c r="FZ7" s="3"/>
      <c r="GA7" s="3"/>
      <c r="GB7" s="2" t="s">
        <v>143</v>
      </c>
      <c r="GC7" s="2" t="s">
        <v>143</v>
      </c>
      <c r="GD7" s="2" t="s">
        <v>143</v>
      </c>
      <c r="GE7" s="2" t="s">
        <v>143</v>
      </c>
      <c r="GF7" s="2" t="s">
        <v>143</v>
      </c>
      <c r="GG7" s="3"/>
      <c r="GH7" s="3"/>
      <c r="GI7" s="2" t="s">
        <v>143</v>
      </c>
      <c r="GJ7" s="2" t="s">
        <v>143</v>
      </c>
      <c r="GK7" s="2" t="s">
        <v>143</v>
      </c>
      <c r="GL7" s="2" t="s">
        <v>143</v>
      </c>
      <c r="GM7" s="2" t="s">
        <v>143</v>
      </c>
      <c r="GN7" s="3"/>
      <c r="GO7" s="3"/>
      <c r="GP7" s="210" t="s">
        <v>398</v>
      </c>
      <c r="GQ7" s="2" t="s">
        <v>143</v>
      </c>
      <c r="GR7" s="2" t="s">
        <v>143</v>
      </c>
      <c r="GS7" s="2" t="s">
        <v>143</v>
      </c>
      <c r="GT7" s="2" t="s">
        <v>143</v>
      </c>
      <c r="GU7" s="3"/>
      <c r="GV7" s="3"/>
      <c r="GW7" s="2" t="s">
        <v>143</v>
      </c>
      <c r="GX7" s="2" t="s">
        <v>143</v>
      </c>
      <c r="GY7" s="210" t="s">
        <v>399</v>
      </c>
      <c r="GZ7" s="2" t="s">
        <v>143</v>
      </c>
      <c r="HA7" s="2" t="s">
        <v>143</v>
      </c>
      <c r="HB7" s="3"/>
      <c r="HC7" s="3"/>
      <c r="HD7" s="210" t="s">
        <v>389</v>
      </c>
      <c r="HE7" s="210" t="s">
        <v>389</v>
      </c>
      <c r="HF7" s="210" t="s">
        <v>389</v>
      </c>
      <c r="HG7" s="210" t="s">
        <v>389</v>
      </c>
      <c r="HH7" s="210" t="s">
        <v>389</v>
      </c>
      <c r="HI7" s="3"/>
      <c r="HJ7" s="3"/>
      <c r="HK7" s="210" t="s">
        <v>389</v>
      </c>
      <c r="HL7" s="210" t="s">
        <v>389</v>
      </c>
      <c r="HM7" s="81" t="s">
        <v>141</v>
      </c>
      <c r="HN7" s="2" t="s">
        <v>143</v>
      </c>
      <c r="HO7" s="210" t="s">
        <v>389</v>
      </c>
      <c r="HP7" s="3"/>
      <c r="HQ7" s="3"/>
      <c r="HR7" s="210" t="s">
        <v>389</v>
      </c>
      <c r="HS7" s="210" t="s">
        <v>389</v>
      </c>
      <c r="HT7" s="210" t="s">
        <v>400</v>
      </c>
      <c r="HU7" s="2" t="s">
        <v>143</v>
      </c>
      <c r="HV7" s="2" t="s">
        <v>143</v>
      </c>
      <c r="HW7" s="3"/>
      <c r="HX7" s="3"/>
      <c r="HY7" s="2" t="s">
        <v>143</v>
      </c>
      <c r="HZ7" s="210" t="s">
        <v>401</v>
      </c>
      <c r="IA7" s="2" t="s">
        <v>143</v>
      </c>
      <c r="IB7" s="2" t="s">
        <v>143</v>
      </c>
      <c r="IC7" s="2" t="s">
        <v>143</v>
      </c>
      <c r="ID7" s="3"/>
      <c r="IE7" s="3"/>
      <c r="IF7" s="201" t="s">
        <v>386</v>
      </c>
      <c r="IG7" s="2" t="s">
        <v>143</v>
      </c>
      <c r="IH7" s="2" t="s">
        <v>143</v>
      </c>
      <c r="II7" s="210" t="s">
        <v>402</v>
      </c>
      <c r="IJ7" s="2" t="s">
        <v>143</v>
      </c>
      <c r="IK7" s="3"/>
      <c r="IL7" s="3"/>
      <c r="IM7" s="214" t="s">
        <v>143</v>
      </c>
      <c r="IN7" s="216" t="s">
        <v>403</v>
      </c>
      <c r="IO7" s="216" t="s">
        <v>403</v>
      </c>
      <c r="IP7" s="216" t="s">
        <v>403</v>
      </c>
      <c r="IQ7" s="216" t="s">
        <v>403</v>
      </c>
      <c r="IR7" s="3"/>
      <c r="IS7" s="3"/>
      <c r="IT7" s="218" t="s">
        <v>141</v>
      </c>
      <c r="IU7" s="218" t="s">
        <v>141</v>
      </c>
      <c r="IV7" s="218" t="s">
        <v>141</v>
      </c>
      <c r="IW7" s="218" t="s">
        <v>141</v>
      </c>
      <c r="IX7" s="218" t="s">
        <v>141</v>
      </c>
      <c r="IY7" s="3"/>
      <c r="IZ7" s="3"/>
      <c r="JA7" s="214" t="s">
        <v>237</v>
      </c>
      <c r="JB7" s="214" t="s">
        <v>143</v>
      </c>
      <c r="JC7" s="214" t="s">
        <v>143</v>
      </c>
      <c r="JD7" s="214" t="s">
        <v>143</v>
      </c>
      <c r="JE7" s="213" t="s">
        <v>404</v>
      </c>
      <c r="JF7" s="3"/>
      <c r="JG7" s="3"/>
      <c r="JH7" s="214" t="s">
        <v>143</v>
      </c>
      <c r="JI7" s="82" t="s">
        <v>405</v>
      </c>
      <c r="JJ7" s="214" t="s">
        <v>143</v>
      </c>
      <c r="JK7" s="82" t="s">
        <v>406</v>
      </c>
      <c r="JL7" s="214" t="s">
        <v>143</v>
      </c>
      <c r="JM7" s="3"/>
      <c r="JN7" s="3"/>
      <c r="JO7" s="82" t="s">
        <v>407</v>
      </c>
      <c r="JP7" s="82" t="s">
        <v>408</v>
      </c>
      <c r="JQ7" s="214" t="s">
        <v>143</v>
      </c>
      <c r="JR7" s="214" t="s">
        <v>143</v>
      </c>
      <c r="JS7" s="214" t="s">
        <v>143</v>
      </c>
      <c r="JT7" s="3"/>
      <c r="JU7" s="3"/>
      <c r="JV7" s="214" t="s">
        <v>143</v>
      </c>
      <c r="JW7" s="214" t="s">
        <v>143</v>
      </c>
      <c r="JX7" s="214" t="s">
        <v>143</v>
      </c>
      <c r="JY7" s="82" t="s">
        <v>310</v>
      </c>
      <c r="JZ7" s="214" t="s">
        <v>143</v>
      </c>
      <c r="KA7" s="3"/>
      <c r="KB7" s="3"/>
      <c r="KC7" s="214" t="s">
        <v>143</v>
      </c>
      <c r="KD7" s="214" t="s">
        <v>143</v>
      </c>
      <c r="KE7" s="214" t="s">
        <v>143</v>
      </c>
      <c r="KF7" s="214" t="s">
        <v>409</v>
      </c>
      <c r="KG7" s="214" t="s">
        <v>409</v>
      </c>
      <c r="KH7" s="3"/>
      <c r="KI7" s="3"/>
      <c r="KJ7" s="218" t="s">
        <v>141</v>
      </c>
      <c r="KK7" s="218" t="s">
        <v>141</v>
      </c>
      <c r="KL7" s="218" t="s">
        <v>141</v>
      </c>
      <c r="KM7" s="218" t="s">
        <v>141</v>
      </c>
      <c r="KN7" s="218" t="s">
        <v>141</v>
      </c>
      <c r="KO7" s="3"/>
      <c r="KP7" s="3"/>
      <c r="KQ7" s="82" t="s">
        <v>410</v>
      </c>
      <c r="KR7" s="82" t="s">
        <v>410</v>
      </c>
      <c r="KS7" s="82" t="s">
        <v>410</v>
      </c>
      <c r="KT7" s="82" t="s">
        <v>411</v>
      </c>
      <c r="KU7" s="82" t="s">
        <v>410</v>
      </c>
      <c r="KV7" s="3"/>
      <c r="KW7" s="3"/>
      <c r="KX7" s="214" t="s">
        <v>143</v>
      </c>
      <c r="KY7" s="214" t="s">
        <v>143</v>
      </c>
      <c r="KZ7" s="214" t="s">
        <v>143</v>
      </c>
      <c r="LA7" s="214" t="s">
        <v>143</v>
      </c>
      <c r="LB7" s="214" t="s">
        <v>237</v>
      </c>
      <c r="LC7" s="3"/>
      <c r="LD7" s="3"/>
      <c r="LE7" s="214" t="s">
        <v>143</v>
      </c>
      <c r="LF7" s="214" t="s">
        <v>143</v>
      </c>
      <c r="LG7" s="82" t="s">
        <v>395</v>
      </c>
      <c r="LH7" s="214" t="s">
        <v>143</v>
      </c>
      <c r="LI7" s="214" t="s">
        <v>143</v>
      </c>
      <c r="LJ7" s="3"/>
      <c r="LK7" s="3"/>
      <c r="LL7" s="82" t="s">
        <v>412</v>
      </c>
      <c r="LM7" s="214" t="s">
        <v>143</v>
      </c>
      <c r="LN7" s="214" t="s">
        <v>143</v>
      </c>
      <c r="LO7" s="214" t="s">
        <v>143</v>
      </c>
      <c r="LP7" s="214" t="s">
        <v>143</v>
      </c>
      <c r="LQ7" s="3"/>
      <c r="LR7" s="3"/>
      <c r="LS7" s="214" t="s">
        <v>143</v>
      </c>
      <c r="LT7" s="214" t="s">
        <v>143</v>
      </c>
      <c r="LU7" s="214" t="s">
        <v>143</v>
      </c>
      <c r="LV7" s="214" t="s">
        <v>143</v>
      </c>
      <c r="LW7" s="82" t="s">
        <v>413</v>
      </c>
      <c r="LX7" s="3"/>
      <c r="LY7" s="3"/>
      <c r="LZ7" s="214" t="s">
        <v>143</v>
      </c>
      <c r="MA7" s="219" t="s">
        <v>144</v>
      </c>
      <c r="MB7" s="218" t="s">
        <v>141</v>
      </c>
      <c r="MC7" s="218" t="s">
        <v>141</v>
      </c>
      <c r="MD7" s="218" t="s">
        <v>141</v>
      </c>
      <c r="ME7" s="3"/>
      <c r="MF7" s="3"/>
      <c r="MG7" s="214" t="s">
        <v>143</v>
      </c>
      <c r="MH7" s="214" t="s">
        <v>143</v>
      </c>
      <c r="MI7" s="214" t="s">
        <v>143</v>
      </c>
      <c r="MJ7" s="214" t="s">
        <v>143</v>
      </c>
      <c r="MK7" s="214" t="s">
        <v>143</v>
      </c>
      <c r="ML7" s="3"/>
      <c r="MM7" s="3"/>
      <c r="MN7" s="82" t="s">
        <v>414</v>
      </c>
      <c r="MO7" s="214" t="s">
        <v>143</v>
      </c>
      <c r="MP7" s="214" t="s">
        <v>387</v>
      </c>
      <c r="MQ7" s="214" t="s">
        <v>237</v>
      </c>
      <c r="MR7" s="214" t="s">
        <v>143</v>
      </c>
      <c r="MS7" s="3"/>
      <c r="MT7" s="3"/>
      <c r="MU7" s="214" t="s">
        <v>143</v>
      </c>
      <c r="MV7" s="214" t="s">
        <v>143</v>
      </c>
      <c r="MW7" s="214" t="s">
        <v>143</v>
      </c>
      <c r="MX7" s="3"/>
      <c r="MY7" s="3"/>
      <c r="MZ7" s="3"/>
      <c r="NA7" s="3"/>
      <c r="NB7" s="214" t="s">
        <v>143</v>
      </c>
      <c r="NC7" s="214" t="s">
        <v>143</v>
      </c>
      <c r="ND7" s="214" t="s">
        <v>143</v>
      </c>
      <c r="NE7" s="3"/>
      <c r="NF7" s="214" t="s">
        <v>143</v>
      </c>
    </row>
    <row r="8" spans="1:374">
      <c r="A8" s="106" t="s">
        <v>164</v>
      </c>
      <c r="B8" s="48" t="s">
        <v>18</v>
      </c>
      <c r="C8" s="107" t="s">
        <v>262</v>
      </c>
      <c r="D8" s="3"/>
      <c r="E8" s="2" t="s">
        <v>143</v>
      </c>
      <c r="F8" s="2" t="s">
        <v>143</v>
      </c>
      <c r="G8" s="3"/>
      <c r="H8" s="3"/>
      <c r="I8" s="2" t="s">
        <v>143</v>
      </c>
      <c r="J8" s="2" t="s">
        <v>143</v>
      </c>
      <c r="K8" s="2" t="s">
        <v>143</v>
      </c>
      <c r="L8" s="2" t="s">
        <v>143</v>
      </c>
      <c r="M8" s="2" t="s">
        <v>143</v>
      </c>
      <c r="N8" s="3"/>
      <c r="O8" s="3"/>
      <c r="P8" s="2" t="s">
        <v>143</v>
      </c>
      <c r="Q8" s="2" t="s">
        <v>143</v>
      </c>
      <c r="R8" s="2" t="s">
        <v>143</v>
      </c>
      <c r="S8" s="2" t="s">
        <v>143</v>
      </c>
      <c r="T8" s="2" t="s">
        <v>143</v>
      </c>
      <c r="U8" s="3"/>
      <c r="V8" s="3"/>
      <c r="W8" s="2" t="s">
        <v>143</v>
      </c>
      <c r="X8" s="2" t="s">
        <v>143</v>
      </c>
      <c r="Y8" s="2" t="s">
        <v>143</v>
      </c>
      <c r="Z8" s="2" t="s">
        <v>143</v>
      </c>
      <c r="AA8" s="2" t="s">
        <v>143</v>
      </c>
      <c r="AB8" s="3"/>
      <c r="AC8" s="3"/>
      <c r="AD8" s="2" t="s">
        <v>143</v>
      </c>
      <c r="AE8" s="2" t="s">
        <v>143</v>
      </c>
      <c r="AF8" s="2" t="s">
        <v>143</v>
      </c>
      <c r="AG8" s="2" t="s">
        <v>143</v>
      </c>
      <c r="AH8" s="2" t="s">
        <v>143</v>
      </c>
      <c r="AI8" s="3"/>
      <c r="AJ8" s="3"/>
      <c r="AK8" s="2" t="s">
        <v>143</v>
      </c>
      <c r="AL8" s="2" t="s">
        <v>143</v>
      </c>
      <c r="AM8" s="2" t="s">
        <v>143</v>
      </c>
      <c r="AN8" s="2" t="s">
        <v>143</v>
      </c>
      <c r="AO8" s="2" t="s">
        <v>143</v>
      </c>
      <c r="AP8" s="3"/>
      <c r="AQ8" s="3"/>
      <c r="AR8" s="2" t="s">
        <v>143</v>
      </c>
      <c r="AS8" s="2" t="s">
        <v>143</v>
      </c>
      <c r="AT8" s="2" t="s">
        <v>143</v>
      </c>
      <c r="AU8" s="2" t="s">
        <v>143</v>
      </c>
      <c r="AV8" s="2" t="s">
        <v>143</v>
      </c>
      <c r="AW8" s="3"/>
      <c r="AX8" s="3"/>
      <c r="AY8" s="2" t="s">
        <v>143</v>
      </c>
      <c r="AZ8" s="2" t="s">
        <v>143</v>
      </c>
      <c r="BA8" s="2" t="s">
        <v>143</v>
      </c>
      <c r="BB8" s="2" t="s">
        <v>143</v>
      </c>
      <c r="BC8" s="2" t="s">
        <v>143</v>
      </c>
      <c r="BD8" s="3"/>
      <c r="BE8" s="3"/>
      <c r="BF8" s="2" t="s">
        <v>143</v>
      </c>
      <c r="BG8" s="2" t="s">
        <v>143</v>
      </c>
      <c r="BH8" s="2" t="s">
        <v>143</v>
      </c>
      <c r="BI8" s="2" t="s">
        <v>143</v>
      </c>
      <c r="BJ8" s="2" t="s">
        <v>143</v>
      </c>
      <c r="BK8" s="3"/>
      <c r="BL8" s="3"/>
      <c r="BM8" s="2" t="s">
        <v>143</v>
      </c>
      <c r="BN8" s="2" t="s">
        <v>143</v>
      </c>
      <c r="BO8" s="2" t="s">
        <v>143</v>
      </c>
      <c r="BP8" s="2" t="s">
        <v>143</v>
      </c>
      <c r="BQ8" s="2" t="s">
        <v>143</v>
      </c>
      <c r="BR8" s="3"/>
      <c r="BS8" s="3"/>
      <c r="BT8" s="2" t="s">
        <v>143</v>
      </c>
      <c r="BU8" s="2" t="s">
        <v>143</v>
      </c>
      <c r="BV8" s="2" t="s">
        <v>143</v>
      </c>
      <c r="BW8" s="11" t="s">
        <v>415</v>
      </c>
      <c r="BX8" s="11" t="s">
        <v>141</v>
      </c>
      <c r="BY8" s="3"/>
      <c r="BZ8" s="3"/>
      <c r="CA8" s="11" t="s">
        <v>141</v>
      </c>
      <c r="CB8" s="11" t="s">
        <v>141</v>
      </c>
      <c r="CC8" s="11" t="s">
        <v>141</v>
      </c>
      <c r="CD8" s="11" t="s">
        <v>141</v>
      </c>
      <c r="CE8" s="11" t="s">
        <v>141</v>
      </c>
      <c r="CF8" s="3"/>
      <c r="CG8" s="3"/>
      <c r="CH8" s="2" t="s">
        <v>143</v>
      </c>
      <c r="CI8" s="2" t="s">
        <v>143</v>
      </c>
      <c r="CJ8" s="2" t="s">
        <v>143</v>
      </c>
      <c r="CK8" s="80" t="s">
        <v>416</v>
      </c>
      <c r="CL8" s="2" t="s">
        <v>143</v>
      </c>
      <c r="CM8" s="3"/>
      <c r="CN8" s="3"/>
      <c r="CO8" s="2" t="s">
        <v>143</v>
      </c>
      <c r="CP8" s="2" t="s">
        <v>143</v>
      </c>
      <c r="CQ8" s="2" t="s">
        <v>143</v>
      </c>
      <c r="CR8" s="2" t="s">
        <v>143</v>
      </c>
      <c r="CS8" s="2" t="s">
        <v>143</v>
      </c>
      <c r="CT8" s="3"/>
      <c r="CU8" s="3"/>
      <c r="CV8" s="2" t="s">
        <v>143</v>
      </c>
      <c r="CW8" s="2" t="s">
        <v>143</v>
      </c>
      <c r="CX8" s="2" t="s">
        <v>143</v>
      </c>
      <c r="CY8" s="2" t="s">
        <v>143</v>
      </c>
      <c r="CZ8" s="2" t="s">
        <v>143</v>
      </c>
      <c r="DA8" s="3"/>
      <c r="DB8" s="3"/>
      <c r="DC8" s="2" t="s">
        <v>143</v>
      </c>
      <c r="DD8" s="2" t="s">
        <v>143</v>
      </c>
      <c r="DE8" s="2" t="s">
        <v>143</v>
      </c>
      <c r="DF8" s="2" t="s">
        <v>143</v>
      </c>
      <c r="DG8" s="3"/>
      <c r="DH8" s="3"/>
      <c r="DI8" s="3"/>
      <c r="DJ8" s="3"/>
      <c r="DK8" s="2" t="s">
        <v>143</v>
      </c>
      <c r="DL8" s="2" t="s">
        <v>143</v>
      </c>
      <c r="DM8" s="2" t="s">
        <v>143</v>
      </c>
      <c r="DN8" s="2" t="s">
        <v>143</v>
      </c>
      <c r="DO8" s="3"/>
      <c r="DP8" s="3"/>
      <c r="DQ8" s="2" t="s">
        <v>143</v>
      </c>
      <c r="DR8" s="2" t="s">
        <v>143</v>
      </c>
      <c r="DS8" s="2" t="s">
        <v>143</v>
      </c>
      <c r="DT8" s="2" t="s">
        <v>143</v>
      </c>
      <c r="DU8" s="2" t="s">
        <v>143</v>
      </c>
      <c r="DV8" s="3"/>
      <c r="DW8" s="3"/>
      <c r="DX8" s="3"/>
      <c r="DY8" s="81" t="s">
        <v>141</v>
      </c>
      <c r="DZ8" s="81" t="s">
        <v>141</v>
      </c>
      <c r="EA8" s="81" t="s">
        <v>141</v>
      </c>
      <c r="EB8" s="81" t="s">
        <v>141</v>
      </c>
      <c r="EC8" s="3"/>
      <c r="ED8" s="3"/>
      <c r="EE8" s="81" t="s">
        <v>141</v>
      </c>
      <c r="EF8" s="81" t="s">
        <v>141</v>
      </c>
      <c r="EG8" s="2" t="s">
        <v>143</v>
      </c>
      <c r="EH8" s="2" t="s">
        <v>143</v>
      </c>
      <c r="EI8" s="2" t="s">
        <v>143</v>
      </c>
      <c r="EJ8" s="3"/>
      <c r="EK8" s="3"/>
      <c r="EL8" s="2" t="s">
        <v>143</v>
      </c>
      <c r="EM8" s="2" t="s">
        <v>143</v>
      </c>
      <c r="EN8" s="2" t="s">
        <v>143</v>
      </c>
      <c r="EO8" s="2" t="s">
        <v>143</v>
      </c>
      <c r="EP8" s="2" t="s">
        <v>143</v>
      </c>
      <c r="EQ8" s="3"/>
      <c r="ER8" s="3"/>
      <c r="ES8" s="3"/>
      <c r="ET8" s="2" t="s">
        <v>143</v>
      </c>
      <c r="EU8" s="2" t="s">
        <v>143</v>
      </c>
      <c r="EV8" s="2" t="s">
        <v>143</v>
      </c>
      <c r="EW8" s="2" t="s">
        <v>143</v>
      </c>
      <c r="EX8" s="3"/>
      <c r="EY8" s="3"/>
      <c r="EZ8" s="2" t="s">
        <v>143</v>
      </c>
      <c r="FA8" s="2" t="s">
        <v>143</v>
      </c>
      <c r="FB8" s="2" t="s">
        <v>143</v>
      </c>
      <c r="FC8" s="2" t="s">
        <v>143</v>
      </c>
      <c r="FD8" s="2" t="s">
        <v>143</v>
      </c>
      <c r="FE8" s="3"/>
      <c r="FF8" s="3"/>
      <c r="FG8" s="2" t="s">
        <v>143</v>
      </c>
      <c r="FH8" s="2" t="s">
        <v>143</v>
      </c>
      <c r="FI8" s="2" t="s">
        <v>143</v>
      </c>
      <c r="FJ8" s="2" t="s">
        <v>143</v>
      </c>
      <c r="FK8" s="2" t="s">
        <v>143</v>
      </c>
      <c r="FL8" s="3"/>
      <c r="FM8" s="3"/>
      <c r="FN8" s="2" t="s">
        <v>143</v>
      </c>
      <c r="FO8" s="81" t="s">
        <v>141</v>
      </c>
      <c r="FP8" s="81" t="s">
        <v>141</v>
      </c>
      <c r="FQ8" s="2" t="s">
        <v>143</v>
      </c>
      <c r="FR8" s="2" t="s">
        <v>143</v>
      </c>
      <c r="FS8" s="3"/>
      <c r="FT8" s="3"/>
      <c r="FU8" s="2" t="s">
        <v>143</v>
      </c>
      <c r="FV8" s="2" t="s">
        <v>143</v>
      </c>
      <c r="FW8" s="2" t="s">
        <v>143</v>
      </c>
      <c r="FX8" s="2" t="s">
        <v>143</v>
      </c>
      <c r="FY8" s="2" t="s">
        <v>143</v>
      </c>
      <c r="FZ8" s="3"/>
      <c r="GA8" s="3"/>
      <c r="GB8" s="2" t="s">
        <v>143</v>
      </c>
      <c r="GC8" s="2" t="s">
        <v>143</v>
      </c>
      <c r="GD8" s="2" t="s">
        <v>143</v>
      </c>
      <c r="GE8" s="2" t="s">
        <v>143</v>
      </c>
      <c r="GF8" s="2" t="s">
        <v>143</v>
      </c>
      <c r="GG8" s="3"/>
      <c r="GH8" s="3"/>
      <c r="GI8" s="2" t="s">
        <v>143</v>
      </c>
      <c r="GJ8" s="2" t="s">
        <v>143</v>
      </c>
      <c r="GK8" s="2" t="s">
        <v>143</v>
      </c>
      <c r="GL8" s="2" t="s">
        <v>143</v>
      </c>
      <c r="GM8" s="2" t="s">
        <v>143</v>
      </c>
      <c r="GN8" s="3"/>
      <c r="GO8" s="3"/>
      <c r="GP8" s="2" t="s">
        <v>143</v>
      </c>
      <c r="GQ8" s="2" t="s">
        <v>143</v>
      </c>
      <c r="GR8" s="2" t="s">
        <v>143</v>
      </c>
      <c r="GS8" s="2" t="s">
        <v>143</v>
      </c>
      <c r="GT8" s="2" t="s">
        <v>143</v>
      </c>
      <c r="GU8" s="3"/>
      <c r="GV8" s="3"/>
      <c r="GW8" s="81" t="s">
        <v>141</v>
      </c>
      <c r="GX8" s="81" t="s">
        <v>141</v>
      </c>
      <c r="GY8" s="81" t="s">
        <v>141</v>
      </c>
      <c r="GZ8" s="81" t="s">
        <v>141</v>
      </c>
      <c r="HA8" s="81" t="s">
        <v>141</v>
      </c>
      <c r="HB8" s="3"/>
      <c r="HC8" s="3"/>
      <c r="HD8" s="2" t="s">
        <v>143</v>
      </c>
      <c r="HE8" s="2" t="s">
        <v>143</v>
      </c>
      <c r="HF8" s="2" t="s">
        <v>143</v>
      </c>
      <c r="HG8" s="2" t="s">
        <v>143</v>
      </c>
      <c r="HH8" s="2" t="s">
        <v>143</v>
      </c>
      <c r="HI8" s="3"/>
      <c r="HJ8" s="3"/>
      <c r="HK8" s="2" t="s">
        <v>143</v>
      </c>
      <c r="HL8" s="2" t="s">
        <v>143</v>
      </c>
      <c r="HM8" s="2" t="s">
        <v>143</v>
      </c>
      <c r="HN8" s="2" t="s">
        <v>143</v>
      </c>
      <c r="HO8" s="2" t="s">
        <v>143</v>
      </c>
      <c r="HP8" s="3"/>
      <c r="HQ8" s="3"/>
      <c r="HR8" s="2" t="s">
        <v>143</v>
      </c>
      <c r="HS8" s="2" t="s">
        <v>143</v>
      </c>
      <c r="HT8" s="2" t="s">
        <v>143</v>
      </c>
      <c r="HU8" s="2" t="s">
        <v>143</v>
      </c>
      <c r="HV8" s="2" t="s">
        <v>143</v>
      </c>
      <c r="HW8" s="3"/>
      <c r="HX8" s="3"/>
      <c r="HY8" s="2" t="s">
        <v>143</v>
      </c>
      <c r="HZ8" s="2" t="s">
        <v>143</v>
      </c>
      <c r="IA8" s="2" t="s">
        <v>143</v>
      </c>
      <c r="IB8" s="2" t="s">
        <v>143</v>
      </c>
      <c r="IC8" s="2" t="s">
        <v>143</v>
      </c>
      <c r="ID8" s="3"/>
      <c r="IE8" s="3"/>
      <c r="IF8" s="201" t="s">
        <v>386</v>
      </c>
      <c r="IG8" s="2" t="s">
        <v>143</v>
      </c>
      <c r="IH8" s="2" t="s">
        <v>143</v>
      </c>
      <c r="II8" s="2" t="s">
        <v>143</v>
      </c>
      <c r="IJ8" s="2" t="s">
        <v>143</v>
      </c>
      <c r="IK8" s="3"/>
      <c r="IL8" s="3"/>
      <c r="IM8" s="214" t="s">
        <v>143</v>
      </c>
      <c r="IN8" s="214" t="s">
        <v>143</v>
      </c>
      <c r="IO8" s="214" t="s">
        <v>143</v>
      </c>
      <c r="IP8" s="214" t="s">
        <v>143</v>
      </c>
      <c r="IQ8" s="214" t="s">
        <v>143</v>
      </c>
      <c r="IR8" s="3"/>
      <c r="IS8" s="3"/>
      <c r="IT8" s="214" t="s">
        <v>143</v>
      </c>
      <c r="IU8" s="214" t="s">
        <v>143</v>
      </c>
      <c r="IV8" s="214" t="s">
        <v>143</v>
      </c>
      <c r="IW8" s="214" t="s">
        <v>143</v>
      </c>
      <c r="IX8" s="214" t="s">
        <v>143</v>
      </c>
      <c r="IY8" s="3"/>
      <c r="IZ8" s="3"/>
      <c r="JA8" s="214" t="s">
        <v>143</v>
      </c>
      <c r="JB8" s="214" t="s">
        <v>143</v>
      </c>
      <c r="JC8" s="214" t="s">
        <v>143</v>
      </c>
      <c r="JD8" s="214" t="s">
        <v>143</v>
      </c>
      <c r="JE8" s="214" t="s">
        <v>143</v>
      </c>
      <c r="JF8" s="3"/>
      <c r="JG8" s="3"/>
      <c r="JH8" s="218" t="s">
        <v>141</v>
      </c>
      <c r="JI8" s="218" t="s">
        <v>141</v>
      </c>
      <c r="JJ8" s="218" t="s">
        <v>141</v>
      </c>
      <c r="JK8" s="218" t="s">
        <v>141</v>
      </c>
      <c r="JL8" s="218" t="s">
        <v>141</v>
      </c>
      <c r="JM8" s="3"/>
      <c r="JN8" s="3"/>
      <c r="JO8" s="218" t="s">
        <v>141</v>
      </c>
      <c r="JP8" s="214" t="s">
        <v>143</v>
      </c>
      <c r="JQ8" s="214" t="s">
        <v>143</v>
      </c>
      <c r="JR8" s="214" t="s">
        <v>143</v>
      </c>
      <c r="JS8" s="214" t="s">
        <v>143</v>
      </c>
      <c r="JT8" s="3"/>
      <c r="JU8" s="3"/>
      <c r="JV8" s="214" t="s">
        <v>143</v>
      </c>
      <c r="JW8" s="214" t="s">
        <v>143</v>
      </c>
      <c r="JX8" s="214" t="s">
        <v>143</v>
      </c>
      <c r="JY8" s="214" t="s">
        <v>143</v>
      </c>
      <c r="JZ8" s="214" t="s">
        <v>143</v>
      </c>
      <c r="KA8" s="3"/>
      <c r="KB8" s="3"/>
      <c r="KC8" s="214" t="s">
        <v>143</v>
      </c>
      <c r="KD8" s="214" t="s">
        <v>237</v>
      </c>
      <c r="KE8" s="214" t="s">
        <v>143</v>
      </c>
      <c r="KF8" s="214" t="s">
        <v>143</v>
      </c>
      <c r="KG8" s="214" t="s">
        <v>409</v>
      </c>
      <c r="KH8" s="3"/>
      <c r="KI8" s="3"/>
      <c r="KJ8" s="214" t="s">
        <v>143</v>
      </c>
      <c r="KK8" s="214" t="s">
        <v>143</v>
      </c>
      <c r="KL8" s="214" t="s">
        <v>143</v>
      </c>
      <c r="KM8" s="214" t="s">
        <v>143</v>
      </c>
      <c r="KN8" s="214" t="s">
        <v>143</v>
      </c>
      <c r="KO8" s="3"/>
      <c r="KP8" s="3"/>
      <c r="KQ8" s="214" t="s">
        <v>143</v>
      </c>
      <c r="KR8" s="214" t="s">
        <v>143</v>
      </c>
      <c r="KS8" s="214" t="s">
        <v>143</v>
      </c>
      <c r="KT8" s="214" t="s">
        <v>143</v>
      </c>
      <c r="KU8" s="214" t="s">
        <v>143</v>
      </c>
      <c r="KV8" s="3"/>
      <c r="KW8" s="3"/>
      <c r="KX8" s="214" t="s">
        <v>143</v>
      </c>
      <c r="KY8" s="214" t="s">
        <v>143</v>
      </c>
      <c r="KZ8" s="214" t="s">
        <v>143</v>
      </c>
      <c r="LA8" s="214" t="s">
        <v>143</v>
      </c>
      <c r="LB8" s="214" t="s">
        <v>143</v>
      </c>
      <c r="LC8" s="3"/>
      <c r="LD8" s="3"/>
      <c r="LE8" s="214" t="s">
        <v>143</v>
      </c>
      <c r="LF8" s="214" t="s">
        <v>143</v>
      </c>
      <c r="LG8" s="214" t="s">
        <v>143</v>
      </c>
      <c r="LH8" s="214" t="s">
        <v>143</v>
      </c>
      <c r="LI8" s="214" t="s">
        <v>143</v>
      </c>
      <c r="LJ8" s="3"/>
      <c r="LK8" s="3"/>
      <c r="LL8" s="214" t="s">
        <v>143</v>
      </c>
      <c r="LM8" s="214" t="s">
        <v>143</v>
      </c>
      <c r="LN8" s="214" t="s">
        <v>143</v>
      </c>
      <c r="LO8" s="214" t="s">
        <v>143</v>
      </c>
      <c r="LP8" s="214" t="s">
        <v>143</v>
      </c>
      <c r="LQ8" s="3"/>
      <c r="LR8" s="3"/>
      <c r="LS8" s="214" t="s">
        <v>143</v>
      </c>
      <c r="LT8" s="214" t="s">
        <v>143</v>
      </c>
      <c r="LU8" s="214" t="s">
        <v>143</v>
      </c>
      <c r="LV8" s="214" t="s">
        <v>143</v>
      </c>
      <c r="LW8" s="214" t="s">
        <v>143</v>
      </c>
      <c r="LX8" s="3"/>
      <c r="LY8" s="3"/>
      <c r="LZ8" s="214" t="s">
        <v>143</v>
      </c>
      <c r="MA8" s="214" t="s">
        <v>143</v>
      </c>
      <c r="MB8" s="214" t="s">
        <v>143</v>
      </c>
      <c r="MC8" s="218" t="s">
        <v>141</v>
      </c>
      <c r="MD8" s="214" t="s">
        <v>143</v>
      </c>
      <c r="ME8" s="3"/>
      <c r="MF8" s="3"/>
      <c r="MG8" s="214" t="s">
        <v>143</v>
      </c>
      <c r="MH8" s="214" t="s">
        <v>143</v>
      </c>
      <c r="MI8" s="214" t="s">
        <v>143</v>
      </c>
      <c r="MJ8" s="214" t="s">
        <v>143</v>
      </c>
      <c r="MK8" s="214" t="s">
        <v>143</v>
      </c>
      <c r="ML8" s="3"/>
      <c r="MM8" s="3"/>
      <c r="MN8" s="214" t="s">
        <v>143</v>
      </c>
      <c r="MO8" s="214" t="s">
        <v>143</v>
      </c>
      <c r="MP8" s="214" t="s">
        <v>387</v>
      </c>
      <c r="MQ8" s="214" t="s">
        <v>143</v>
      </c>
      <c r="MR8" s="214" t="s">
        <v>237</v>
      </c>
      <c r="MS8" s="3"/>
      <c r="MT8" s="3"/>
      <c r="MU8" s="214" t="s">
        <v>143</v>
      </c>
      <c r="MV8" s="214" t="s">
        <v>143</v>
      </c>
      <c r="MW8" s="214" t="s">
        <v>143</v>
      </c>
      <c r="MX8" s="3"/>
      <c r="MY8" s="3"/>
      <c r="MZ8" s="3"/>
      <c r="NA8" s="3"/>
      <c r="NB8" s="219" t="s">
        <v>141</v>
      </c>
      <c r="NC8" s="219" t="s">
        <v>141</v>
      </c>
      <c r="ND8" s="219" t="s">
        <v>141</v>
      </c>
      <c r="NE8" s="3"/>
      <c r="NF8" s="214" t="s">
        <v>143</v>
      </c>
    </row>
    <row r="9" spans="1:374">
      <c r="A9" s="106" t="s">
        <v>267</v>
      </c>
      <c r="B9" s="48" t="s">
        <v>18</v>
      </c>
      <c r="C9" s="107" t="s">
        <v>262</v>
      </c>
      <c r="D9" s="3"/>
      <c r="E9" s="170"/>
      <c r="F9" s="170"/>
      <c r="G9" s="3"/>
      <c r="H9" s="3"/>
      <c r="I9" s="79" t="s">
        <v>182</v>
      </c>
      <c r="J9" s="79" t="s">
        <v>182</v>
      </c>
      <c r="K9" s="79" t="s">
        <v>182</v>
      </c>
      <c r="L9" s="79" t="s">
        <v>182</v>
      </c>
      <c r="M9" s="79" t="s">
        <v>182</v>
      </c>
      <c r="N9" s="3"/>
      <c r="O9" s="3"/>
      <c r="P9" s="2" t="s">
        <v>143</v>
      </c>
      <c r="Q9" s="2" t="s">
        <v>143</v>
      </c>
      <c r="R9" s="2" t="s">
        <v>143</v>
      </c>
      <c r="S9" s="2" t="s">
        <v>143</v>
      </c>
      <c r="T9" s="2" t="s">
        <v>143</v>
      </c>
      <c r="U9" s="3"/>
      <c r="V9" s="3"/>
      <c r="W9" s="2" t="s">
        <v>143</v>
      </c>
      <c r="X9" s="2" t="s">
        <v>143</v>
      </c>
      <c r="Y9" s="2" t="s">
        <v>143</v>
      </c>
      <c r="Z9" s="2" t="s">
        <v>143</v>
      </c>
      <c r="AA9" s="2" t="s">
        <v>143</v>
      </c>
      <c r="AB9" s="3"/>
      <c r="AC9" s="3"/>
      <c r="AD9" s="2" t="s">
        <v>143</v>
      </c>
      <c r="AE9" s="2" t="s">
        <v>143</v>
      </c>
      <c r="AF9" s="2" t="s">
        <v>143</v>
      </c>
      <c r="AG9" s="2" t="s">
        <v>143</v>
      </c>
      <c r="AH9" s="2" t="s">
        <v>143</v>
      </c>
      <c r="AI9" s="3"/>
      <c r="AJ9" s="3"/>
      <c r="AK9" s="2" t="s">
        <v>143</v>
      </c>
      <c r="AL9" s="2" t="s">
        <v>143</v>
      </c>
      <c r="AM9" s="2" t="s">
        <v>143</v>
      </c>
      <c r="AN9" s="2" t="s">
        <v>143</v>
      </c>
      <c r="AO9" s="2" t="s">
        <v>143</v>
      </c>
      <c r="AP9" s="3"/>
      <c r="AQ9" s="3"/>
      <c r="AR9" s="2" t="s">
        <v>143</v>
      </c>
      <c r="AS9" s="2" t="s">
        <v>143</v>
      </c>
      <c r="AT9" s="2" t="s">
        <v>143</v>
      </c>
      <c r="AU9" s="2" t="s">
        <v>143</v>
      </c>
      <c r="AV9" s="2" t="s">
        <v>143</v>
      </c>
      <c r="AW9" s="3"/>
      <c r="AX9" s="3"/>
      <c r="AY9" s="2" t="s">
        <v>143</v>
      </c>
      <c r="AZ9" s="2" t="s">
        <v>143</v>
      </c>
      <c r="BA9" s="2" t="s">
        <v>143</v>
      </c>
      <c r="BB9" s="2" t="s">
        <v>143</v>
      </c>
      <c r="BC9" s="2" t="s">
        <v>143</v>
      </c>
      <c r="BD9" s="3"/>
      <c r="BE9" s="3"/>
      <c r="BF9" s="2" t="s">
        <v>143</v>
      </c>
      <c r="BG9" s="2" t="s">
        <v>143</v>
      </c>
      <c r="BH9" s="2" t="s">
        <v>143</v>
      </c>
      <c r="BI9" s="2" t="s">
        <v>143</v>
      </c>
      <c r="BJ9" s="2" t="s">
        <v>143</v>
      </c>
      <c r="BK9" s="3"/>
      <c r="BL9" s="3"/>
      <c r="BM9" s="2" t="s">
        <v>143</v>
      </c>
      <c r="BN9" s="2" t="s">
        <v>143</v>
      </c>
      <c r="BO9" s="2" t="s">
        <v>143</v>
      </c>
      <c r="BP9" s="2" t="s">
        <v>143</v>
      </c>
      <c r="BQ9" s="2" t="s">
        <v>143</v>
      </c>
      <c r="BR9" s="3"/>
      <c r="BS9" s="3"/>
      <c r="BT9" s="2" t="s">
        <v>143</v>
      </c>
      <c r="BU9" s="2" t="s">
        <v>143</v>
      </c>
      <c r="BV9" s="2" t="s">
        <v>143</v>
      </c>
      <c r="BW9" s="2" t="s">
        <v>143</v>
      </c>
      <c r="BX9" s="2" t="s">
        <v>143</v>
      </c>
      <c r="BY9" s="3"/>
      <c r="BZ9" s="3"/>
      <c r="CA9" s="2" t="s">
        <v>143</v>
      </c>
      <c r="CB9" s="2" t="s">
        <v>143</v>
      </c>
      <c r="CC9" s="2" t="s">
        <v>143</v>
      </c>
      <c r="CD9" s="2" t="s">
        <v>143</v>
      </c>
      <c r="CE9" s="2" t="s">
        <v>143</v>
      </c>
      <c r="CF9" s="3"/>
      <c r="CG9" s="3"/>
      <c r="CH9" s="11" t="s">
        <v>141</v>
      </c>
      <c r="CI9" s="11" t="s">
        <v>141</v>
      </c>
      <c r="CJ9" s="11" t="s">
        <v>141</v>
      </c>
      <c r="CK9" s="11" t="s">
        <v>141</v>
      </c>
      <c r="CL9" s="11" t="s">
        <v>141</v>
      </c>
      <c r="CM9" s="3"/>
      <c r="CN9" s="3"/>
      <c r="CO9" s="11" t="s">
        <v>141</v>
      </c>
      <c r="CP9" s="2" t="s">
        <v>143</v>
      </c>
      <c r="CQ9" s="2" t="s">
        <v>143</v>
      </c>
      <c r="CR9" s="2" t="s">
        <v>143</v>
      </c>
      <c r="CS9" s="2" t="s">
        <v>143</v>
      </c>
      <c r="CT9" s="3"/>
      <c r="CU9" s="3"/>
      <c r="CV9" s="2" t="s">
        <v>143</v>
      </c>
      <c r="CW9" s="2" t="s">
        <v>143</v>
      </c>
      <c r="CX9" s="2" t="s">
        <v>143</v>
      </c>
      <c r="CY9" s="2" t="s">
        <v>143</v>
      </c>
      <c r="CZ9" s="2" t="s">
        <v>143</v>
      </c>
      <c r="DA9" s="3"/>
      <c r="DB9" s="3"/>
      <c r="DC9" s="2" t="s">
        <v>143</v>
      </c>
      <c r="DD9" s="2" t="s">
        <v>143</v>
      </c>
      <c r="DE9" s="2" t="s">
        <v>143</v>
      </c>
      <c r="DF9" s="2" t="s">
        <v>143</v>
      </c>
      <c r="DG9" s="3"/>
      <c r="DH9" s="3"/>
      <c r="DI9" s="3"/>
      <c r="DJ9" s="3"/>
      <c r="DK9" s="2" t="s">
        <v>143</v>
      </c>
      <c r="DL9" s="2" t="s">
        <v>143</v>
      </c>
      <c r="DM9" s="2" t="s">
        <v>143</v>
      </c>
      <c r="DN9" s="2" t="s">
        <v>143</v>
      </c>
      <c r="DO9" s="3"/>
      <c r="DP9" s="3"/>
      <c r="DQ9" s="2" t="s">
        <v>143</v>
      </c>
      <c r="DR9" s="2" t="s">
        <v>143</v>
      </c>
      <c r="DS9" s="2" t="s">
        <v>143</v>
      </c>
      <c r="DT9" s="2" t="s">
        <v>143</v>
      </c>
      <c r="DU9" s="2" t="s">
        <v>143</v>
      </c>
      <c r="DV9" s="3"/>
      <c r="DW9" s="3"/>
      <c r="DX9" s="3"/>
      <c r="DY9" s="2" t="s">
        <v>143</v>
      </c>
      <c r="DZ9" s="2" t="s">
        <v>143</v>
      </c>
      <c r="EA9" s="2" t="s">
        <v>143</v>
      </c>
      <c r="EB9" s="2" t="s">
        <v>143</v>
      </c>
      <c r="EC9" s="3"/>
      <c r="ED9" s="3"/>
      <c r="EE9" s="2" t="s">
        <v>143</v>
      </c>
      <c r="EF9" s="2" t="s">
        <v>143</v>
      </c>
      <c r="EG9" s="81" t="s">
        <v>141</v>
      </c>
      <c r="EH9" s="2" t="s">
        <v>143</v>
      </c>
      <c r="EI9" s="2" t="s">
        <v>143</v>
      </c>
      <c r="EJ9" s="3"/>
      <c r="EK9" s="3"/>
      <c r="EL9" s="2" t="s">
        <v>143</v>
      </c>
      <c r="EM9" s="2" t="s">
        <v>143</v>
      </c>
      <c r="EN9" s="2" t="s">
        <v>143</v>
      </c>
      <c r="EO9" s="2" t="s">
        <v>143</v>
      </c>
      <c r="EP9" s="2" t="s">
        <v>143</v>
      </c>
      <c r="EQ9" s="3"/>
      <c r="ER9" s="3"/>
      <c r="ES9" s="3"/>
      <c r="ET9" s="2" t="s">
        <v>143</v>
      </c>
      <c r="EU9" s="2" t="s">
        <v>143</v>
      </c>
      <c r="EV9" s="2" t="s">
        <v>143</v>
      </c>
      <c r="EW9" s="2" t="s">
        <v>143</v>
      </c>
      <c r="EX9" s="3"/>
      <c r="EY9" s="3"/>
      <c r="EZ9" s="2" t="s">
        <v>143</v>
      </c>
      <c r="FA9" s="2" t="s">
        <v>143</v>
      </c>
      <c r="FB9" s="2" t="s">
        <v>143</v>
      </c>
      <c r="FC9" s="2" t="s">
        <v>143</v>
      </c>
      <c r="FD9" s="2" t="s">
        <v>143</v>
      </c>
      <c r="FE9" s="3"/>
      <c r="FF9" s="3"/>
      <c r="FG9" s="2" t="s">
        <v>143</v>
      </c>
      <c r="FH9" s="2" t="s">
        <v>143</v>
      </c>
      <c r="FI9" s="2" t="s">
        <v>143</v>
      </c>
      <c r="FJ9" s="2" t="s">
        <v>143</v>
      </c>
      <c r="FK9" s="2" t="s">
        <v>143</v>
      </c>
      <c r="FL9" s="3"/>
      <c r="FM9" s="3"/>
      <c r="FN9" s="2" t="s">
        <v>143</v>
      </c>
      <c r="FO9" s="2" t="s">
        <v>143</v>
      </c>
      <c r="FP9" s="2" t="s">
        <v>143</v>
      </c>
      <c r="FQ9" s="2" t="s">
        <v>143</v>
      </c>
      <c r="FR9" s="2" t="s">
        <v>143</v>
      </c>
      <c r="FS9" s="3"/>
      <c r="FT9" s="3"/>
      <c r="FU9" s="2" t="s">
        <v>143</v>
      </c>
      <c r="FV9" s="2" t="s">
        <v>143</v>
      </c>
      <c r="FW9" s="2" t="s">
        <v>143</v>
      </c>
      <c r="FX9" s="2" t="s">
        <v>143</v>
      </c>
      <c r="FY9" s="2" t="s">
        <v>143</v>
      </c>
      <c r="FZ9" s="3"/>
      <c r="GA9" s="3"/>
      <c r="GB9" s="2" t="s">
        <v>143</v>
      </c>
      <c r="GC9" s="2" t="s">
        <v>143</v>
      </c>
      <c r="GD9" s="2" t="s">
        <v>143</v>
      </c>
      <c r="GE9" s="2" t="s">
        <v>143</v>
      </c>
      <c r="GF9" s="2" t="s">
        <v>143</v>
      </c>
      <c r="GG9" s="3"/>
      <c r="GH9" s="3"/>
      <c r="GI9" s="2" t="s">
        <v>143</v>
      </c>
      <c r="GJ9" s="2" t="s">
        <v>143</v>
      </c>
      <c r="GK9" s="2" t="s">
        <v>143</v>
      </c>
      <c r="GL9" s="2" t="s">
        <v>143</v>
      </c>
      <c r="GM9" s="2" t="s">
        <v>143</v>
      </c>
      <c r="GN9" s="3"/>
      <c r="GO9" s="3"/>
      <c r="GP9" s="2" t="s">
        <v>143</v>
      </c>
      <c r="GQ9" s="2" t="s">
        <v>143</v>
      </c>
      <c r="GR9" s="2" t="s">
        <v>143</v>
      </c>
      <c r="GS9" s="2" t="s">
        <v>143</v>
      </c>
      <c r="GT9" s="2" t="s">
        <v>143</v>
      </c>
      <c r="GU9" s="3"/>
      <c r="GV9" s="3"/>
      <c r="GW9" s="2" t="s">
        <v>143</v>
      </c>
      <c r="GX9" s="2" t="s">
        <v>143</v>
      </c>
      <c r="GY9" s="2" t="s">
        <v>143</v>
      </c>
      <c r="GZ9" s="2" t="s">
        <v>143</v>
      </c>
      <c r="HA9" s="2" t="s">
        <v>143</v>
      </c>
      <c r="HB9" s="3"/>
      <c r="HC9" s="3"/>
      <c r="HD9" s="2" t="s">
        <v>143</v>
      </c>
      <c r="HE9" s="2" t="s">
        <v>143</v>
      </c>
      <c r="HF9" s="2" t="s">
        <v>143</v>
      </c>
      <c r="HG9" s="2" t="s">
        <v>143</v>
      </c>
      <c r="HH9" s="2" t="s">
        <v>143</v>
      </c>
      <c r="HI9" s="3"/>
      <c r="HJ9" s="3"/>
      <c r="HK9" s="2" t="s">
        <v>143</v>
      </c>
      <c r="HL9" s="2" t="s">
        <v>143</v>
      </c>
      <c r="HM9" s="2" t="s">
        <v>143</v>
      </c>
      <c r="HN9" s="2" t="s">
        <v>143</v>
      </c>
      <c r="HO9" s="2" t="s">
        <v>143</v>
      </c>
      <c r="HP9" s="3"/>
      <c r="HQ9" s="3"/>
      <c r="HR9" s="2" t="s">
        <v>143</v>
      </c>
      <c r="HS9" s="2" t="s">
        <v>143</v>
      </c>
      <c r="HT9" s="2" t="s">
        <v>143</v>
      </c>
      <c r="HU9" s="2" t="s">
        <v>143</v>
      </c>
      <c r="HV9" s="2" t="s">
        <v>417</v>
      </c>
      <c r="HW9" s="3"/>
      <c r="HX9" s="3"/>
      <c r="HY9" s="2" t="s">
        <v>143</v>
      </c>
      <c r="HZ9" s="2" t="s">
        <v>143</v>
      </c>
      <c r="IA9" s="2" t="s">
        <v>143</v>
      </c>
      <c r="IB9" s="2" t="s">
        <v>143</v>
      </c>
      <c r="IC9" s="2" t="s">
        <v>143</v>
      </c>
      <c r="ID9" s="3"/>
      <c r="IE9" s="3"/>
      <c r="IF9" s="201" t="s">
        <v>386</v>
      </c>
      <c r="IG9" s="2" t="s">
        <v>143</v>
      </c>
      <c r="IH9" s="2" t="s">
        <v>143</v>
      </c>
      <c r="II9" s="2" t="s">
        <v>143</v>
      </c>
      <c r="IJ9" s="2" t="s">
        <v>143</v>
      </c>
      <c r="IK9" s="3"/>
      <c r="IL9" s="3"/>
      <c r="IM9" s="214" t="s">
        <v>143</v>
      </c>
      <c r="IN9" s="214" t="s">
        <v>143</v>
      </c>
      <c r="IO9" s="214" t="s">
        <v>143</v>
      </c>
      <c r="IP9" s="214" t="s">
        <v>143</v>
      </c>
      <c r="IQ9" s="214" t="s">
        <v>143</v>
      </c>
      <c r="IR9" s="3"/>
      <c r="IS9" s="3"/>
      <c r="IT9" s="214" t="s">
        <v>143</v>
      </c>
      <c r="IU9" s="214" t="s">
        <v>143</v>
      </c>
      <c r="IV9" s="214" t="s">
        <v>143</v>
      </c>
      <c r="IW9" s="214" t="s">
        <v>143</v>
      </c>
      <c r="IX9" s="214" t="s">
        <v>143</v>
      </c>
      <c r="IY9" s="3"/>
      <c r="IZ9" s="3"/>
      <c r="JA9" s="214" t="s">
        <v>237</v>
      </c>
      <c r="JB9" s="218" t="s">
        <v>141</v>
      </c>
      <c r="JC9" s="214" t="s">
        <v>237</v>
      </c>
      <c r="JD9" s="218" t="s">
        <v>141</v>
      </c>
      <c r="JE9" s="214" t="s">
        <v>237</v>
      </c>
      <c r="JF9" s="3"/>
      <c r="JG9" s="3"/>
      <c r="JH9" s="214" t="s">
        <v>143</v>
      </c>
      <c r="JI9" s="214" t="s">
        <v>143</v>
      </c>
      <c r="JJ9" s="214" t="s">
        <v>143</v>
      </c>
      <c r="JK9" s="214" t="s">
        <v>143</v>
      </c>
      <c r="JL9" s="214" t="s">
        <v>143</v>
      </c>
      <c r="JM9" s="3"/>
      <c r="JN9" s="3"/>
      <c r="JO9" s="214" t="s">
        <v>143</v>
      </c>
      <c r="JP9" s="214" t="s">
        <v>143</v>
      </c>
      <c r="JQ9" s="214" t="s">
        <v>143</v>
      </c>
      <c r="JR9" s="214" t="s">
        <v>143</v>
      </c>
      <c r="JS9" s="214" t="s">
        <v>143</v>
      </c>
      <c r="JT9" s="3"/>
      <c r="JU9" s="3"/>
      <c r="JV9" s="214" t="s">
        <v>143</v>
      </c>
      <c r="JW9" s="214" t="s">
        <v>143</v>
      </c>
      <c r="JX9" s="214" t="s">
        <v>143</v>
      </c>
      <c r="JY9" s="214" t="s">
        <v>237</v>
      </c>
      <c r="JZ9" s="214" t="s">
        <v>237</v>
      </c>
      <c r="KA9" s="3"/>
      <c r="KB9" s="3"/>
      <c r="KC9" s="214" t="s">
        <v>143</v>
      </c>
      <c r="KD9" s="214" t="s">
        <v>143</v>
      </c>
      <c r="KE9" s="214" t="s">
        <v>143</v>
      </c>
      <c r="KF9" s="214" t="s">
        <v>143</v>
      </c>
      <c r="KG9" s="214" t="s">
        <v>143</v>
      </c>
      <c r="KH9" s="3"/>
      <c r="KI9" s="3"/>
      <c r="KJ9" s="218" t="s">
        <v>141</v>
      </c>
      <c r="KK9" s="218" t="s">
        <v>141</v>
      </c>
      <c r="KL9" s="218" t="s">
        <v>141</v>
      </c>
      <c r="KM9" s="218" t="s">
        <v>141</v>
      </c>
      <c r="KN9" s="218" t="s">
        <v>141</v>
      </c>
      <c r="KO9" s="3"/>
      <c r="KP9" s="3"/>
      <c r="KQ9" s="214" t="s">
        <v>143</v>
      </c>
      <c r="KR9" s="214" t="s">
        <v>143</v>
      </c>
      <c r="KS9" s="214" t="s">
        <v>143</v>
      </c>
      <c r="KT9" s="214" t="s">
        <v>143</v>
      </c>
      <c r="KU9" s="214" t="s">
        <v>143</v>
      </c>
      <c r="KV9" s="3"/>
      <c r="KW9" s="3"/>
      <c r="KX9" s="214" t="s">
        <v>143</v>
      </c>
      <c r="KY9" s="214" t="s">
        <v>143</v>
      </c>
      <c r="KZ9" s="214" t="s">
        <v>143</v>
      </c>
      <c r="LA9" s="214" t="s">
        <v>143</v>
      </c>
      <c r="LB9" s="214" t="s">
        <v>143</v>
      </c>
      <c r="LC9" s="3"/>
      <c r="LD9" s="3"/>
      <c r="LE9" s="214" t="s">
        <v>143</v>
      </c>
      <c r="LF9" s="214" t="s">
        <v>143</v>
      </c>
      <c r="LG9" s="214" t="s">
        <v>143</v>
      </c>
      <c r="LH9" s="214" t="s">
        <v>143</v>
      </c>
      <c r="LI9" s="214" t="s">
        <v>143</v>
      </c>
      <c r="LJ9" s="3"/>
      <c r="LK9" s="3"/>
      <c r="LL9" s="214" t="s">
        <v>143</v>
      </c>
      <c r="LM9" s="214" t="s">
        <v>143</v>
      </c>
      <c r="LN9" s="214" t="s">
        <v>143</v>
      </c>
      <c r="LO9" s="214" t="s">
        <v>143</v>
      </c>
      <c r="LP9" s="214" t="s">
        <v>143</v>
      </c>
      <c r="LQ9" s="3"/>
      <c r="LR9" s="3"/>
      <c r="LS9" s="214" t="s">
        <v>143</v>
      </c>
      <c r="LT9" s="214" t="s">
        <v>143</v>
      </c>
      <c r="LU9" s="214" t="s">
        <v>143</v>
      </c>
      <c r="LV9" s="214" t="s">
        <v>143</v>
      </c>
      <c r="LW9" s="214" t="s">
        <v>143</v>
      </c>
      <c r="LX9" s="3"/>
      <c r="LY9" s="3"/>
      <c r="LZ9" s="214" t="s">
        <v>143</v>
      </c>
      <c r="MA9" s="82" t="s">
        <v>418</v>
      </c>
      <c r="MB9" s="82" t="s">
        <v>418</v>
      </c>
      <c r="MC9" s="214" t="s">
        <v>143</v>
      </c>
      <c r="MD9" s="214" t="s">
        <v>143</v>
      </c>
      <c r="ME9" s="3"/>
      <c r="MF9" s="3"/>
      <c r="MG9" s="214" t="s">
        <v>143</v>
      </c>
      <c r="MH9" s="214" t="s">
        <v>143</v>
      </c>
      <c r="MI9" s="214" t="s">
        <v>143</v>
      </c>
      <c r="MJ9" s="214" t="s">
        <v>143</v>
      </c>
      <c r="MK9" s="219" t="s">
        <v>141</v>
      </c>
      <c r="ML9" s="3"/>
      <c r="MM9" s="3"/>
      <c r="MN9" s="214" t="s">
        <v>143</v>
      </c>
      <c r="MO9" s="214" t="s">
        <v>143</v>
      </c>
      <c r="MP9" s="214" t="s">
        <v>387</v>
      </c>
      <c r="MQ9" s="214" t="s">
        <v>143</v>
      </c>
      <c r="MR9" s="214" t="s">
        <v>143</v>
      </c>
      <c r="MS9" s="3"/>
      <c r="MT9" s="3"/>
      <c r="MU9" s="214" t="s">
        <v>143</v>
      </c>
      <c r="MV9" s="214" t="s">
        <v>143</v>
      </c>
      <c r="MW9" s="214" t="s">
        <v>143</v>
      </c>
      <c r="MX9" s="3"/>
      <c r="MY9" s="3"/>
      <c r="MZ9" s="3"/>
      <c r="NA9" s="3"/>
      <c r="NB9" s="214" t="s">
        <v>143</v>
      </c>
      <c r="NC9" s="219" t="s">
        <v>141</v>
      </c>
      <c r="ND9" s="219" t="s">
        <v>141</v>
      </c>
      <c r="NE9" s="3"/>
      <c r="NF9" s="214" t="s">
        <v>143</v>
      </c>
    </row>
    <row r="10" spans="1:374">
      <c r="A10" s="106" t="s">
        <v>167</v>
      </c>
      <c r="B10" s="48" t="s">
        <v>18</v>
      </c>
      <c r="C10" s="107" t="s">
        <v>262</v>
      </c>
      <c r="D10" s="3" t="s">
        <v>153</v>
      </c>
      <c r="E10" s="2" t="s">
        <v>143</v>
      </c>
      <c r="F10" s="2" t="s">
        <v>143</v>
      </c>
      <c r="G10" s="3"/>
      <c r="H10" s="3"/>
      <c r="I10" s="2" t="s">
        <v>143</v>
      </c>
      <c r="J10" s="2" t="s">
        <v>143</v>
      </c>
      <c r="K10" s="2" t="s">
        <v>143</v>
      </c>
      <c r="L10" s="2" t="s">
        <v>143</v>
      </c>
      <c r="M10" s="2" t="s">
        <v>143</v>
      </c>
      <c r="N10" s="3"/>
      <c r="O10" s="3"/>
      <c r="P10" s="10" t="s">
        <v>172</v>
      </c>
      <c r="Q10" s="2" t="s">
        <v>143</v>
      </c>
      <c r="R10" s="2" t="s">
        <v>143</v>
      </c>
      <c r="S10" s="2" t="s">
        <v>143</v>
      </c>
      <c r="T10" s="2" t="s">
        <v>143</v>
      </c>
      <c r="U10" s="3"/>
      <c r="V10" s="3"/>
      <c r="W10" s="2" t="s">
        <v>143</v>
      </c>
      <c r="X10" s="2" t="s">
        <v>143</v>
      </c>
      <c r="Y10" s="2" t="s">
        <v>143</v>
      </c>
      <c r="Z10" s="2" t="s">
        <v>143</v>
      </c>
      <c r="AA10" s="2" t="s">
        <v>143</v>
      </c>
      <c r="AB10" s="3"/>
      <c r="AC10" s="3"/>
      <c r="AD10" s="2" t="s">
        <v>143</v>
      </c>
      <c r="AE10" s="2" t="s">
        <v>143</v>
      </c>
      <c r="AF10" s="2" t="s">
        <v>143</v>
      </c>
      <c r="AG10" s="2" t="s">
        <v>143</v>
      </c>
      <c r="AH10" s="2" t="s">
        <v>143</v>
      </c>
      <c r="AI10" s="3"/>
      <c r="AJ10" s="3"/>
      <c r="AK10" s="2" t="s">
        <v>143</v>
      </c>
      <c r="AL10" s="2" t="s">
        <v>143</v>
      </c>
      <c r="AM10" s="2" t="s">
        <v>143</v>
      </c>
      <c r="AN10" s="2" t="s">
        <v>143</v>
      </c>
      <c r="AO10" s="2" t="s">
        <v>143</v>
      </c>
      <c r="AP10" s="3"/>
      <c r="AQ10" s="3"/>
      <c r="AR10" s="2" t="s">
        <v>143</v>
      </c>
      <c r="AS10" s="2" t="s">
        <v>143</v>
      </c>
      <c r="AT10" s="2" t="s">
        <v>143</v>
      </c>
      <c r="AU10" s="2" t="s">
        <v>143</v>
      </c>
      <c r="AV10" s="2" t="s">
        <v>143</v>
      </c>
      <c r="AW10" s="3"/>
      <c r="AX10" s="3"/>
      <c r="AY10" s="2" t="s">
        <v>143</v>
      </c>
      <c r="AZ10" s="2" t="s">
        <v>143</v>
      </c>
      <c r="BA10" s="2" t="s">
        <v>143</v>
      </c>
      <c r="BB10" s="2" t="s">
        <v>143</v>
      </c>
      <c r="BC10" s="2" t="s">
        <v>143</v>
      </c>
      <c r="BD10" s="3"/>
      <c r="BE10" s="3"/>
      <c r="BF10" s="2" t="s">
        <v>143</v>
      </c>
      <c r="BG10" s="2" t="s">
        <v>143</v>
      </c>
      <c r="BH10" s="2" t="s">
        <v>143</v>
      </c>
      <c r="BI10" s="2" t="s">
        <v>143</v>
      </c>
      <c r="BJ10" s="2" t="s">
        <v>143</v>
      </c>
      <c r="BK10" s="3"/>
      <c r="BL10" s="3"/>
      <c r="BM10" s="2" t="s">
        <v>143</v>
      </c>
      <c r="BN10" s="2" t="s">
        <v>143</v>
      </c>
      <c r="BO10" s="2" t="s">
        <v>143</v>
      </c>
      <c r="BP10" s="2" t="s">
        <v>143</v>
      </c>
      <c r="BQ10" s="11" t="s">
        <v>141</v>
      </c>
      <c r="BR10" s="3"/>
      <c r="BS10" s="3"/>
      <c r="BT10" s="11" t="s">
        <v>141</v>
      </c>
      <c r="BU10" s="2" t="s">
        <v>143</v>
      </c>
      <c r="BV10" s="2" t="s">
        <v>143</v>
      </c>
      <c r="BW10" s="2" t="s">
        <v>143</v>
      </c>
      <c r="BX10" s="11" t="s">
        <v>415</v>
      </c>
      <c r="BY10" s="3"/>
      <c r="BZ10" s="3"/>
      <c r="CA10" s="2" t="s">
        <v>143</v>
      </c>
      <c r="CB10" s="2" t="s">
        <v>143</v>
      </c>
      <c r="CC10" s="2" t="s">
        <v>143</v>
      </c>
      <c r="CD10" s="2" t="s">
        <v>143</v>
      </c>
      <c r="CE10" s="11" t="s">
        <v>141</v>
      </c>
      <c r="CF10" s="3"/>
      <c r="CG10" s="3"/>
      <c r="CH10" s="2" t="s">
        <v>143</v>
      </c>
      <c r="CI10" s="2" t="s">
        <v>143</v>
      </c>
      <c r="CJ10" s="2" t="s">
        <v>143</v>
      </c>
      <c r="CK10" s="2" t="s">
        <v>143</v>
      </c>
      <c r="CL10" s="2" t="s">
        <v>143</v>
      </c>
      <c r="CM10" s="3"/>
      <c r="CN10" s="3"/>
      <c r="CO10" s="2" t="s">
        <v>143</v>
      </c>
      <c r="CP10" s="2" t="s">
        <v>143</v>
      </c>
      <c r="CQ10" s="2" t="s">
        <v>143</v>
      </c>
      <c r="CR10" s="2" t="s">
        <v>143</v>
      </c>
      <c r="CS10" s="80" t="s">
        <v>419</v>
      </c>
      <c r="CT10" s="3"/>
      <c r="CU10" s="3"/>
      <c r="CV10" s="80" t="s">
        <v>419</v>
      </c>
      <c r="CW10" s="80" t="s">
        <v>419</v>
      </c>
      <c r="CX10" s="80" t="s">
        <v>419</v>
      </c>
      <c r="CY10" s="80" t="s">
        <v>419</v>
      </c>
      <c r="CZ10" s="80" t="s">
        <v>419</v>
      </c>
      <c r="DA10" s="3"/>
      <c r="DB10" s="3"/>
      <c r="DC10" s="80" t="s">
        <v>419</v>
      </c>
      <c r="DD10" s="80" t="s">
        <v>419</v>
      </c>
      <c r="DE10" s="80" t="s">
        <v>419</v>
      </c>
      <c r="DF10" s="2" t="s">
        <v>143</v>
      </c>
      <c r="DG10" s="3"/>
      <c r="DH10" s="3"/>
      <c r="DI10" s="3"/>
      <c r="DJ10" s="3"/>
      <c r="DK10" s="2" t="s">
        <v>143</v>
      </c>
      <c r="DL10" s="80" t="s">
        <v>419</v>
      </c>
      <c r="DM10" s="80" t="s">
        <v>419</v>
      </c>
      <c r="DN10" s="2" t="s">
        <v>143</v>
      </c>
      <c r="DO10" s="3"/>
      <c r="DP10" s="3"/>
      <c r="DQ10" s="2" t="s">
        <v>143</v>
      </c>
      <c r="DR10" s="80" t="s">
        <v>420</v>
      </c>
      <c r="DS10" s="80" t="s">
        <v>420</v>
      </c>
      <c r="DT10" s="80" t="s">
        <v>420</v>
      </c>
      <c r="DU10" s="80" t="s">
        <v>420</v>
      </c>
      <c r="DV10" s="3"/>
      <c r="DW10" s="3"/>
      <c r="DX10" s="3"/>
      <c r="DY10" s="2" t="s">
        <v>143</v>
      </c>
      <c r="DZ10" s="2" t="s">
        <v>143</v>
      </c>
      <c r="EA10" s="2" t="s">
        <v>143</v>
      </c>
      <c r="EB10" s="2" t="s">
        <v>143</v>
      </c>
      <c r="EC10" s="3"/>
      <c r="ED10" s="3"/>
      <c r="EE10" s="2" t="s">
        <v>143</v>
      </c>
      <c r="EF10" s="2" t="s">
        <v>143</v>
      </c>
      <c r="EG10" s="2" t="s">
        <v>143</v>
      </c>
      <c r="EH10" s="2" t="s">
        <v>143</v>
      </c>
      <c r="EI10" s="81" t="s">
        <v>141</v>
      </c>
      <c r="EJ10" s="3"/>
      <c r="EK10" s="3"/>
      <c r="EL10" s="2" t="s">
        <v>143</v>
      </c>
      <c r="EM10" s="2" t="s">
        <v>143</v>
      </c>
      <c r="EN10" s="2" t="s">
        <v>143</v>
      </c>
      <c r="EO10" s="2" t="s">
        <v>143</v>
      </c>
      <c r="EP10" s="2" t="s">
        <v>143</v>
      </c>
      <c r="EQ10" s="3"/>
      <c r="ER10" s="3"/>
      <c r="ES10" s="3"/>
      <c r="ET10" s="2" t="s">
        <v>143</v>
      </c>
      <c r="EU10" s="2" t="s">
        <v>143</v>
      </c>
      <c r="EV10" s="2" t="s">
        <v>143</v>
      </c>
      <c r="EW10" s="2" t="s">
        <v>143</v>
      </c>
      <c r="EX10" s="3"/>
      <c r="EY10" s="3"/>
      <c r="EZ10" s="2" t="s">
        <v>143</v>
      </c>
      <c r="FA10" s="2" t="s">
        <v>143</v>
      </c>
      <c r="FB10" s="2" t="s">
        <v>143</v>
      </c>
      <c r="FC10" s="2" t="s">
        <v>143</v>
      </c>
      <c r="FD10" s="2" t="s">
        <v>143</v>
      </c>
      <c r="FE10" s="3"/>
      <c r="FF10" s="3"/>
      <c r="FG10" s="2" t="s">
        <v>143</v>
      </c>
      <c r="FH10" s="2" t="s">
        <v>143</v>
      </c>
      <c r="FI10" s="2" t="s">
        <v>143</v>
      </c>
      <c r="FJ10" s="2" t="s">
        <v>143</v>
      </c>
      <c r="FK10" s="2" t="s">
        <v>143</v>
      </c>
      <c r="FL10" s="3"/>
      <c r="FM10" s="3"/>
      <c r="FN10" s="2" t="s">
        <v>143</v>
      </c>
      <c r="FO10" s="2" t="s">
        <v>143</v>
      </c>
      <c r="FP10" s="2" t="s">
        <v>143</v>
      </c>
      <c r="FQ10" s="2" t="s">
        <v>143</v>
      </c>
      <c r="FR10" s="2" t="s">
        <v>143</v>
      </c>
      <c r="FS10" s="3"/>
      <c r="FT10" s="3"/>
      <c r="FU10" s="2" t="s">
        <v>143</v>
      </c>
      <c r="FV10" s="2" t="s">
        <v>143</v>
      </c>
      <c r="FW10" s="2" t="s">
        <v>143</v>
      </c>
      <c r="FX10" s="2" t="s">
        <v>143</v>
      </c>
      <c r="FY10" s="2" t="s">
        <v>143</v>
      </c>
      <c r="FZ10" s="3"/>
      <c r="GA10" s="3"/>
      <c r="GB10" s="2" t="s">
        <v>143</v>
      </c>
      <c r="GC10" s="2" t="s">
        <v>143</v>
      </c>
      <c r="GD10" s="2" t="s">
        <v>143</v>
      </c>
      <c r="GE10" s="2" t="s">
        <v>143</v>
      </c>
      <c r="GF10" s="2" t="s">
        <v>143</v>
      </c>
      <c r="GG10" s="3"/>
      <c r="GH10" s="3"/>
      <c r="GI10" s="2" t="s">
        <v>143</v>
      </c>
      <c r="GJ10" s="2" t="s">
        <v>143</v>
      </c>
      <c r="GK10" s="2" t="s">
        <v>143</v>
      </c>
      <c r="GL10" s="2" t="s">
        <v>143</v>
      </c>
      <c r="GM10" s="2" t="s">
        <v>143</v>
      </c>
      <c r="GN10" s="3"/>
      <c r="GO10" s="3"/>
      <c r="GP10" s="2" t="s">
        <v>143</v>
      </c>
      <c r="GQ10" s="2" t="s">
        <v>143</v>
      </c>
      <c r="GR10" s="2" t="s">
        <v>143</v>
      </c>
      <c r="GS10" s="2" t="s">
        <v>143</v>
      </c>
      <c r="GT10" s="2" t="s">
        <v>143</v>
      </c>
      <c r="GU10" s="3"/>
      <c r="GV10" s="3"/>
      <c r="GW10" s="210" t="s">
        <v>421</v>
      </c>
      <c r="GX10" s="210" t="s">
        <v>421</v>
      </c>
      <c r="GY10" s="210" t="s">
        <v>421</v>
      </c>
      <c r="GZ10" s="210" t="s">
        <v>421</v>
      </c>
      <c r="HA10" s="210" t="s">
        <v>421</v>
      </c>
      <c r="HB10" s="3"/>
      <c r="HC10" s="3"/>
      <c r="HD10" s="2" t="s">
        <v>143</v>
      </c>
      <c r="HE10" s="2" t="s">
        <v>143</v>
      </c>
      <c r="HF10" s="2" t="s">
        <v>143</v>
      </c>
      <c r="HG10" s="2" t="s">
        <v>143</v>
      </c>
      <c r="HH10" s="2" t="s">
        <v>143</v>
      </c>
      <c r="HI10" s="3"/>
      <c r="HJ10" s="3"/>
      <c r="HK10" s="201" t="s">
        <v>422</v>
      </c>
      <c r="HL10" s="2" t="s">
        <v>143</v>
      </c>
      <c r="HM10" s="2" t="s">
        <v>143</v>
      </c>
      <c r="HN10" s="2" t="s">
        <v>143</v>
      </c>
      <c r="HO10" s="2" t="s">
        <v>143</v>
      </c>
      <c r="HP10" s="3"/>
      <c r="HQ10" s="3"/>
      <c r="HR10" s="2" t="s">
        <v>143</v>
      </c>
      <c r="HS10" s="2" t="s">
        <v>143</v>
      </c>
      <c r="HT10" s="50" t="s">
        <v>423</v>
      </c>
      <c r="HU10" s="2" t="s">
        <v>143</v>
      </c>
      <c r="HV10" s="2" t="s">
        <v>143</v>
      </c>
      <c r="HW10" s="3"/>
      <c r="HX10" s="3"/>
      <c r="HY10" s="2" t="s">
        <v>143</v>
      </c>
      <c r="HZ10" s="2" t="s">
        <v>143</v>
      </c>
      <c r="IA10" s="211" t="s">
        <v>424</v>
      </c>
      <c r="IB10" s="2" t="s">
        <v>143</v>
      </c>
      <c r="IC10" s="2" t="s">
        <v>143</v>
      </c>
      <c r="ID10" s="3"/>
      <c r="IE10" s="3"/>
      <c r="IF10" s="201" t="s">
        <v>386</v>
      </c>
      <c r="IG10" s="81" t="s">
        <v>141</v>
      </c>
      <c r="IH10" s="81" t="s">
        <v>141</v>
      </c>
      <c r="II10" s="81" t="s">
        <v>141</v>
      </c>
      <c r="IJ10" s="81" t="s">
        <v>141</v>
      </c>
      <c r="IK10" s="3"/>
      <c r="IL10" s="3"/>
      <c r="IM10" s="217" t="s">
        <v>425</v>
      </c>
      <c r="IN10" s="217" t="s">
        <v>426</v>
      </c>
      <c r="IO10" s="217" t="s">
        <v>324</v>
      </c>
      <c r="IP10" s="217" t="s">
        <v>408</v>
      </c>
      <c r="IQ10" s="217" t="s">
        <v>420</v>
      </c>
      <c r="IR10" s="3"/>
      <c r="IS10" s="3"/>
      <c r="IT10" s="214" t="s">
        <v>143</v>
      </c>
      <c r="IU10" s="82" t="s">
        <v>427</v>
      </c>
      <c r="IV10" s="214" t="s">
        <v>143</v>
      </c>
      <c r="IW10" s="214" t="s">
        <v>143</v>
      </c>
      <c r="IX10" s="214" t="s">
        <v>143</v>
      </c>
      <c r="IY10" s="3"/>
      <c r="IZ10" s="3"/>
      <c r="JA10" s="214" t="s">
        <v>143</v>
      </c>
      <c r="JB10" s="214" t="s">
        <v>428</v>
      </c>
      <c r="JC10" s="214" t="s">
        <v>143</v>
      </c>
      <c r="JD10" s="214" t="s">
        <v>143</v>
      </c>
      <c r="JE10" s="214" t="s">
        <v>143</v>
      </c>
      <c r="JF10" s="3"/>
      <c r="JG10" s="3"/>
      <c r="JH10" s="214" t="s">
        <v>183</v>
      </c>
      <c r="JI10" s="214" t="s">
        <v>183</v>
      </c>
      <c r="JJ10" s="82" t="s">
        <v>429</v>
      </c>
      <c r="JK10" s="214" t="s">
        <v>183</v>
      </c>
      <c r="JL10" s="82" t="s">
        <v>329</v>
      </c>
      <c r="JM10" s="3"/>
      <c r="JN10" s="3"/>
      <c r="JO10" s="214" t="s">
        <v>183</v>
      </c>
      <c r="JP10" s="82" t="s">
        <v>430</v>
      </c>
      <c r="JQ10" s="82" t="s">
        <v>431</v>
      </c>
      <c r="JR10" s="82" t="s">
        <v>431</v>
      </c>
      <c r="JS10" s="82" t="s">
        <v>431</v>
      </c>
      <c r="JT10" s="3"/>
      <c r="JU10" s="3"/>
      <c r="JV10" s="214" t="s">
        <v>143</v>
      </c>
      <c r="JW10" s="82" t="s">
        <v>271</v>
      </c>
      <c r="JX10" s="82" t="s">
        <v>271</v>
      </c>
      <c r="JY10" s="214" t="s">
        <v>143</v>
      </c>
      <c r="JZ10" s="214" t="s">
        <v>143</v>
      </c>
      <c r="KA10" s="3"/>
      <c r="KB10" s="3"/>
      <c r="KC10" s="82" t="s">
        <v>432</v>
      </c>
      <c r="KD10" s="82" t="s">
        <v>433</v>
      </c>
      <c r="KE10" s="214" t="s">
        <v>143</v>
      </c>
      <c r="KF10" s="82" t="s">
        <v>434</v>
      </c>
      <c r="KG10" s="82" t="s">
        <v>434</v>
      </c>
      <c r="KH10" s="3"/>
      <c r="KI10" s="3"/>
      <c r="KJ10" s="82" t="s">
        <v>435</v>
      </c>
      <c r="KK10" s="214" t="s">
        <v>143</v>
      </c>
      <c r="KL10" s="214" t="s">
        <v>143</v>
      </c>
      <c r="KM10" s="82" t="s">
        <v>435</v>
      </c>
      <c r="KN10" s="218" t="s">
        <v>141</v>
      </c>
      <c r="KO10" s="3"/>
      <c r="KP10" s="3"/>
      <c r="KQ10" s="214" t="s">
        <v>435</v>
      </c>
      <c r="KR10" s="214" t="s">
        <v>143</v>
      </c>
      <c r="KS10" s="214" t="s">
        <v>143</v>
      </c>
      <c r="KT10" s="214" t="s">
        <v>143</v>
      </c>
      <c r="KU10" s="82" t="s">
        <v>436</v>
      </c>
      <c r="KV10" s="3"/>
      <c r="KW10" s="3"/>
      <c r="KX10" s="82" t="s">
        <v>436</v>
      </c>
      <c r="KY10" s="214" t="s">
        <v>143</v>
      </c>
      <c r="KZ10" s="82" t="s">
        <v>437</v>
      </c>
      <c r="LA10" s="82" t="s">
        <v>437</v>
      </c>
      <c r="LB10" s="218" t="s">
        <v>141</v>
      </c>
      <c r="LC10" s="3"/>
      <c r="LD10" s="3"/>
      <c r="LE10" s="218" t="s">
        <v>141</v>
      </c>
      <c r="LF10" s="214" t="s">
        <v>271</v>
      </c>
      <c r="LG10" s="214" t="s">
        <v>143</v>
      </c>
      <c r="LH10" s="214" t="s">
        <v>438</v>
      </c>
      <c r="LI10" s="214" t="s">
        <v>143</v>
      </c>
      <c r="LJ10" s="3"/>
      <c r="LK10" s="3"/>
      <c r="LL10" s="82" t="s">
        <v>439</v>
      </c>
      <c r="LM10" s="214" t="s">
        <v>143</v>
      </c>
      <c r="LN10" s="82" t="s">
        <v>283</v>
      </c>
      <c r="LO10" s="82" t="s">
        <v>283</v>
      </c>
      <c r="LP10" s="82" t="s">
        <v>440</v>
      </c>
      <c r="LQ10" s="3"/>
      <c r="LR10" s="3"/>
      <c r="LS10" s="82" t="s">
        <v>440</v>
      </c>
      <c r="LT10" s="214" t="s">
        <v>143</v>
      </c>
      <c r="LU10" s="214" t="s">
        <v>143</v>
      </c>
      <c r="LV10" s="214" t="s">
        <v>143</v>
      </c>
      <c r="LW10" s="214" t="s">
        <v>143</v>
      </c>
      <c r="LX10" s="3"/>
      <c r="LY10" s="3"/>
      <c r="LZ10" s="214" t="s">
        <v>143</v>
      </c>
      <c r="MA10" s="82" t="s">
        <v>418</v>
      </c>
      <c r="MB10" s="82" t="s">
        <v>418</v>
      </c>
      <c r="MC10" s="214" t="s">
        <v>143</v>
      </c>
      <c r="MD10" s="214" t="s">
        <v>143</v>
      </c>
      <c r="ME10" s="3"/>
      <c r="MF10" s="3"/>
      <c r="MG10" s="82" t="s">
        <v>441</v>
      </c>
      <c r="MH10" s="219" t="s">
        <v>141</v>
      </c>
      <c r="MI10" s="219" t="s">
        <v>141</v>
      </c>
      <c r="MJ10" s="219" t="s">
        <v>141</v>
      </c>
      <c r="MK10" s="82" t="s">
        <v>419</v>
      </c>
      <c r="ML10" s="3"/>
      <c r="MM10" s="3"/>
      <c r="MN10" s="82" t="s">
        <v>420</v>
      </c>
      <c r="MO10" s="215" t="s">
        <v>442</v>
      </c>
      <c r="MP10" s="215" t="s">
        <v>442</v>
      </c>
      <c r="MQ10" s="215" t="s">
        <v>442</v>
      </c>
      <c r="MR10" s="215" t="s">
        <v>442</v>
      </c>
      <c r="MS10" s="3"/>
      <c r="MT10" s="3"/>
      <c r="MU10" s="219" t="s">
        <v>141</v>
      </c>
      <c r="MV10" s="219" t="s">
        <v>141</v>
      </c>
      <c r="MW10" s="219" t="s">
        <v>141</v>
      </c>
      <c r="MX10" s="3"/>
      <c r="MY10" s="3"/>
      <c r="MZ10" s="3"/>
      <c r="NA10" s="3"/>
      <c r="NB10" s="219" t="s">
        <v>141</v>
      </c>
      <c r="NC10" s="219" t="s">
        <v>141</v>
      </c>
      <c r="ND10" s="219" t="s">
        <v>141</v>
      </c>
      <c r="NE10" s="3"/>
      <c r="NF10" s="214" t="s">
        <v>143</v>
      </c>
    </row>
    <row r="11" spans="1:374">
      <c r="A11" s="104" t="s">
        <v>22</v>
      </c>
      <c r="B11" s="42"/>
      <c r="C11" s="108"/>
      <c r="D11" s="3"/>
      <c r="E11" s="42"/>
      <c r="F11" s="42"/>
      <c r="G11" s="3"/>
      <c r="H11" s="3"/>
      <c r="I11" s="42"/>
      <c r="J11" s="42"/>
      <c r="K11" s="42"/>
      <c r="L11" s="42"/>
      <c r="M11" s="42"/>
      <c r="N11" s="3"/>
      <c r="O11" s="3"/>
      <c r="P11" s="42"/>
      <c r="Q11" s="42"/>
      <c r="R11" s="42"/>
      <c r="S11" s="42"/>
      <c r="T11" s="42"/>
      <c r="U11" s="24"/>
      <c r="V11" s="24"/>
      <c r="W11" s="42"/>
      <c r="X11" s="42"/>
      <c r="Y11" s="42"/>
      <c r="Z11" s="42"/>
      <c r="AA11" s="42"/>
      <c r="AB11" s="24"/>
      <c r="AC11" s="24"/>
      <c r="AD11" s="42"/>
      <c r="AE11" s="42"/>
      <c r="AF11" s="42"/>
      <c r="AG11" s="42"/>
      <c r="AH11" s="42"/>
      <c r="AI11" s="24"/>
      <c r="AJ11" s="24"/>
      <c r="AK11" s="39"/>
      <c r="AL11" s="39"/>
      <c r="AM11" s="39"/>
      <c r="AN11" s="39"/>
      <c r="AO11" s="39"/>
      <c r="AP11" s="24"/>
      <c r="AQ11" s="24"/>
      <c r="AR11" s="39"/>
      <c r="AS11" s="39"/>
      <c r="AT11" s="39"/>
      <c r="AU11" s="39"/>
      <c r="AV11" s="39"/>
      <c r="AW11" s="24"/>
      <c r="AX11" s="24"/>
      <c r="AY11" s="39"/>
      <c r="AZ11" s="39"/>
      <c r="BA11" s="39"/>
      <c r="BB11" s="39"/>
      <c r="BC11" s="39"/>
      <c r="BD11" s="24"/>
      <c r="BE11" s="24"/>
      <c r="BF11" s="39"/>
      <c r="BG11" s="39"/>
      <c r="BH11" s="39"/>
      <c r="BI11" s="39"/>
      <c r="BJ11" s="39"/>
      <c r="BK11" s="24"/>
      <c r="BL11" s="24"/>
      <c r="BM11" s="39"/>
      <c r="BN11" s="39"/>
      <c r="BO11" s="39"/>
      <c r="BP11" s="39"/>
      <c r="BQ11" s="39"/>
      <c r="BR11" s="24"/>
      <c r="BS11" s="24"/>
      <c r="BT11" s="39"/>
      <c r="BU11" s="39"/>
      <c r="BV11" s="39"/>
      <c r="BW11" s="39"/>
      <c r="BX11" s="39"/>
      <c r="BY11" s="24"/>
      <c r="BZ11" s="24"/>
      <c r="CA11" s="39"/>
      <c r="CB11" s="39"/>
      <c r="CC11" s="39"/>
      <c r="CD11" s="39"/>
      <c r="CE11" s="39"/>
      <c r="CF11" s="24"/>
      <c r="CG11" s="24"/>
      <c r="CH11" s="39"/>
      <c r="CI11" s="39"/>
      <c r="CJ11" s="39"/>
      <c r="CK11" s="39"/>
      <c r="CL11" s="39"/>
      <c r="CM11" s="24"/>
      <c r="CN11" s="24"/>
      <c r="CO11" s="39"/>
      <c r="CP11" s="39"/>
      <c r="CQ11" s="39"/>
      <c r="CR11" s="39"/>
      <c r="CS11" s="39"/>
      <c r="CT11" s="24"/>
      <c r="CU11" s="24"/>
      <c r="CV11" s="39"/>
      <c r="CW11" s="39"/>
      <c r="CX11" s="39"/>
      <c r="CY11" s="39"/>
      <c r="CZ11" s="39"/>
      <c r="DA11" s="24"/>
      <c r="DB11" s="24"/>
      <c r="DC11" s="39"/>
      <c r="DD11" s="39"/>
      <c r="DE11" s="39"/>
      <c r="DF11" s="39"/>
      <c r="DG11" s="24"/>
      <c r="DH11" s="24"/>
      <c r="DI11" s="24"/>
      <c r="DJ11" s="24"/>
      <c r="DK11" s="39"/>
      <c r="DL11" s="39"/>
      <c r="DM11" s="39"/>
      <c r="DN11" s="39"/>
      <c r="DO11" s="24"/>
      <c r="DP11" s="24"/>
      <c r="DQ11" s="39"/>
      <c r="DR11" s="39"/>
      <c r="DS11" s="39"/>
      <c r="DT11" s="39"/>
      <c r="DU11" s="39"/>
      <c r="DV11" s="24"/>
      <c r="DW11" s="24"/>
      <c r="DX11" s="24"/>
      <c r="DY11" s="39"/>
      <c r="DZ11" s="39"/>
      <c r="EA11" s="39"/>
      <c r="EB11" s="39"/>
      <c r="EC11" s="24"/>
      <c r="ED11" s="24"/>
      <c r="EE11" s="39"/>
      <c r="EF11" s="39"/>
      <c r="EG11" s="39"/>
      <c r="EH11" s="39"/>
      <c r="EI11" s="39"/>
      <c r="EJ11" s="24"/>
      <c r="EK11" s="24"/>
      <c r="EL11" s="39"/>
      <c r="EM11" s="39"/>
      <c r="EN11" s="39"/>
      <c r="EO11" s="39"/>
      <c r="EP11" s="39"/>
      <c r="EQ11" s="24"/>
      <c r="ER11" s="24"/>
      <c r="ES11" s="24"/>
      <c r="ET11" s="39"/>
      <c r="EU11" s="39"/>
      <c r="EV11" s="39"/>
      <c r="EW11" s="39"/>
      <c r="EX11" s="24"/>
      <c r="EY11" s="24"/>
      <c r="EZ11" s="39"/>
      <c r="FA11" s="39"/>
      <c r="FB11" s="39"/>
      <c r="FC11" s="39"/>
      <c r="FD11" s="39"/>
      <c r="FE11" s="24"/>
      <c r="FF11" s="24"/>
      <c r="FG11" s="39"/>
      <c r="FH11" s="39"/>
      <c r="FI11" s="39"/>
      <c r="FJ11" s="39"/>
      <c r="FK11" s="39"/>
      <c r="FL11" s="24"/>
      <c r="FM11" s="24"/>
      <c r="FN11" s="39"/>
      <c r="FO11" s="39"/>
      <c r="FP11" s="39"/>
      <c r="FQ11" s="39"/>
      <c r="FR11" s="39"/>
      <c r="FS11" s="24"/>
      <c r="FT11" s="24"/>
      <c r="FU11" s="39"/>
      <c r="FV11" s="39"/>
      <c r="FW11" s="39"/>
      <c r="FX11" s="39"/>
      <c r="FY11" s="39"/>
      <c r="FZ11" s="24"/>
      <c r="GA11" s="24"/>
      <c r="GB11" s="39"/>
      <c r="GC11" s="39"/>
      <c r="GD11" s="39"/>
      <c r="GE11" s="39"/>
      <c r="GF11" s="39"/>
      <c r="GG11" s="24"/>
      <c r="GH11" s="24"/>
      <c r="GI11" s="39"/>
      <c r="GJ11" s="39"/>
      <c r="GK11" s="39"/>
      <c r="GL11" s="39"/>
      <c r="GM11" s="39"/>
      <c r="GN11" s="24"/>
      <c r="GO11" s="24"/>
      <c r="GP11" s="39"/>
      <c r="GQ11" s="39"/>
      <c r="GR11" s="39"/>
      <c r="GS11" s="39"/>
      <c r="GT11" s="39"/>
      <c r="GU11" s="24"/>
      <c r="GV11" s="24"/>
      <c r="GW11" s="39"/>
      <c r="GX11" s="39"/>
      <c r="GY11" s="39"/>
      <c r="GZ11" s="39"/>
      <c r="HA11" s="39"/>
      <c r="HB11" s="24"/>
      <c r="HC11" s="24"/>
      <c r="HD11" s="39"/>
      <c r="HE11" s="39"/>
      <c r="HF11" s="39"/>
      <c r="HG11" s="39"/>
      <c r="HH11" s="39"/>
      <c r="HI11" s="24"/>
      <c r="HJ11" s="24"/>
      <c r="HK11" s="39"/>
      <c r="HL11" s="39"/>
      <c r="HM11" s="39"/>
      <c r="HN11" s="39"/>
      <c r="HO11" s="39"/>
      <c r="HP11" s="24"/>
      <c r="HQ11" s="24"/>
      <c r="HR11" s="39"/>
      <c r="HS11" s="39"/>
      <c r="HT11" s="39"/>
      <c r="HU11" s="39"/>
      <c r="HV11" s="39"/>
      <c r="HW11" s="24"/>
      <c r="HX11" s="24"/>
      <c r="HY11" s="39"/>
      <c r="HZ11" s="39"/>
      <c r="IA11" s="39"/>
      <c r="IB11" s="39"/>
      <c r="IC11" s="39"/>
      <c r="ID11" s="24"/>
      <c r="IE11" s="24"/>
      <c r="IF11" s="39"/>
      <c r="IG11" s="39"/>
      <c r="IH11" s="39"/>
      <c r="II11" s="39"/>
      <c r="IJ11" s="39"/>
      <c r="IK11" s="24"/>
      <c r="IL11" s="24"/>
      <c r="IM11" s="39"/>
      <c r="IN11" s="39"/>
      <c r="IO11" s="39"/>
      <c r="IP11" s="39"/>
      <c r="IQ11" s="39"/>
      <c r="IR11" s="24"/>
      <c r="IS11" s="24"/>
      <c r="IT11" s="39"/>
      <c r="IU11" s="39"/>
      <c r="IV11" s="39"/>
      <c r="IW11" s="39"/>
      <c r="IX11" s="39"/>
      <c r="IY11" s="24"/>
      <c r="IZ11" s="24"/>
      <c r="JA11" s="39"/>
      <c r="JB11" s="39"/>
      <c r="JC11" s="39"/>
      <c r="JD11" s="39"/>
      <c r="JE11" s="39"/>
      <c r="JF11" s="24"/>
      <c r="JG11" s="24"/>
      <c r="JH11" s="39"/>
      <c r="JI11" s="39"/>
      <c r="JJ11" s="39"/>
      <c r="JK11" s="39"/>
      <c r="JL11" s="39"/>
      <c r="JM11" s="24"/>
      <c r="JN11" s="24"/>
      <c r="JO11" s="39"/>
      <c r="JP11" s="39"/>
      <c r="JQ11" s="39"/>
      <c r="JR11" s="39"/>
      <c r="JS11" s="39"/>
      <c r="JT11" s="24"/>
      <c r="JU11" s="24"/>
      <c r="JV11" s="39"/>
      <c r="JW11" s="39"/>
      <c r="JX11" s="39"/>
      <c r="JY11" s="39"/>
      <c r="JZ11" s="39"/>
      <c r="KA11" s="24"/>
      <c r="KB11" s="24"/>
      <c r="KC11" s="39"/>
      <c r="KD11" s="39"/>
      <c r="KE11" s="39"/>
      <c r="KF11" s="39"/>
      <c r="KG11" s="39"/>
      <c r="KH11" s="24"/>
      <c r="KI11" s="24"/>
      <c r="KJ11" s="39"/>
      <c r="KK11" s="39"/>
      <c r="KL11" s="39"/>
      <c r="KM11" s="39"/>
      <c r="KN11" s="39"/>
      <c r="KO11" s="24"/>
      <c r="KP11" s="24"/>
      <c r="KQ11" s="39"/>
      <c r="KR11" s="39"/>
      <c r="KS11" s="39"/>
      <c r="KT11" s="39"/>
      <c r="KU11" s="39"/>
      <c r="KV11" s="24"/>
      <c r="KW11" s="24"/>
      <c r="KX11" s="39"/>
      <c r="KY11" s="39"/>
      <c r="KZ11" s="39"/>
      <c r="LA11" s="39"/>
      <c r="LB11" s="39"/>
      <c r="LC11" s="24"/>
      <c r="LD11" s="24"/>
      <c r="LE11" s="39"/>
      <c r="LF11" s="39"/>
      <c r="LG11" s="39"/>
      <c r="LH11" s="39"/>
      <c r="LI11" s="39"/>
      <c r="LJ11" s="24"/>
      <c r="LK11" s="24"/>
      <c r="LL11" s="39"/>
      <c r="LM11" s="39"/>
      <c r="LN11" s="39"/>
      <c r="LO11" s="39"/>
      <c r="LP11" s="39"/>
      <c r="LQ11" s="24"/>
      <c r="LR11" s="24"/>
      <c r="LS11" s="39"/>
      <c r="LT11" s="39"/>
      <c r="LU11" s="39"/>
      <c r="LV11" s="39"/>
      <c r="LW11" s="39"/>
      <c r="LX11" s="24"/>
      <c r="LY11" s="24"/>
      <c r="LZ11" s="39"/>
      <c r="MA11" s="39"/>
      <c r="MB11" s="39"/>
      <c r="MC11" s="39"/>
      <c r="MD11" s="39"/>
      <c r="ME11" s="24"/>
      <c r="MF11" s="24"/>
      <c r="MG11" s="39"/>
      <c r="MH11" s="39"/>
      <c r="MI11" s="39"/>
      <c r="MJ11" s="39"/>
      <c r="MK11" s="39"/>
      <c r="ML11" s="24"/>
      <c r="MM11" s="24"/>
      <c r="MN11" s="39"/>
      <c r="MO11" s="39"/>
      <c r="MP11" s="39"/>
      <c r="MQ11" s="39"/>
      <c r="MR11" s="39"/>
      <c r="MS11" s="24"/>
      <c r="MT11" s="24"/>
      <c r="MU11" s="39"/>
      <c r="MV11" s="39"/>
      <c r="MW11" s="39"/>
      <c r="MX11" s="24"/>
      <c r="MY11" s="24"/>
      <c r="MZ11" s="24"/>
      <c r="NA11" s="24"/>
      <c r="NB11" s="39"/>
      <c r="NC11" s="39"/>
      <c r="ND11" s="39"/>
      <c r="NE11" s="24"/>
      <c r="NF11" s="199"/>
    </row>
    <row r="12" spans="1:374">
      <c r="A12" s="106" t="s">
        <v>174</v>
      </c>
      <c r="B12" s="48" t="s">
        <v>175</v>
      </c>
      <c r="C12" s="107" t="s">
        <v>37</v>
      </c>
      <c r="D12" s="3" t="s">
        <v>153</v>
      </c>
      <c r="E12" s="11" t="s">
        <v>141</v>
      </c>
      <c r="F12" s="2" t="s">
        <v>143</v>
      </c>
      <c r="G12" s="3" t="s">
        <v>153</v>
      </c>
      <c r="H12" s="3" t="s">
        <v>153</v>
      </c>
      <c r="I12" s="2" t="s">
        <v>143</v>
      </c>
      <c r="J12" s="2" t="s">
        <v>143</v>
      </c>
      <c r="K12" s="2" t="s">
        <v>143</v>
      </c>
      <c r="L12" s="2" t="s">
        <v>143</v>
      </c>
      <c r="M12" s="11" t="s">
        <v>141</v>
      </c>
      <c r="N12" s="3"/>
      <c r="O12" s="3"/>
      <c r="P12" s="2" t="s">
        <v>143</v>
      </c>
      <c r="Q12" s="2" t="s">
        <v>143</v>
      </c>
      <c r="R12" s="2" t="s">
        <v>143</v>
      </c>
      <c r="S12" s="2" t="s">
        <v>143</v>
      </c>
      <c r="T12" s="2" t="s">
        <v>143</v>
      </c>
      <c r="U12" s="3" t="s">
        <v>153</v>
      </c>
      <c r="V12" s="3"/>
      <c r="W12" s="2" t="s">
        <v>143</v>
      </c>
      <c r="X12" s="2" t="s">
        <v>143</v>
      </c>
      <c r="Y12" s="2" t="s">
        <v>143</v>
      </c>
      <c r="Z12" s="2" t="s">
        <v>143</v>
      </c>
      <c r="AA12" s="2" t="s">
        <v>143</v>
      </c>
      <c r="AB12" s="3"/>
      <c r="AC12" s="3"/>
      <c r="AD12" s="2" t="s">
        <v>143</v>
      </c>
      <c r="AE12" s="2" t="s">
        <v>143</v>
      </c>
      <c r="AF12" s="2" t="s">
        <v>143</v>
      </c>
      <c r="AG12" s="80" t="s">
        <v>151</v>
      </c>
      <c r="AH12" s="2" t="s">
        <v>143</v>
      </c>
      <c r="AI12" s="3"/>
      <c r="AJ12" s="3"/>
      <c r="AK12" s="2" t="s">
        <v>143</v>
      </c>
      <c r="AL12" s="2" t="s">
        <v>143</v>
      </c>
      <c r="AM12" s="2" t="s">
        <v>143</v>
      </c>
      <c r="AN12" s="2" t="s">
        <v>143</v>
      </c>
      <c r="AO12" s="11" t="s">
        <v>141</v>
      </c>
      <c r="AP12" s="3"/>
      <c r="AQ12" s="3"/>
      <c r="AR12" s="2" t="s">
        <v>143</v>
      </c>
      <c r="AS12" s="2" t="s">
        <v>143</v>
      </c>
      <c r="AT12" s="2" t="s">
        <v>143</v>
      </c>
      <c r="AU12" s="2" t="s">
        <v>143</v>
      </c>
      <c r="AV12" s="2" t="s">
        <v>143</v>
      </c>
      <c r="AW12" s="3"/>
      <c r="AX12" s="3"/>
      <c r="AY12" s="2" t="s">
        <v>143</v>
      </c>
      <c r="AZ12" s="2" t="s">
        <v>143</v>
      </c>
      <c r="BA12" s="2" t="s">
        <v>143</v>
      </c>
      <c r="BB12" s="2" t="s">
        <v>143</v>
      </c>
      <c r="BC12" s="2" t="s">
        <v>143</v>
      </c>
      <c r="BD12" s="3"/>
      <c r="BE12" s="3"/>
      <c r="BF12" s="2" t="s">
        <v>443</v>
      </c>
      <c r="BG12" s="2" t="s">
        <v>443</v>
      </c>
      <c r="BH12" s="2" t="s">
        <v>443</v>
      </c>
      <c r="BI12" s="2" t="s">
        <v>443</v>
      </c>
      <c r="BJ12" s="2" t="s">
        <v>443</v>
      </c>
      <c r="BK12" s="3"/>
      <c r="BL12" s="3"/>
      <c r="BM12" s="2" t="s">
        <v>143</v>
      </c>
      <c r="BN12" s="2" t="s">
        <v>143</v>
      </c>
      <c r="BO12" s="2" t="s">
        <v>143</v>
      </c>
      <c r="BP12" s="2" t="s">
        <v>143</v>
      </c>
      <c r="BQ12" s="2" t="s">
        <v>143</v>
      </c>
      <c r="BR12" s="3"/>
      <c r="BS12" s="3"/>
      <c r="BT12" s="2" t="s">
        <v>143</v>
      </c>
      <c r="BU12" s="2" t="s">
        <v>143</v>
      </c>
      <c r="BV12" s="2" t="s">
        <v>143</v>
      </c>
      <c r="BW12" s="2" t="s">
        <v>143</v>
      </c>
      <c r="BX12" s="2" t="s">
        <v>143</v>
      </c>
      <c r="BY12" s="3"/>
      <c r="BZ12" s="3"/>
      <c r="CA12" s="11" t="s">
        <v>141</v>
      </c>
      <c r="CB12" s="2" t="s">
        <v>143</v>
      </c>
      <c r="CC12" s="2" t="s">
        <v>143</v>
      </c>
      <c r="CD12" s="2" t="s">
        <v>143</v>
      </c>
      <c r="CE12" s="11" t="s">
        <v>141</v>
      </c>
      <c r="CF12" s="3"/>
      <c r="CG12" s="3"/>
      <c r="CH12" s="2" t="s">
        <v>143</v>
      </c>
      <c r="CI12" s="11" t="s">
        <v>141</v>
      </c>
      <c r="CJ12" s="11" t="s">
        <v>141</v>
      </c>
      <c r="CK12" s="11" t="s">
        <v>141</v>
      </c>
      <c r="CL12" s="11" t="s">
        <v>141</v>
      </c>
      <c r="CM12" s="3"/>
      <c r="CN12" s="3"/>
      <c r="CO12" s="11" t="s">
        <v>141</v>
      </c>
      <c r="CP12" s="2" t="s">
        <v>143</v>
      </c>
      <c r="CQ12" s="2" t="s">
        <v>143</v>
      </c>
      <c r="CR12" s="2" t="s">
        <v>143</v>
      </c>
      <c r="CS12" s="2" t="s">
        <v>143</v>
      </c>
      <c r="CT12" s="3"/>
      <c r="CU12" s="3"/>
      <c r="CV12" s="2" t="s">
        <v>143</v>
      </c>
      <c r="CW12" s="2" t="s">
        <v>143</v>
      </c>
      <c r="CX12" s="2" t="s">
        <v>143</v>
      </c>
      <c r="CY12" s="2" t="s">
        <v>143</v>
      </c>
      <c r="CZ12" s="2" t="s">
        <v>143</v>
      </c>
      <c r="DA12" s="3"/>
      <c r="DB12" s="3"/>
      <c r="DC12" s="2" t="s">
        <v>143</v>
      </c>
      <c r="DD12" s="2" t="s">
        <v>143</v>
      </c>
      <c r="DE12" s="2" t="s">
        <v>143</v>
      </c>
      <c r="DF12" s="2" t="s">
        <v>143</v>
      </c>
      <c r="DG12" s="3"/>
      <c r="DH12" s="3"/>
      <c r="DI12" s="3"/>
      <c r="DJ12" s="3"/>
      <c r="DK12" s="2" t="s">
        <v>143</v>
      </c>
      <c r="DL12" s="2" t="s">
        <v>143</v>
      </c>
      <c r="DM12" s="2" t="s">
        <v>143</v>
      </c>
      <c r="DN12" s="2" t="s">
        <v>143</v>
      </c>
      <c r="DO12" s="3"/>
      <c r="DP12" s="3"/>
      <c r="DQ12" s="2" t="s">
        <v>143</v>
      </c>
      <c r="DR12" s="2" t="s">
        <v>143</v>
      </c>
      <c r="DS12" s="2" t="s">
        <v>143</v>
      </c>
      <c r="DT12" s="2" t="s">
        <v>143</v>
      </c>
      <c r="DU12" s="2" t="s">
        <v>143</v>
      </c>
      <c r="DV12" s="3"/>
      <c r="DW12" s="3"/>
      <c r="DX12" s="3"/>
      <c r="DY12" s="2" t="s">
        <v>143</v>
      </c>
      <c r="DZ12" s="2" t="s">
        <v>143</v>
      </c>
      <c r="EA12" s="2" t="s">
        <v>143</v>
      </c>
      <c r="EB12" s="2" t="s">
        <v>143</v>
      </c>
      <c r="EC12" s="3"/>
      <c r="ED12" s="3"/>
      <c r="EE12" s="2" t="s">
        <v>143</v>
      </c>
      <c r="EF12" s="2" t="s">
        <v>143</v>
      </c>
      <c r="EG12" s="2" t="s">
        <v>143</v>
      </c>
      <c r="EH12" s="2" t="s">
        <v>143</v>
      </c>
      <c r="EI12" s="2" t="s">
        <v>143</v>
      </c>
      <c r="EJ12" s="3"/>
      <c r="EK12" s="3"/>
      <c r="EL12" s="2" t="s">
        <v>143</v>
      </c>
      <c r="EM12" s="2" t="s">
        <v>143</v>
      </c>
      <c r="EN12" s="2" t="s">
        <v>143</v>
      </c>
      <c r="EO12" s="2" t="s">
        <v>143</v>
      </c>
      <c r="EP12" s="2" t="s">
        <v>143</v>
      </c>
      <c r="EQ12" s="3"/>
      <c r="ER12" s="3"/>
      <c r="ES12" s="3"/>
      <c r="ET12" s="2" t="s">
        <v>143</v>
      </c>
      <c r="EU12" s="2" t="s">
        <v>143</v>
      </c>
      <c r="EV12" s="2" t="s">
        <v>143</v>
      </c>
      <c r="EW12" s="2" t="s">
        <v>143</v>
      </c>
      <c r="EX12" s="3"/>
      <c r="EY12" s="3"/>
      <c r="EZ12" s="81" t="s">
        <v>141</v>
      </c>
      <c r="FA12" s="81" t="s">
        <v>141</v>
      </c>
      <c r="FB12" s="81" t="s">
        <v>141</v>
      </c>
      <c r="FC12" s="81" t="s">
        <v>141</v>
      </c>
      <c r="FD12" s="81" t="s">
        <v>141</v>
      </c>
      <c r="FE12" s="3"/>
      <c r="FF12" s="3"/>
      <c r="FG12" s="81" t="s">
        <v>141</v>
      </c>
      <c r="FH12" s="2" t="s">
        <v>143</v>
      </c>
      <c r="FI12" s="2" t="s">
        <v>143</v>
      </c>
      <c r="FJ12" s="2" t="s">
        <v>143</v>
      </c>
      <c r="FK12" s="81" t="s">
        <v>141</v>
      </c>
      <c r="FL12" s="3"/>
      <c r="FM12" s="3"/>
      <c r="FN12" s="81" t="s">
        <v>141</v>
      </c>
      <c r="FO12" s="2" t="s">
        <v>143</v>
      </c>
      <c r="FP12" s="2" t="s">
        <v>143</v>
      </c>
      <c r="FQ12" s="2" t="s">
        <v>143</v>
      </c>
      <c r="FR12" s="2" t="s">
        <v>143</v>
      </c>
      <c r="FS12" s="3"/>
      <c r="FT12" s="3"/>
      <c r="FU12" s="2" t="s">
        <v>143</v>
      </c>
      <c r="FV12" s="2" t="s">
        <v>143</v>
      </c>
      <c r="FW12" s="2" t="s">
        <v>143</v>
      </c>
      <c r="FX12" s="2" t="s">
        <v>143</v>
      </c>
      <c r="FY12" s="2" t="s">
        <v>143</v>
      </c>
      <c r="FZ12" s="3"/>
      <c r="GA12" s="3"/>
      <c r="GB12" s="2" t="s">
        <v>143</v>
      </c>
      <c r="GC12" s="2" t="s">
        <v>143</v>
      </c>
      <c r="GD12" s="2" t="s">
        <v>143</v>
      </c>
      <c r="GE12" s="2" t="s">
        <v>143</v>
      </c>
      <c r="GF12" s="2" t="s">
        <v>143</v>
      </c>
      <c r="GG12" s="3"/>
      <c r="GH12" s="3"/>
      <c r="GI12" s="2" t="s">
        <v>143</v>
      </c>
      <c r="GJ12" s="2" t="s">
        <v>143</v>
      </c>
      <c r="GK12" s="2" t="s">
        <v>143</v>
      </c>
      <c r="GL12" s="2" t="s">
        <v>143</v>
      </c>
      <c r="GM12" s="81" t="s">
        <v>141</v>
      </c>
      <c r="GN12" s="3"/>
      <c r="GO12" s="3"/>
      <c r="GP12" s="81" t="s">
        <v>141</v>
      </c>
      <c r="GQ12" s="81" t="s">
        <v>141</v>
      </c>
      <c r="GR12" s="81" t="s">
        <v>141</v>
      </c>
      <c r="GS12" s="81" t="s">
        <v>141</v>
      </c>
      <c r="GT12" s="81" t="s">
        <v>141</v>
      </c>
      <c r="GU12" s="3"/>
      <c r="GV12" s="3"/>
      <c r="GW12" s="2" t="s">
        <v>143</v>
      </c>
      <c r="GX12" s="2" t="s">
        <v>143</v>
      </c>
      <c r="GY12" s="2" t="s">
        <v>143</v>
      </c>
      <c r="GZ12" s="2" t="s">
        <v>143</v>
      </c>
      <c r="HA12" s="2" t="s">
        <v>143</v>
      </c>
      <c r="HB12" s="3"/>
      <c r="HC12" s="3"/>
      <c r="HD12" s="210" t="s">
        <v>444</v>
      </c>
      <c r="HE12" s="2" t="s">
        <v>143</v>
      </c>
      <c r="HF12" s="2" t="s">
        <v>143</v>
      </c>
      <c r="HG12" s="2" t="s">
        <v>143</v>
      </c>
      <c r="HH12" s="2" t="s">
        <v>143</v>
      </c>
      <c r="HI12" s="3"/>
      <c r="HJ12" s="3"/>
      <c r="HK12" s="2" t="s">
        <v>143</v>
      </c>
      <c r="HL12" s="2" t="s">
        <v>143</v>
      </c>
      <c r="HM12" s="2" t="s">
        <v>143</v>
      </c>
      <c r="HN12" s="2" t="s">
        <v>143</v>
      </c>
      <c r="HO12" s="2" t="s">
        <v>143</v>
      </c>
      <c r="HP12" s="3"/>
      <c r="HQ12" s="3"/>
      <c r="HR12" s="2" t="s">
        <v>143</v>
      </c>
      <c r="HS12" s="50" t="s">
        <v>445</v>
      </c>
      <c r="HT12" s="2" t="s">
        <v>143</v>
      </c>
      <c r="HU12" s="2" t="s">
        <v>143</v>
      </c>
      <c r="HV12" s="2" t="s">
        <v>417</v>
      </c>
      <c r="HW12" s="3"/>
      <c r="HX12" s="3"/>
      <c r="HY12" s="2" t="s">
        <v>143</v>
      </c>
      <c r="HZ12" s="2" t="s">
        <v>143</v>
      </c>
      <c r="IA12" s="2" t="s">
        <v>143</v>
      </c>
      <c r="IB12" s="211" t="s">
        <v>446</v>
      </c>
      <c r="IC12" s="2" t="s">
        <v>143</v>
      </c>
      <c r="ID12" s="3"/>
      <c r="IE12" s="3"/>
      <c r="IF12" s="201" t="s">
        <v>386</v>
      </c>
      <c r="IG12" s="2" t="s">
        <v>143</v>
      </c>
      <c r="IH12" s="210" t="s">
        <v>447</v>
      </c>
      <c r="II12" s="2" t="s">
        <v>143</v>
      </c>
      <c r="IJ12" s="2" t="s">
        <v>143</v>
      </c>
      <c r="IK12" s="3"/>
      <c r="IL12" s="3"/>
      <c r="IM12" s="214" t="s">
        <v>143</v>
      </c>
      <c r="IN12" s="214" t="s">
        <v>143</v>
      </c>
      <c r="IO12" s="214" t="s">
        <v>143</v>
      </c>
      <c r="IP12" s="214" t="s">
        <v>143</v>
      </c>
      <c r="IQ12" s="214" t="s">
        <v>143</v>
      </c>
      <c r="IR12" s="3"/>
      <c r="IS12" s="3"/>
      <c r="IT12" s="214" t="s">
        <v>143</v>
      </c>
      <c r="IU12" s="82" t="s">
        <v>448</v>
      </c>
      <c r="IV12" s="82" t="s">
        <v>449</v>
      </c>
      <c r="IW12" s="82" t="s">
        <v>449</v>
      </c>
      <c r="IX12" s="82" t="s">
        <v>449</v>
      </c>
      <c r="IY12" s="3"/>
      <c r="IZ12" s="3"/>
      <c r="JA12" s="214" t="s">
        <v>143</v>
      </c>
      <c r="JB12" s="214" t="s">
        <v>143</v>
      </c>
      <c r="JC12" s="82" t="s">
        <v>289</v>
      </c>
      <c r="JD12" s="214" t="s">
        <v>143</v>
      </c>
      <c r="JE12" s="214" t="s">
        <v>143</v>
      </c>
      <c r="JF12" s="3"/>
      <c r="JG12" s="3"/>
      <c r="JH12" s="82" t="s">
        <v>450</v>
      </c>
      <c r="JI12" s="82" t="s">
        <v>289</v>
      </c>
      <c r="JJ12" s="214" t="s">
        <v>143</v>
      </c>
      <c r="JK12" s="214" t="s">
        <v>143</v>
      </c>
      <c r="JL12" s="214" t="s">
        <v>143</v>
      </c>
      <c r="JM12" s="3"/>
      <c r="JN12" s="3"/>
      <c r="JO12" s="214" t="s">
        <v>143</v>
      </c>
      <c r="JP12" s="214" t="s">
        <v>143</v>
      </c>
      <c r="JQ12" s="82" t="s">
        <v>289</v>
      </c>
      <c r="JR12" s="214" t="s">
        <v>143</v>
      </c>
      <c r="JS12" s="218" t="s">
        <v>141</v>
      </c>
      <c r="JT12" s="3"/>
      <c r="JU12" s="3"/>
      <c r="JV12" s="214" t="s">
        <v>143</v>
      </c>
      <c r="JW12" s="214" t="s">
        <v>143</v>
      </c>
      <c r="JX12" s="82" t="s">
        <v>289</v>
      </c>
      <c r="JY12" s="82" t="s">
        <v>451</v>
      </c>
      <c r="JZ12" s="214" t="s">
        <v>143</v>
      </c>
      <c r="KA12" s="3"/>
      <c r="KB12" s="3"/>
      <c r="KC12" s="82" t="s">
        <v>452</v>
      </c>
      <c r="KD12" s="82" t="s">
        <v>289</v>
      </c>
      <c r="KE12" s="214" t="s">
        <v>143</v>
      </c>
      <c r="KF12" s="214" t="s">
        <v>143</v>
      </c>
      <c r="KG12" s="214" t="s">
        <v>143</v>
      </c>
      <c r="KH12" s="3"/>
      <c r="KI12" s="3"/>
      <c r="KJ12" s="82" t="s">
        <v>453</v>
      </c>
      <c r="KK12" s="82" t="s">
        <v>453</v>
      </c>
      <c r="KL12" s="82" t="s">
        <v>453</v>
      </c>
      <c r="KM12" s="82" t="s">
        <v>453</v>
      </c>
      <c r="KN12" s="82" t="s">
        <v>453</v>
      </c>
      <c r="KO12" s="3"/>
      <c r="KP12" s="3"/>
      <c r="KQ12" s="82" t="s">
        <v>453</v>
      </c>
      <c r="KR12" s="82" t="s">
        <v>454</v>
      </c>
      <c r="KS12" s="82" t="s">
        <v>454</v>
      </c>
      <c r="KT12" s="82" t="s">
        <v>453</v>
      </c>
      <c r="KU12" s="214" t="s">
        <v>143</v>
      </c>
      <c r="KV12" s="3"/>
      <c r="KW12" s="3"/>
      <c r="KX12" s="82" t="s">
        <v>453</v>
      </c>
      <c r="KY12" s="214" t="s">
        <v>143</v>
      </c>
      <c r="KZ12" s="82" t="s">
        <v>453</v>
      </c>
      <c r="LA12" s="82" t="s">
        <v>455</v>
      </c>
      <c r="LB12" s="214" t="s">
        <v>143</v>
      </c>
      <c r="LC12" s="3"/>
      <c r="LD12" s="3"/>
      <c r="LE12" s="214" t="s">
        <v>143</v>
      </c>
      <c r="LF12" s="82" t="s">
        <v>289</v>
      </c>
      <c r="LG12" s="82" t="s">
        <v>395</v>
      </c>
      <c r="LH12" s="82" t="s">
        <v>456</v>
      </c>
      <c r="LI12" s="214" t="s">
        <v>143</v>
      </c>
      <c r="LJ12" s="3"/>
      <c r="LK12" s="3"/>
      <c r="LL12" s="214" t="s">
        <v>143</v>
      </c>
      <c r="LM12" s="82" t="s">
        <v>289</v>
      </c>
      <c r="LN12" s="214" t="s">
        <v>143</v>
      </c>
      <c r="LO12" s="214" t="s">
        <v>143</v>
      </c>
      <c r="LP12" s="82" t="s">
        <v>457</v>
      </c>
      <c r="LQ12" s="3"/>
      <c r="LR12" s="3"/>
      <c r="LS12" s="214" t="s">
        <v>143</v>
      </c>
      <c r="LT12" s="214" t="s">
        <v>143</v>
      </c>
      <c r="LU12" s="214" t="s">
        <v>143</v>
      </c>
      <c r="LV12" s="214" t="s">
        <v>143</v>
      </c>
      <c r="LW12" s="82" t="s">
        <v>458</v>
      </c>
      <c r="LX12" s="3"/>
      <c r="LY12" s="3"/>
      <c r="LZ12" s="214" t="s">
        <v>143</v>
      </c>
      <c r="MA12" s="214" t="s">
        <v>143</v>
      </c>
      <c r="MB12" s="214" t="s">
        <v>143</v>
      </c>
      <c r="MC12" s="214" t="s">
        <v>143</v>
      </c>
      <c r="MD12" s="218" t="s">
        <v>141</v>
      </c>
      <c r="ME12" s="3"/>
      <c r="MF12" s="3"/>
      <c r="MG12" s="214" t="s">
        <v>143</v>
      </c>
      <c r="MH12" s="214" t="s">
        <v>143</v>
      </c>
      <c r="MI12" s="82" t="s">
        <v>289</v>
      </c>
      <c r="MJ12" s="82" t="s">
        <v>459</v>
      </c>
      <c r="MK12" s="214" t="s">
        <v>143</v>
      </c>
      <c r="ML12" s="3"/>
      <c r="MM12" s="3"/>
      <c r="MN12" s="213" t="s">
        <v>460</v>
      </c>
      <c r="MO12" s="214" t="s">
        <v>143</v>
      </c>
      <c r="MP12" s="82" t="s">
        <v>289</v>
      </c>
      <c r="MQ12" s="214" t="s">
        <v>143</v>
      </c>
      <c r="MR12" s="214" t="s">
        <v>143</v>
      </c>
      <c r="MS12" s="3"/>
      <c r="MT12" s="3"/>
      <c r="MU12" s="214" t="s">
        <v>143</v>
      </c>
      <c r="MV12" s="213" t="s">
        <v>461</v>
      </c>
      <c r="MW12" s="213" t="s">
        <v>461</v>
      </c>
      <c r="MX12" s="3"/>
      <c r="MY12" s="3"/>
      <c r="MZ12" s="3"/>
      <c r="NA12" s="3"/>
      <c r="NB12" s="219" t="s">
        <v>141</v>
      </c>
      <c r="NC12" s="219" t="s">
        <v>141</v>
      </c>
      <c r="ND12" s="219" t="s">
        <v>141</v>
      </c>
      <c r="NE12" s="3"/>
      <c r="NF12" s="219" t="s">
        <v>141</v>
      </c>
    </row>
    <row r="13" spans="1:374">
      <c r="A13" s="106" t="s">
        <v>180</v>
      </c>
      <c r="B13" s="48" t="s">
        <v>175</v>
      </c>
      <c r="C13" s="107" t="s">
        <v>37</v>
      </c>
      <c r="D13" s="3"/>
      <c r="E13" s="2" t="s">
        <v>143</v>
      </c>
      <c r="F13" s="2" t="s">
        <v>143</v>
      </c>
      <c r="G13" s="3"/>
      <c r="H13" s="3"/>
      <c r="I13" s="2" t="s">
        <v>143</v>
      </c>
      <c r="J13" s="2" t="s">
        <v>143</v>
      </c>
      <c r="K13" s="2" t="s">
        <v>143</v>
      </c>
      <c r="L13" s="2" t="s">
        <v>143</v>
      </c>
      <c r="M13" s="2" t="s">
        <v>143</v>
      </c>
      <c r="N13" s="3"/>
      <c r="O13" s="3"/>
      <c r="P13" s="2" t="s">
        <v>143</v>
      </c>
      <c r="Q13" s="2" t="s">
        <v>143</v>
      </c>
      <c r="R13" s="2" t="s">
        <v>143</v>
      </c>
      <c r="S13" s="2" t="s">
        <v>143</v>
      </c>
      <c r="T13" s="2" t="s">
        <v>143</v>
      </c>
      <c r="U13" s="3"/>
      <c r="V13" s="3"/>
      <c r="W13" s="2" t="s">
        <v>143</v>
      </c>
      <c r="X13" s="2" t="s">
        <v>143</v>
      </c>
      <c r="Y13" s="2" t="s">
        <v>143</v>
      </c>
      <c r="Z13" s="2" t="s">
        <v>143</v>
      </c>
      <c r="AA13" s="11" t="s">
        <v>141</v>
      </c>
      <c r="AB13" s="3"/>
      <c r="AC13" s="3"/>
      <c r="AD13" s="2" t="s">
        <v>143</v>
      </c>
      <c r="AE13" s="2" t="s">
        <v>143</v>
      </c>
      <c r="AF13" s="2" t="s">
        <v>143</v>
      </c>
      <c r="AG13" s="2" t="s">
        <v>143</v>
      </c>
      <c r="AH13" s="2" t="s">
        <v>143</v>
      </c>
      <c r="AI13" s="3"/>
      <c r="AJ13" s="3"/>
      <c r="AK13" s="2" t="s">
        <v>143</v>
      </c>
      <c r="AL13" s="2" t="s">
        <v>143</v>
      </c>
      <c r="AM13" s="2" t="s">
        <v>143</v>
      </c>
      <c r="AN13" s="2" t="s">
        <v>143</v>
      </c>
      <c r="AO13" s="2" t="s">
        <v>143</v>
      </c>
      <c r="AP13" s="3"/>
      <c r="AQ13" s="3"/>
      <c r="AR13" s="11" t="s">
        <v>141</v>
      </c>
      <c r="AS13" s="11" t="s">
        <v>141</v>
      </c>
      <c r="AT13" s="2" t="s">
        <v>143</v>
      </c>
      <c r="AU13" s="2" t="s">
        <v>143</v>
      </c>
      <c r="AV13" s="2" t="s">
        <v>143</v>
      </c>
      <c r="AW13" s="3"/>
      <c r="AX13" s="3"/>
      <c r="AY13" s="2" t="s">
        <v>143</v>
      </c>
      <c r="AZ13" s="2" t="s">
        <v>143</v>
      </c>
      <c r="BA13" s="2" t="s">
        <v>143</v>
      </c>
      <c r="BB13" s="2" t="s">
        <v>143</v>
      </c>
      <c r="BC13" s="2" t="s">
        <v>143</v>
      </c>
      <c r="BD13" s="3"/>
      <c r="BE13" s="3"/>
      <c r="BF13" s="2" t="s">
        <v>143</v>
      </c>
      <c r="BG13" s="2" t="s">
        <v>143</v>
      </c>
      <c r="BH13" s="2" t="s">
        <v>143</v>
      </c>
      <c r="BI13" s="2" t="s">
        <v>143</v>
      </c>
      <c r="BJ13" s="2" t="s">
        <v>143</v>
      </c>
      <c r="BK13" s="3"/>
      <c r="BL13" s="3"/>
      <c r="BM13" s="11" t="s">
        <v>141</v>
      </c>
      <c r="BN13" s="11" t="s">
        <v>141</v>
      </c>
      <c r="BO13" s="2" t="s">
        <v>143</v>
      </c>
      <c r="BP13" s="2" t="s">
        <v>143</v>
      </c>
      <c r="BQ13" s="2" t="s">
        <v>143</v>
      </c>
      <c r="BR13" s="3"/>
      <c r="BS13" s="3"/>
      <c r="BT13" s="2" t="s">
        <v>143</v>
      </c>
      <c r="BU13" s="2" t="s">
        <v>143</v>
      </c>
      <c r="BV13" s="2" t="s">
        <v>143</v>
      </c>
      <c r="BW13" s="2" t="s">
        <v>143</v>
      </c>
      <c r="BX13" s="2" t="s">
        <v>143</v>
      </c>
      <c r="BY13" s="3"/>
      <c r="BZ13" s="3"/>
      <c r="CA13" s="2" t="s">
        <v>143</v>
      </c>
      <c r="CB13" s="2" t="s">
        <v>143</v>
      </c>
      <c r="CC13" s="2" t="s">
        <v>143</v>
      </c>
      <c r="CD13" s="2" t="s">
        <v>143</v>
      </c>
      <c r="CE13" s="2" t="s">
        <v>143</v>
      </c>
      <c r="CF13" s="3"/>
      <c r="CG13" s="3"/>
      <c r="CH13" s="2" t="s">
        <v>143</v>
      </c>
      <c r="CI13" s="2" t="s">
        <v>143</v>
      </c>
      <c r="CJ13" s="2" t="s">
        <v>143</v>
      </c>
      <c r="CK13" s="2" t="s">
        <v>143</v>
      </c>
      <c r="CL13" s="2" t="s">
        <v>143</v>
      </c>
      <c r="CM13" s="3"/>
      <c r="CN13" s="3"/>
      <c r="CO13" s="2" t="s">
        <v>143</v>
      </c>
      <c r="CP13" s="2" t="s">
        <v>143</v>
      </c>
      <c r="CQ13" s="2" t="s">
        <v>143</v>
      </c>
      <c r="CR13" s="2" t="s">
        <v>143</v>
      </c>
      <c r="CS13" s="2" t="s">
        <v>143</v>
      </c>
      <c r="CT13" s="3"/>
      <c r="CU13" s="3"/>
      <c r="CV13" s="2" t="s">
        <v>143</v>
      </c>
      <c r="CW13" s="2" t="s">
        <v>143</v>
      </c>
      <c r="CX13" s="2" t="s">
        <v>143</v>
      </c>
      <c r="CY13" s="2" t="s">
        <v>143</v>
      </c>
      <c r="CZ13" s="2" t="s">
        <v>143</v>
      </c>
      <c r="DA13" s="3"/>
      <c r="DB13" s="3"/>
      <c r="DC13" s="79" t="s">
        <v>462</v>
      </c>
      <c r="DD13" s="79" t="s">
        <v>462</v>
      </c>
      <c r="DE13" s="2" t="s">
        <v>143</v>
      </c>
      <c r="DF13" s="2" t="s">
        <v>143</v>
      </c>
      <c r="DG13" s="3"/>
      <c r="DH13" s="3"/>
      <c r="DI13" s="3"/>
      <c r="DJ13" s="3"/>
      <c r="DK13" s="2" t="s">
        <v>143</v>
      </c>
      <c r="DL13" s="2" t="s">
        <v>143</v>
      </c>
      <c r="DM13" s="2" t="s">
        <v>143</v>
      </c>
      <c r="DN13" s="2" t="s">
        <v>143</v>
      </c>
      <c r="DO13" s="3"/>
      <c r="DP13" s="3"/>
      <c r="DQ13" s="2" t="s">
        <v>143</v>
      </c>
      <c r="DR13" s="2" t="s">
        <v>143</v>
      </c>
      <c r="DS13" s="2" t="s">
        <v>143</v>
      </c>
      <c r="DT13" s="2" t="s">
        <v>143</v>
      </c>
      <c r="DU13" s="2" t="s">
        <v>143</v>
      </c>
      <c r="DV13" s="3"/>
      <c r="DW13" s="3"/>
      <c r="DX13" s="3"/>
      <c r="DY13" s="81" t="s">
        <v>141</v>
      </c>
      <c r="DZ13" s="2" t="s">
        <v>143</v>
      </c>
      <c r="EA13" s="2" t="s">
        <v>143</v>
      </c>
      <c r="EB13" s="2" t="s">
        <v>143</v>
      </c>
      <c r="EC13" s="3"/>
      <c r="ED13" s="3"/>
      <c r="EE13" s="2" t="s">
        <v>143</v>
      </c>
      <c r="EF13" s="2" t="s">
        <v>143</v>
      </c>
      <c r="EG13" s="2" t="s">
        <v>143</v>
      </c>
      <c r="EH13" s="2" t="s">
        <v>143</v>
      </c>
      <c r="EI13" s="2" t="s">
        <v>143</v>
      </c>
      <c r="EJ13" s="3"/>
      <c r="EK13" s="3"/>
      <c r="EL13" s="2" t="s">
        <v>143</v>
      </c>
      <c r="EM13" s="2" t="s">
        <v>143</v>
      </c>
      <c r="EN13" s="2" t="s">
        <v>143</v>
      </c>
      <c r="EO13" s="2" t="s">
        <v>143</v>
      </c>
      <c r="EP13" s="2" t="s">
        <v>143</v>
      </c>
      <c r="EQ13" s="3"/>
      <c r="ER13" s="3"/>
      <c r="ES13" s="3"/>
      <c r="ET13" s="2" t="s">
        <v>143</v>
      </c>
      <c r="EU13" s="2" t="s">
        <v>143</v>
      </c>
      <c r="EV13" s="2" t="s">
        <v>143</v>
      </c>
      <c r="EW13" s="2" t="s">
        <v>143</v>
      </c>
      <c r="EX13" s="3"/>
      <c r="EY13" s="3"/>
      <c r="EZ13" s="2" t="s">
        <v>143</v>
      </c>
      <c r="FA13" s="2" t="s">
        <v>143</v>
      </c>
      <c r="FB13" s="81" t="s">
        <v>141</v>
      </c>
      <c r="FC13" s="81" t="s">
        <v>141</v>
      </c>
      <c r="FD13" s="81" t="s">
        <v>141</v>
      </c>
      <c r="FE13" s="3"/>
      <c r="FF13" s="3"/>
      <c r="FG13" s="2" t="s">
        <v>143</v>
      </c>
      <c r="FH13" s="2" t="s">
        <v>143</v>
      </c>
      <c r="FI13" s="2" t="s">
        <v>143</v>
      </c>
      <c r="FJ13" s="2" t="s">
        <v>143</v>
      </c>
      <c r="FK13" s="2" t="s">
        <v>143</v>
      </c>
      <c r="FL13" s="3"/>
      <c r="FM13" s="3"/>
      <c r="FN13" s="2" t="s">
        <v>143</v>
      </c>
      <c r="FO13" s="2" t="s">
        <v>143</v>
      </c>
      <c r="FP13" s="2" t="s">
        <v>143</v>
      </c>
      <c r="FQ13" s="2" t="s">
        <v>143</v>
      </c>
      <c r="FR13" s="2" t="s">
        <v>143</v>
      </c>
      <c r="FS13" s="3"/>
      <c r="FT13" s="3"/>
      <c r="FU13" s="81" t="s">
        <v>141</v>
      </c>
      <c r="FV13" s="2" t="s">
        <v>143</v>
      </c>
      <c r="FW13" s="2" t="s">
        <v>143</v>
      </c>
      <c r="FX13" s="2" t="s">
        <v>143</v>
      </c>
      <c r="FY13" s="81" t="s">
        <v>141</v>
      </c>
      <c r="FZ13" s="3"/>
      <c r="GA13" s="3"/>
      <c r="GB13" s="2" t="s">
        <v>143</v>
      </c>
      <c r="GC13" s="2" t="s">
        <v>143</v>
      </c>
      <c r="GD13" s="2" t="s">
        <v>143</v>
      </c>
      <c r="GE13" s="2" t="s">
        <v>143</v>
      </c>
      <c r="GF13" s="2" t="s">
        <v>143</v>
      </c>
      <c r="GG13" s="3"/>
      <c r="GH13" s="3"/>
      <c r="GI13" s="2" t="s">
        <v>143</v>
      </c>
      <c r="GJ13" s="2" t="s">
        <v>143</v>
      </c>
      <c r="GK13" s="2" t="s">
        <v>143</v>
      </c>
      <c r="GL13" s="2" t="s">
        <v>143</v>
      </c>
      <c r="GM13" s="2" t="s">
        <v>143</v>
      </c>
      <c r="GN13" s="3"/>
      <c r="GO13" s="3"/>
      <c r="GP13" s="2" t="s">
        <v>143</v>
      </c>
      <c r="GQ13" s="2" t="s">
        <v>143</v>
      </c>
      <c r="GR13" s="2" t="s">
        <v>143</v>
      </c>
      <c r="GS13" s="2" t="s">
        <v>143</v>
      </c>
      <c r="GT13" s="2" t="s">
        <v>143</v>
      </c>
      <c r="GU13" s="3"/>
      <c r="GV13" s="3"/>
      <c r="GW13" s="80" t="s">
        <v>401</v>
      </c>
      <c r="GX13" s="2" t="s">
        <v>143</v>
      </c>
      <c r="GY13" s="2" t="s">
        <v>143</v>
      </c>
      <c r="GZ13" s="2" t="s">
        <v>143</v>
      </c>
      <c r="HA13" s="2" t="s">
        <v>143</v>
      </c>
      <c r="HB13" s="3"/>
      <c r="HC13" s="3"/>
      <c r="HD13" s="210" t="s">
        <v>444</v>
      </c>
      <c r="HE13" s="210" t="s">
        <v>463</v>
      </c>
      <c r="HF13" s="2" t="s">
        <v>143</v>
      </c>
      <c r="HG13" s="2" t="s">
        <v>143</v>
      </c>
      <c r="HH13" s="81" t="s">
        <v>141</v>
      </c>
      <c r="HI13" s="3"/>
      <c r="HJ13" s="3"/>
      <c r="HK13" s="81" t="s">
        <v>141</v>
      </c>
      <c r="HL13" s="2" t="s">
        <v>143</v>
      </c>
      <c r="HM13" s="2" t="s">
        <v>143</v>
      </c>
      <c r="HN13" s="2" t="s">
        <v>143</v>
      </c>
      <c r="HO13" s="2" t="s">
        <v>143</v>
      </c>
      <c r="HP13" s="3"/>
      <c r="HQ13" s="3"/>
      <c r="HR13" s="50" t="s">
        <v>464</v>
      </c>
      <c r="HS13" s="50" t="s">
        <v>445</v>
      </c>
      <c r="HT13" s="81" t="s">
        <v>141</v>
      </c>
      <c r="HU13" s="81" t="s">
        <v>141</v>
      </c>
      <c r="HV13" s="81" t="s">
        <v>141</v>
      </c>
      <c r="HW13" s="3"/>
      <c r="HX13" s="3"/>
      <c r="HY13" s="81" t="s">
        <v>149</v>
      </c>
      <c r="HZ13" s="81" t="s">
        <v>141</v>
      </c>
      <c r="IA13" s="2" t="s">
        <v>143</v>
      </c>
      <c r="IB13" s="2" t="s">
        <v>143</v>
      </c>
      <c r="IC13" s="81" t="s">
        <v>141</v>
      </c>
      <c r="ID13" s="3"/>
      <c r="IE13" s="3"/>
      <c r="IF13" s="201" t="s">
        <v>386</v>
      </c>
      <c r="IG13" s="211" t="s">
        <v>465</v>
      </c>
      <c r="IH13" s="210" t="s">
        <v>466</v>
      </c>
      <c r="II13" s="2" t="s">
        <v>143</v>
      </c>
      <c r="IJ13" s="211" t="s">
        <v>467</v>
      </c>
      <c r="IK13" s="3"/>
      <c r="IL13" s="3"/>
      <c r="IM13" s="214" t="s">
        <v>143</v>
      </c>
      <c r="IN13" s="214" t="s">
        <v>143</v>
      </c>
      <c r="IO13" s="214" t="s">
        <v>143</v>
      </c>
      <c r="IP13" s="82" t="s">
        <v>301</v>
      </c>
      <c r="IQ13" s="214" t="s">
        <v>143</v>
      </c>
      <c r="IR13" s="3"/>
      <c r="IS13" s="3"/>
      <c r="IT13" s="214" t="s">
        <v>143</v>
      </c>
      <c r="IU13" s="214" t="s">
        <v>143</v>
      </c>
      <c r="IV13" s="214" t="s">
        <v>143</v>
      </c>
      <c r="IW13" s="214" t="s">
        <v>143</v>
      </c>
      <c r="IX13" s="214" t="s">
        <v>143</v>
      </c>
      <c r="IY13" s="3"/>
      <c r="IZ13" s="3"/>
      <c r="JA13" s="214" t="s">
        <v>143</v>
      </c>
      <c r="JB13" s="214" t="s">
        <v>143</v>
      </c>
      <c r="JC13" s="214" t="s">
        <v>143</v>
      </c>
      <c r="JD13" s="214" t="s">
        <v>143</v>
      </c>
      <c r="JE13" s="214" t="s">
        <v>143</v>
      </c>
      <c r="JF13" s="3"/>
      <c r="JG13" s="3"/>
      <c r="JH13" s="82" t="s">
        <v>450</v>
      </c>
      <c r="JI13" s="214" t="s">
        <v>143</v>
      </c>
      <c r="JJ13" s="214" t="s">
        <v>143</v>
      </c>
      <c r="JK13" s="82" t="s">
        <v>468</v>
      </c>
      <c r="JL13" s="214" t="s">
        <v>143</v>
      </c>
      <c r="JM13" s="3"/>
      <c r="JN13" s="3"/>
      <c r="JO13" s="218" t="s">
        <v>141</v>
      </c>
      <c r="JP13" s="218" t="s">
        <v>141</v>
      </c>
      <c r="JQ13" s="218" t="s">
        <v>141</v>
      </c>
      <c r="JR13" s="218" t="s">
        <v>141</v>
      </c>
      <c r="JS13" s="218" t="s">
        <v>141</v>
      </c>
      <c r="JT13" s="3"/>
      <c r="JU13" s="3"/>
      <c r="JV13" s="214" t="s">
        <v>143</v>
      </c>
      <c r="JW13" s="218" t="s">
        <v>141</v>
      </c>
      <c r="JX13" s="82" t="s">
        <v>469</v>
      </c>
      <c r="JY13" s="82" t="s">
        <v>451</v>
      </c>
      <c r="JZ13" s="214" t="s">
        <v>143</v>
      </c>
      <c r="KA13" s="3"/>
      <c r="KB13" s="3"/>
      <c r="KC13" s="214" t="s">
        <v>143</v>
      </c>
      <c r="KD13" s="214" t="s">
        <v>143</v>
      </c>
      <c r="KE13" s="82" t="s">
        <v>470</v>
      </c>
      <c r="KF13" s="214" t="s">
        <v>143</v>
      </c>
      <c r="KG13" s="214" t="s">
        <v>143</v>
      </c>
      <c r="KH13" s="3"/>
      <c r="KI13" s="3"/>
      <c r="KJ13" s="82" t="s">
        <v>453</v>
      </c>
      <c r="KK13" s="214" t="s">
        <v>143</v>
      </c>
      <c r="KL13" s="82" t="s">
        <v>453</v>
      </c>
      <c r="KM13" s="82" t="s">
        <v>453</v>
      </c>
      <c r="KN13" s="82" t="s">
        <v>453</v>
      </c>
      <c r="KO13" s="3"/>
      <c r="KP13" s="3"/>
      <c r="KQ13" s="218" t="s">
        <v>141</v>
      </c>
      <c r="KR13" s="82" t="s">
        <v>453</v>
      </c>
      <c r="KS13" s="82" t="s">
        <v>453</v>
      </c>
      <c r="KT13" s="82" t="s">
        <v>453</v>
      </c>
      <c r="KU13" s="82" t="s">
        <v>453</v>
      </c>
      <c r="KV13" s="3"/>
      <c r="KW13" s="3"/>
      <c r="KX13" s="82" t="s">
        <v>471</v>
      </c>
      <c r="KY13" s="82" t="s">
        <v>453</v>
      </c>
      <c r="KZ13" s="82" t="s">
        <v>453</v>
      </c>
      <c r="LA13" s="82" t="s">
        <v>453</v>
      </c>
      <c r="LB13" s="82" t="s">
        <v>453</v>
      </c>
      <c r="LC13" s="3"/>
      <c r="LD13" s="3"/>
      <c r="LE13" s="82" t="s">
        <v>428</v>
      </c>
      <c r="LF13" s="214" t="s">
        <v>143</v>
      </c>
      <c r="LG13" s="214" t="s">
        <v>143</v>
      </c>
      <c r="LH13" s="214" t="s">
        <v>143</v>
      </c>
      <c r="LI13" s="214" t="s">
        <v>143</v>
      </c>
      <c r="LJ13" s="3"/>
      <c r="LK13" s="3"/>
      <c r="LL13" s="214" t="s">
        <v>143</v>
      </c>
      <c r="LM13" s="82" t="s">
        <v>289</v>
      </c>
      <c r="LN13" s="214" t="s">
        <v>143</v>
      </c>
      <c r="LO13" s="82" t="s">
        <v>472</v>
      </c>
      <c r="LP13" s="218" t="s">
        <v>141</v>
      </c>
      <c r="LQ13" s="3"/>
      <c r="LR13" s="3"/>
      <c r="LS13" s="214" t="s">
        <v>143</v>
      </c>
      <c r="LT13" s="214" t="s">
        <v>143</v>
      </c>
      <c r="LU13" s="214" t="s">
        <v>143</v>
      </c>
      <c r="LV13" s="214" t="s">
        <v>143</v>
      </c>
      <c r="LW13" s="214" t="s">
        <v>143</v>
      </c>
      <c r="LX13" s="3"/>
      <c r="LY13" s="3"/>
      <c r="LZ13" s="214" t="s">
        <v>143</v>
      </c>
      <c r="MA13" s="214" t="s">
        <v>143</v>
      </c>
      <c r="MB13" s="214" t="s">
        <v>143</v>
      </c>
      <c r="MC13" s="214" t="s">
        <v>143</v>
      </c>
      <c r="MD13" s="214" t="s">
        <v>143</v>
      </c>
      <c r="ME13" s="3"/>
      <c r="MF13" s="3"/>
      <c r="MG13" s="214" t="s">
        <v>143</v>
      </c>
      <c r="MH13" s="214" t="s">
        <v>143</v>
      </c>
      <c r="MI13" s="214" t="s">
        <v>143</v>
      </c>
      <c r="MJ13" s="214" t="s">
        <v>143</v>
      </c>
      <c r="MK13" s="214" t="s">
        <v>143</v>
      </c>
      <c r="ML13" s="3"/>
      <c r="MM13" s="3"/>
      <c r="MN13" s="82" t="s">
        <v>473</v>
      </c>
      <c r="MO13" s="214" t="s">
        <v>143</v>
      </c>
      <c r="MP13" s="214" t="s">
        <v>143</v>
      </c>
      <c r="MQ13" s="214" t="s">
        <v>143</v>
      </c>
      <c r="MR13" s="82" t="s">
        <v>470</v>
      </c>
      <c r="MS13" s="3"/>
      <c r="MT13" s="3"/>
      <c r="MU13" s="213" t="s">
        <v>474</v>
      </c>
      <c r="MV13" s="214" t="s">
        <v>143</v>
      </c>
      <c r="MW13" s="214" t="s">
        <v>143</v>
      </c>
      <c r="MX13" s="3"/>
      <c r="MY13" s="3"/>
      <c r="MZ13" s="3"/>
      <c r="NA13" s="3"/>
      <c r="NB13" s="214" t="s">
        <v>143</v>
      </c>
      <c r="NC13" s="214" t="s">
        <v>143</v>
      </c>
      <c r="ND13" s="214" t="s">
        <v>143</v>
      </c>
      <c r="NE13" s="3"/>
      <c r="NF13" s="214" t="s">
        <v>143</v>
      </c>
    </row>
    <row r="14" spans="1:374">
      <c r="A14" s="104" t="s">
        <v>20</v>
      </c>
      <c r="B14" s="42"/>
      <c r="C14" s="108"/>
      <c r="D14" s="3"/>
      <c r="E14" s="42"/>
      <c r="F14" s="42"/>
      <c r="G14" s="3"/>
      <c r="H14" s="3"/>
      <c r="I14" s="42"/>
      <c r="J14" s="42"/>
      <c r="K14" s="42"/>
      <c r="L14" s="42"/>
      <c r="M14" s="42"/>
      <c r="N14" s="3"/>
      <c r="O14" s="3"/>
      <c r="P14" s="42"/>
      <c r="Q14" s="42"/>
      <c r="R14" s="42"/>
      <c r="S14" s="42"/>
      <c r="T14" s="42"/>
      <c r="U14" s="24"/>
      <c r="V14" s="24"/>
      <c r="W14" s="42"/>
      <c r="X14" s="42"/>
      <c r="Y14" s="42"/>
      <c r="Z14" s="42"/>
      <c r="AA14" s="42"/>
      <c r="AB14" s="24"/>
      <c r="AC14" s="24"/>
      <c r="AD14" s="42"/>
      <c r="AE14" s="42"/>
      <c r="AF14" s="42"/>
      <c r="AG14" s="42"/>
      <c r="AH14" s="42"/>
      <c r="AI14" s="24"/>
      <c r="AJ14" s="24"/>
      <c r="AK14" s="39"/>
      <c r="AL14" s="39"/>
      <c r="AM14" s="39"/>
      <c r="AN14" s="39"/>
      <c r="AO14" s="39"/>
      <c r="AP14" s="24"/>
      <c r="AQ14" s="24"/>
      <c r="AR14" s="39"/>
      <c r="AS14" s="39"/>
      <c r="AT14" s="39"/>
      <c r="AU14" s="39"/>
      <c r="AV14" s="39"/>
      <c r="AW14" s="24"/>
      <c r="AX14" s="24"/>
      <c r="AY14" s="39"/>
      <c r="AZ14" s="39"/>
      <c r="BA14" s="39"/>
      <c r="BB14" s="39"/>
      <c r="BC14" s="39"/>
      <c r="BD14" s="24"/>
      <c r="BE14" s="24"/>
      <c r="BF14" s="39"/>
      <c r="BG14" s="39"/>
      <c r="BH14" s="39"/>
      <c r="BI14" s="39"/>
      <c r="BJ14" s="39"/>
      <c r="BK14" s="24"/>
      <c r="BL14" s="24"/>
      <c r="BM14" s="39"/>
      <c r="BN14" s="39"/>
      <c r="BO14" s="39"/>
      <c r="BP14" s="39"/>
      <c r="BQ14" s="39"/>
      <c r="BR14" s="24"/>
      <c r="BS14" s="24"/>
      <c r="BT14" s="39"/>
      <c r="BU14" s="39"/>
      <c r="BV14" s="39"/>
      <c r="BW14" s="39"/>
      <c r="BX14" s="39"/>
      <c r="BY14" s="24"/>
      <c r="BZ14" s="24"/>
      <c r="CA14" s="39"/>
      <c r="CB14" s="39"/>
      <c r="CC14" s="39"/>
      <c r="CD14" s="39"/>
      <c r="CE14" s="39"/>
      <c r="CF14" s="24"/>
      <c r="CG14" s="24"/>
      <c r="CH14" s="39"/>
      <c r="CI14" s="39"/>
      <c r="CJ14" s="39"/>
      <c r="CK14" s="39"/>
      <c r="CL14" s="39"/>
      <c r="CM14" s="24"/>
      <c r="CN14" s="24"/>
      <c r="CO14" s="39"/>
      <c r="CP14" s="39"/>
      <c r="CQ14" s="39"/>
      <c r="CR14" s="39"/>
      <c r="CS14" s="39"/>
      <c r="CT14" s="24"/>
      <c r="CU14" s="24"/>
      <c r="CV14" s="39"/>
      <c r="CW14" s="39"/>
      <c r="CX14" s="39"/>
      <c r="CY14" s="39"/>
      <c r="CZ14" s="39"/>
      <c r="DA14" s="24"/>
      <c r="DB14" s="24"/>
      <c r="DC14" s="39"/>
      <c r="DD14" s="39"/>
      <c r="DE14" s="39"/>
      <c r="DF14" s="39"/>
      <c r="DG14" s="24"/>
      <c r="DH14" s="24"/>
      <c r="DI14" s="24"/>
      <c r="DJ14" s="24"/>
      <c r="DK14" s="39"/>
      <c r="DL14" s="39"/>
      <c r="DM14" s="39"/>
      <c r="DN14" s="39"/>
      <c r="DO14" s="24"/>
      <c r="DP14" s="24"/>
      <c r="DQ14" s="39"/>
      <c r="DR14" s="39"/>
      <c r="DS14" s="39"/>
      <c r="DT14" s="39"/>
      <c r="DU14" s="39"/>
      <c r="DV14" s="24"/>
      <c r="DW14" s="24"/>
      <c r="DX14" s="24"/>
      <c r="DY14" s="39"/>
      <c r="DZ14" s="39"/>
      <c r="EA14" s="39"/>
      <c r="EB14" s="39"/>
      <c r="EC14" s="24"/>
      <c r="ED14" s="24"/>
      <c r="EE14" s="39"/>
      <c r="EF14" s="39"/>
      <c r="EG14" s="39"/>
      <c r="EH14" s="39"/>
      <c r="EI14" s="39"/>
      <c r="EJ14" s="24"/>
      <c r="EK14" s="24"/>
      <c r="EL14" s="39"/>
      <c r="EM14" s="39"/>
      <c r="EN14" s="39"/>
      <c r="EO14" s="39"/>
      <c r="EP14" s="39"/>
      <c r="EQ14" s="24"/>
      <c r="ER14" s="24"/>
      <c r="ES14" s="24"/>
      <c r="ET14" s="39"/>
      <c r="EU14" s="39"/>
      <c r="EV14" s="39"/>
      <c r="EW14" s="39"/>
      <c r="EX14" s="24"/>
      <c r="EY14" s="24"/>
      <c r="EZ14" s="39"/>
      <c r="FA14" s="39"/>
      <c r="FB14" s="39"/>
      <c r="FC14" s="39"/>
      <c r="FD14" s="39"/>
      <c r="FE14" s="24"/>
      <c r="FF14" s="24"/>
      <c r="FG14" s="39"/>
      <c r="FH14" s="39"/>
      <c r="FI14" s="39"/>
      <c r="FJ14" s="39"/>
      <c r="FK14" s="39"/>
      <c r="FL14" s="24"/>
      <c r="FM14" s="24"/>
      <c r="FN14" s="39"/>
      <c r="FO14" s="39"/>
      <c r="FP14" s="39"/>
      <c r="FQ14" s="39"/>
      <c r="FR14" s="39"/>
      <c r="FS14" s="24"/>
      <c r="FT14" s="24"/>
      <c r="FU14" s="39"/>
      <c r="FV14" s="39"/>
      <c r="FW14" s="39"/>
      <c r="FX14" s="39"/>
      <c r="FY14" s="39"/>
      <c r="FZ14" s="24"/>
      <c r="GA14" s="24"/>
      <c r="GB14" s="39"/>
      <c r="GC14" s="39"/>
      <c r="GD14" s="39"/>
      <c r="GE14" s="39"/>
      <c r="GF14" s="39"/>
      <c r="GG14" s="24"/>
      <c r="GH14" s="24"/>
      <c r="GI14" s="39"/>
      <c r="GJ14" s="39"/>
      <c r="GK14" s="39"/>
      <c r="GL14" s="39"/>
      <c r="GM14" s="39"/>
      <c r="GN14" s="24"/>
      <c r="GO14" s="24"/>
      <c r="GP14" s="39"/>
      <c r="GQ14" s="39"/>
      <c r="GR14" s="39"/>
      <c r="GS14" s="39"/>
      <c r="GT14" s="39"/>
      <c r="GU14" s="24"/>
      <c r="GV14" s="24"/>
      <c r="GW14" s="39"/>
      <c r="GX14" s="39"/>
      <c r="GY14" s="39"/>
      <c r="GZ14" s="39"/>
      <c r="HA14" s="39"/>
      <c r="HB14" s="24"/>
      <c r="HC14" s="24"/>
      <c r="HD14" s="39"/>
      <c r="HE14" s="39"/>
      <c r="HF14" s="39"/>
      <c r="HG14" s="39"/>
      <c r="HH14" s="39"/>
      <c r="HI14" s="24"/>
      <c r="HJ14" s="24"/>
      <c r="HK14" s="39"/>
      <c r="HL14" s="39"/>
      <c r="HM14" s="39"/>
      <c r="HN14" s="39"/>
      <c r="HO14" s="39"/>
      <c r="HP14" s="24"/>
      <c r="HQ14" s="24"/>
      <c r="HR14" s="39"/>
      <c r="HS14" s="39"/>
      <c r="HT14" s="39"/>
      <c r="HU14" s="39"/>
      <c r="HV14" s="39"/>
      <c r="HW14" s="24"/>
      <c r="HX14" s="24"/>
      <c r="HY14" s="39"/>
      <c r="HZ14" s="39"/>
      <c r="IA14" s="39"/>
      <c r="IB14" s="39"/>
      <c r="IC14" s="39"/>
      <c r="ID14" s="24"/>
      <c r="IE14" s="24"/>
      <c r="IF14" s="39"/>
      <c r="IG14" s="39"/>
      <c r="IH14" s="39"/>
      <c r="II14" s="39"/>
      <c r="IJ14" s="39"/>
      <c r="IK14" s="24"/>
      <c r="IL14" s="24"/>
      <c r="IM14" s="39"/>
      <c r="IN14" s="39"/>
      <c r="IO14" s="39"/>
      <c r="IP14" s="39"/>
      <c r="IQ14" s="39"/>
      <c r="IR14" s="24"/>
      <c r="IS14" s="24"/>
      <c r="IT14" s="39"/>
      <c r="IU14" s="39"/>
      <c r="IV14" s="39"/>
      <c r="IW14" s="39"/>
      <c r="IX14" s="39"/>
      <c r="IY14" s="24"/>
      <c r="IZ14" s="24"/>
      <c r="JA14" s="39"/>
      <c r="JB14" s="39"/>
      <c r="JC14" s="39"/>
      <c r="JD14" s="39"/>
      <c r="JE14" s="39"/>
      <c r="JF14" s="24"/>
      <c r="JG14" s="24"/>
      <c r="JH14" s="39"/>
      <c r="JI14" s="39"/>
      <c r="JJ14" s="39"/>
      <c r="JK14" s="39"/>
      <c r="JL14" s="39"/>
      <c r="JM14" s="24"/>
      <c r="JN14" s="24"/>
      <c r="JO14" s="39"/>
      <c r="JP14" s="39"/>
      <c r="JQ14" s="39"/>
      <c r="JR14" s="39"/>
      <c r="JS14" s="39"/>
      <c r="JT14" s="24"/>
      <c r="JU14" s="24"/>
      <c r="JV14" s="39"/>
      <c r="JW14" s="39"/>
      <c r="JX14" s="39"/>
      <c r="JY14" s="39"/>
      <c r="JZ14" s="39"/>
      <c r="KA14" s="24"/>
      <c r="KB14" s="24"/>
      <c r="KC14" s="39"/>
      <c r="KD14" s="39"/>
      <c r="KE14" s="39"/>
      <c r="KF14" s="39"/>
      <c r="KG14" s="39"/>
      <c r="KH14" s="24"/>
      <c r="KI14" s="24"/>
      <c r="KJ14" s="39"/>
      <c r="KK14" s="39"/>
      <c r="KL14" s="39"/>
      <c r="KM14" s="39"/>
      <c r="KN14" s="39"/>
      <c r="KO14" s="24"/>
      <c r="KP14" s="24"/>
      <c r="KQ14" s="39"/>
      <c r="KR14" s="39"/>
      <c r="KS14" s="39"/>
      <c r="KT14" s="39"/>
      <c r="KU14" s="39"/>
      <c r="KV14" s="24"/>
      <c r="KW14" s="24"/>
      <c r="KX14" s="39"/>
      <c r="KY14" s="39"/>
      <c r="KZ14" s="39"/>
      <c r="LA14" s="39"/>
      <c r="LB14" s="39"/>
      <c r="LC14" s="24"/>
      <c r="LD14" s="24"/>
      <c r="LE14" s="39"/>
      <c r="LF14" s="39"/>
      <c r="LG14" s="39"/>
      <c r="LH14" s="39"/>
      <c r="LI14" s="39"/>
      <c r="LJ14" s="24"/>
      <c r="LK14" s="24"/>
      <c r="LL14" s="39"/>
      <c r="LM14" s="39"/>
      <c r="LN14" s="39"/>
      <c r="LO14" s="39"/>
      <c r="LP14" s="39"/>
      <c r="LQ14" s="24"/>
      <c r="LR14" s="24"/>
      <c r="LS14" s="39"/>
      <c r="LT14" s="39"/>
      <c r="LU14" s="39"/>
      <c r="LV14" s="39"/>
      <c r="LW14" s="39"/>
      <c r="LX14" s="24"/>
      <c r="LY14" s="24"/>
      <c r="LZ14" s="39"/>
      <c r="MA14" s="39"/>
      <c r="MB14" s="39"/>
      <c r="MC14" s="39"/>
      <c r="MD14" s="39"/>
      <c r="ME14" s="24"/>
      <c r="MF14" s="24"/>
      <c r="MG14" s="39"/>
      <c r="MH14" s="39"/>
      <c r="MI14" s="39"/>
      <c r="MJ14" s="39"/>
      <c r="MK14" s="39"/>
      <c r="ML14" s="24"/>
      <c r="MM14" s="24"/>
      <c r="MN14" s="39"/>
      <c r="MO14" s="39"/>
      <c r="MP14" s="39"/>
      <c r="MQ14" s="39"/>
      <c r="MR14" s="39"/>
      <c r="MS14" s="24"/>
      <c r="MT14" s="24"/>
      <c r="MU14" s="39"/>
      <c r="MV14" s="39"/>
      <c r="MW14" s="39"/>
      <c r="MX14" s="24"/>
      <c r="MY14" s="24"/>
      <c r="MZ14" s="24"/>
      <c r="NA14" s="24"/>
      <c r="NB14" s="39"/>
      <c r="NC14" s="39"/>
      <c r="ND14" s="39"/>
      <c r="NE14" s="24"/>
      <c r="NF14" s="199"/>
    </row>
    <row r="15" spans="1:374" ht="14.25" customHeight="1">
      <c r="A15" s="106" t="s">
        <v>184</v>
      </c>
      <c r="B15" s="48" t="s">
        <v>37</v>
      </c>
      <c r="C15" s="107" t="s">
        <v>37</v>
      </c>
      <c r="D15" s="3"/>
      <c r="E15" s="80" t="s">
        <v>151</v>
      </c>
      <c r="F15" s="2" t="s">
        <v>143</v>
      </c>
      <c r="G15" s="3"/>
      <c r="H15" s="3"/>
      <c r="I15" s="2" t="s">
        <v>143</v>
      </c>
      <c r="J15" s="2" t="s">
        <v>143</v>
      </c>
      <c r="K15" s="2" t="s">
        <v>143</v>
      </c>
      <c r="L15" s="2" t="s">
        <v>143</v>
      </c>
      <c r="M15" s="2" t="s">
        <v>143</v>
      </c>
      <c r="N15" s="3"/>
      <c r="O15" s="3"/>
      <c r="P15" s="11" t="s">
        <v>141</v>
      </c>
      <c r="Q15" s="11" t="s">
        <v>141</v>
      </c>
      <c r="R15" s="11" t="s">
        <v>141</v>
      </c>
      <c r="S15" s="11" t="s">
        <v>141</v>
      </c>
      <c r="T15" s="11" t="s">
        <v>141</v>
      </c>
      <c r="U15" s="3"/>
      <c r="V15" s="3"/>
      <c r="W15" s="11" t="s">
        <v>141</v>
      </c>
      <c r="X15" s="11" t="s">
        <v>141</v>
      </c>
      <c r="Y15" s="11" t="s">
        <v>141</v>
      </c>
      <c r="Z15" s="11" t="s">
        <v>141</v>
      </c>
      <c r="AA15" s="11" t="s">
        <v>141</v>
      </c>
      <c r="AB15" s="3"/>
      <c r="AC15" s="3"/>
      <c r="AD15" s="11" t="s">
        <v>141</v>
      </c>
      <c r="AE15" s="11" t="s">
        <v>141</v>
      </c>
      <c r="AF15" s="11" t="s">
        <v>141</v>
      </c>
      <c r="AG15" s="11" t="s">
        <v>141</v>
      </c>
      <c r="AH15" s="11" t="s">
        <v>141</v>
      </c>
      <c r="AI15" s="3"/>
      <c r="AJ15" s="3"/>
      <c r="AK15" s="11" t="s">
        <v>141</v>
      </c>
      <c r="AL15" s="11" t="s">
        <v>141</v>
      </c>
      <c r="AM15" s="11" t="s">
        <v>141</v>
      </c>
      <c r="AN15" s="11" t="s">
        <v>141</v>
      </c>
      <c r="AO15" s="11" t="s">
        <v>141</v>
      </c>
      <c r="AP15" s="3"/>
      <c r="AQ15" s="3"/>
      <c r="AR15" s="11" t="s">
        <v>141</v>
      </c>
      <c r="AS15" s="11" t="s">
        <v>141</v>
      </c>
      <c r="AT15" s="2" t="s">
        <v>143</v>
      </c>
      <c r="AU15" s="2" t="s">
        <v>143</v>
      </c>
      <c r="AV15" s="2" t="s">
        <v>143</v>
      </c>
      <c r="AW15" s="3"/>
      <c r="AX15" s="3"/>
      <c r="AY15" s="2" t="s">
        <v>143</v>
      </c>
      <c r="AZ15" s="2" t="s">
        <v>143</v>
      </c>
      <c r="BA15" s="2" t="s">
        <v>143</v>
      </c>
      <c r="BB15" s="2" t="s">
        <v>143</v>
      </c>
      <c r="BC15" s="2" t="s">
        <v>143</v>
      </c>
      <c r="BD15" s="3"/>
      <c r="BE15" s="3"/>
      <c r="BF15" s="2" t="s">
        <v>143</v>
      </c>
      <c r="BG15" s="2" t="s">
        <v>143</v>
      </c>
      <c r="BH15" s="2" t="s">
        <v>143</v>
      </c>
      <c r="BI15" s="10" t="s">
        <v>172</v>
      </c>
      <c r="BJ15" s="2" t="s">
        <v>143</v>
      </c>
      <c r="BK15" s="3"/>
      <c r="BL15" s="3"/>
      <c r="BM15" s="2" t="s">
        <v>143</v>
      </c>
      <c r="BN15" s="2" t="s">
        <v>143</v>
      </c>
      <c r="BO15" s="2" t="s">
        <v>143</v>
      </c>
      <c r="BP15" s="2" t="s">
        <v>143</v>
      </c>
      <c r="BQ15" s="2" t="s">
        <v>143</v>
      </c>
      <c r="BR15" s="3"/>
      <c r="BS15" s="3"/>
      <c r="BT15" s="2" t="s">
        <v>143</v>
      </c>
      <c r="BU15" s="2" t="s">
        <v>143</v>
      </c>
      <c r="BV15" s="2" t="s">
        <v>143</v>
      </c>
      <c r="BW15" s="2" t="s">
        <v>143</v>
      </c>
      <c r="BX15" s="2" t="s">
        <v>143</v>
      </c>
      <c r="BY15" s="3"/>
      <c r="BZ15" s="3"/>
      <c r="CA15" s="80" t="s">
        <v>475</v>
      </c>
      <c r="CB15" s="80" t="s">
        <v>475</v>
      </c>
      <c r="CC15" s="80" t="s">
        <v>475</v>
      </c>
      <c r="CD15" s="80" t="s">
        <v>475</v>
      </c>
      <c r="CE15" s="80" t="s">
        <v>475</v>
      </c>
      <c r="CF15" s="3"/>
      <c r="CG15" s="3"/>
      <c r="CH15" s="2" t="s">
        <v>143</v>
      </c>
      <c r="CI15" s="2" t="s">
        <v>143</v>
      </c>
      <c r="CJ15" s="11" t="s">
        <v>141</v>
      </c>
      <c r="CK15" s="11" t="s">
        <v>141</v>
      </c>
      <c r="CL15" s="11" t="s">
        <v>141</v>
      </c>
      <c r="CM15" s="3"/>
      <c r="CN15" s="3"/>
      <c r="CO15" s="2" t="s">
        <v>143</v>
      </c>
      <c r="CP15" s="2" t="s">
        <v>143</v>
      </c>
      <c r="CQ15" s="2" t="s">
        <v>143</v>
      </c>
      <c r="CR15" s="2" t="s">
        <v>143</v>
      </c>
      <c r="CS15" s="2" t="s">
        <v>143</v>
      </c>
      <c r="CT15" s="3"/>
      <c r="CU15" s="3"/>
      <c r="CV15" s="2" t="s">
        <v>143</v>
      </c>
      <c r="CW15" s="2" t="s">
        <v>143</v>
      </c>
      <c r="CX15" s="2" t="s">
        <v>143</v>
      </c>
      <c r="CY15" s="2" t="s">
        <v>143</v>
      </c>
      <c r="CZ15" s="2" t="s">
        <v>143</v>
      </c>
      <c r="DA15" s="3"/>
      <c r="DB15" s="3"/>
      <c r="DC15" s="2" t="s">
        <v>143</v>
      </c>
      <c r="DD15" s="2" t="s">
        <v>143</v>
      </c>
      <c r="DE15" s="2" t="s">
        <v>143</v>
      </c>
      <c r="DF15" s="2" t="s">
        <v>143</v>
      </c>
      <c r="DG15" s="3"/>
      <c r="DH15" s="3"/>
      <c r="DI15" s="3"/>
      <c r="DJ15" s="3"/>
      <c r="DK15" s="2" t="s">
        <v>143</v>
      </c>
      <c r="DL15" s="2" t="s">
        <v>143</v>
      </c>
      <c r="DM15" s="2" t="s">
        <v>143</v>
      </c>
      <c r="DN15" s="80" t="s">
        <v>476</v>
      </c>
      <c r="DO15" s="80" t="s">
        <v>476</v>
      </c>
      <c r="DP15" s="80" t="s">
        <v>476</v>
      </c>
      <c r="DQ15" s="80" t="s">
        <v>476</v>
      </c>
      <c r="DR15" s="81" t="s">
        <v>141</v>
      </c>
      <c r="DS15" s="2" t="s">
        <v>143</v>
      </c>
      <c r="DT15" s="2" t="s">
        <v>143</v>
      </c>
      <c r="DU15" s="2" t="s">
        <v>143</v>
      </c>
      <c r="DV15" s="3"/>
      <c r="DW15" s="3"/>
      <c r="DX15" s="3"/>
      <c r="DY15" s="2" t="s">
        <v>143</v>
      </c>
      <c r="DZ15" s="2" t="s">
        <v>143</v>
      </c>
      <c r="EA15" s="81" t="s">
        <v>141</v>
      </c>
      <c r="EB15" s="2" t="s">
        <v>143</v>
      </c>
      <c r="EC15" s="3"/>
      <c r="ED15" s="3"/>
      <c r="EE15" s="2" t="s">
        <v>143</v>
      </c>
      <c r="EF15" s="2" t="s">
        <v>143</v>
      </c>
      <c r="EG15" s="2" t="s">
        <v>143</v>
      </c>
      <c r="EH15" s="2" t="s">
        <v>143</v>
      </c>
      <c r="EI15" s="2" t="s">
        <v>143</v>
      </c>
      <c r="EJ15" s="3"/>
      <c r="EK15" s="3"/>
      <c r="EL15" s="2" t="s">
        <v>143</v>
      </c>
      <c r="EM15" s="2" t="s">
        <v>143</v>
      </c>
      <c r="EN15" s="2" t="s">
        <v>143</v>
      </c>
      <c r="EO15" s="2" t="s">
        <v>143</v>
      </c>
      <c r="EP15" s="2" t="s">
        <v>143</v>
      </c>
      <c r="EQ15" s="3"/>
      <c r="ER15" s="3"/>
      <c r="ES15" s="3"/>
      <c r="ET15" s="2" t="s">
        <v>143</v>
      </c>
      <c r="EU15" s="2" t="s">
        <v>143</v>
      </c>
      <c r="EV15" s="2" t="s">
        <v>143</v>
      </c>
      <c r="EW15" s="2" t="s">
        <v>143</v>
      </c>
      <c r="EX15" s="3"/>
      <c r="EY15" s="3"/>
      <c r="EZ15" s="2" t="s">
        <v>143</v>
      </c>
      <c r="FA15" s="2" t="s">
        <v>143</v>
      </c>
      <c r="FB15" s="2" t="s">
        <v>143</v>
      </c>
      <c r="FC15" s="2" t="s">
        <v>143</v>
      </c>
      <c r="FD15" s="2" t="s">
        <v>143</v>
      </c>
      <c r="FE15" s="3"/>
      <c r="FF15" s="3"/>
      <c r="FG15" s="2" t="s">
        <v>143</v>
      </c>
      <c r="FH15" s="2" t="s">
        <v>143</v>
      </c>
      <c r="FI15" s="2" t="s">
        <v>143</v>
      </c>
      <c r="FJ15" s="2" t="s">
        <v>143</v>
      </c>
      <c r="FK15" s="2" t="s">
        <v>143</v>
      </c>
      <c r="FL15" s="3"/>
      <c r="FM15" s="3"/>
      <c r="FN15" s="2" t="s">
        <v>143</v>
      </c>
      <c r="FO15" s="2" t="s">
        <v>143</v>
      </c>
      <c r="FP15" s="2" t="s">
        <v>143</v>
      </c>
      <c r="FQ15" s="2" t="s">
        <v>143</v>
      </c>
      <c r="FR15" s="2" t="s">
        <v>143</v>
      </c>
      <c r="FS15" s="3"/>
      <c r="FT15" s="3"/>
      <c r="FU15" s="2" t="s">
        <v>143</v>
      </c>
      <c r="FV15" s="2" t="s">
        <v>143</v>
      </c>
      <c r="FW15" s="2" t="s">
        <v>143</v>
      </c>
      <c r="FX15" s="2" t="s">
        <v>143</v>
      </c>
      <c r="FY15" s="2" t="s">
        <v>143</v>
      </c>
      <c r="FZ15" s="3"/>
      <c r="GA15" s="3"/>
      <c r="GB15" s="2" t="s">
        <v>143</v>
      </c>
      <c r="GC15" s="2" t="s">
        <v>143</v>
      </c>
      <c r="GD15" s="2" t="s">
        <v>143</v>
      </c>
      <c r="GE15" s="2" t="s">
        <v>143</v>
      </c>
      <c r="GF15" s="2" t="s">
        <v>143</v>
      </c>
      <c r="GG15" s="3"/>
      <c r="GH15" s="3"/>
      <c r="GI15" s="2" t="s">
        <v>143</v>
      </c>
      <c r="GJ15" s="2" t="s">
        <v>143</v>
      </c>
      <c r="GK15" s="2" t="s">
        <v>143</v>
      </c>
      <c r="GL15" s="2" t="s">
        <v>143</v>
      </c>
      <c r="GM15" s="81" t="s">
        <v>141</v>
      </c>
      <c r="GN15" s="3"/>
      <c r="GO15" s="3"/>
      <c r="GP15" s="2" t="s">
        <v>143</v>
      </c>
      <c r="GQ15" s="2" t="s">
        <v>143</v>
      </c>
      <c r="GR15" s="2" t="s">
        <v>143</v>
      </c>
      <c r="GS15" s="2" t="s">
        <v>143</v>
      </c>
      <c r="GT15" s="2" t="s">
        <v>143</v>
      </c>
      <c r="GU15" s="3"/>
      <c r="GV15" s="3"/>
      <c r="GW15" s="2" t="s">
        <v>143</v>
      </c>
      <c r="GX15" s="2" t="s">
        <v>143</v>
      </c>
      <c r="GY15" s="210" t="s">
        <v>399</v>
      </c>
      <c r="GZ15" s="2" t="s">
        <v>143</v>
      </c>
      <c r="HA15" s="2" t="s">
        <v>143</v>
      </c>
      <c r="HB15" s="3"/>
      <c r="HC15" s="3"/>
      <c r="HD15" s="210" t="s">
        <v>477</v>
      </c>
      <c r="HE15" s="2" t="s">
        <v>143</v>
      </c>
      <c r="HF15" s="2" t="s">
        <v>143</v>
      </c>
      <c r="HG15" s="210" t="s">
        <v>478</v>
      </c>
      <c r="HH15" s="2" t="s">
        <v>143</v>
      </c>
      <c r="HI15" s="3"/>
      <c r="HJ15" s="3"/>
      <c r="HK15" s="2" t="s">
        <v>143</v>
      </c>
      <c r="HL15" s="2" t="s">
        <v>143</v>
      </c>
      <c r="HM15" s="50" t="s">
        <v>332</v>
      </c>
      <c r="HN15" s="50" t="s">
        <v>479</v>
      </c>
      <c r="HO15" s="2" t="s">
        <v>143</v>
      </c>
      <c r="HP15" s="3"/>
      <c r="HQ15" s="3"/>
      <c r="HR15" s="210" t="s">
        <v>331</v>
      </c>
      <c r="HS15" s="2" t="s">
        <v>143</v>
      </c>
      <c r="HT15" s="2" t="s">
        <v>143</v>
      </c>
      <c r="HU15" s="81" t="s">
        <v>141</v>
      </c>
      <c r="HV15" s="81" t="s">
        <v>141</v>
      </c>
      <c r="HW15" s="3"/>
      <c r="HX15" s="3"/>
      <c r="HY15" s="2" t="s">
        <v>143</v>
      </c>
      <c r="HZ15" s="2" t="s">
        <v>143</v>
      </c>
      <c r="IA15" s="2" t="s">
        <v>143</v>
      </c>
      <c r="IB15" s="211" t="s">
        <v>423</v>
      </c>
      <c r="IC15" s="2" t="s">
        <v>143</v>
      </c>
      <c r="ID15" s="3"/>
      <c r="IE15" s="3"/>
      <c r="IF15" s="201" t="s">
        <v>386</v>
      </c>
      <c r="IG15" s="211" t="s">
        <v>272</v>
      </c>
      <c r="IH15" s="211" t="s">
        <v>423</v>
      </c>
      <c r="II15" s="211" t="s">
        <v>423</v>
      </c>
      <c r="IJ15" s="210" t="s">
        <v>480</v>
      </c>
      <c r="IK15" s="3"/>
      <c r="IL15" s="3"/>
      <c r="IM15" s="214" t="s">
        <v>143</v>
      </c>
      <c r="IN15" s="82" t="s">
        <v>403</v>
      </c>
      <c r="IO15" s="82" t="s">
        <v>283</v>
      </c>
      <c r="IP15" s="82" t="s">
        <v>481</v>
      </c>
      <c r="IQ15" s="214" t="s">
        <v>143</v>
      </c>
      <c r="IR15" s="3"/>
      <c r="IS15" s="3"/>
      <c r="IT15" s="214" t="s">
        <v>143</v>
      </c>
      <c r="IU15" s="82" t="s">
        <v>427</v>
      </c>
      <c r="IV15" s="214" t="s">
        <v>143</v>
      </c>
      <c r="IW15" s="82" t="s">
        <v>482</v>
      </c>
      <c r="IX15" s="82" t="s">
        <v>483</v>
      </c>
      <c r="IY15" s="3"/>
      <c r="IZ15" s="3"/>
      <c r="JA15" s="214" t="s">
        <v>143</v>
      </c>
      <c r="JB15" s="82" t="s">
        <v>283</v>
      </c>
      <c r="JC15" s="214" t="s">
        <v>143</v>
      </c>
      <c r="JD15" s="82" t="s">
        <v>283</v>
      </c>
      <c r="JE15" s="82" t="s">
        <v>484</v>
      </c>
      <c r="JF15" s="3"/>
      <c r="JG15" s="3"/>
      <c r="JH15" s="82" t="s">
        <v>485</v>
      </c>
      <c r="JI15" s="214" t="s">
        <v>143</v>
      </c>
      <c r="JJ15" s="82" t="s">
        <v>429</v>
      </c>
      <c r="JK15" s="218" t="s">
        <v>141</v>
      </c>
      <c r="JL15" s="82" t="s">
        <v>278</v>
      </c>
      <c r="JM15" s="3"/>
      <c r="JN15" s="3"/>
      <c r="JO15" s="214" t="s">
        <v>143</v>
      </c>
      <c r="JP15" s="214" t="s">
        <v>143</v>
      </c>
      <c r="JQ15" s="82" t="s">
        <v>283</v>
      </c>
      <c r="JR15" s="82" t="s">
        <v>486</v>
      </c>
      <c r="JS15" s="82" t="s">
        <v>487</v>
      </c>
      <c r="JT15" s="3"/>
      <c r="JU15" s="3"/>
      <c r="JV15" s="82" t="s">
        <v>488</v>
      </c>
      <c r="JW15" s="82" t="s">
        <v>489</v>
      </c>
      <c r="JX15" s="82" t="s">
        <v>490</v>
      </c>
      <c r="JY15" s="82" t="s">
        <v>283</v>
      </c>
      <c r="JZ15" s="82" t="s">
        <v>491</v>
      </c>
      <c r="KA15" s="3"/>
      <c r="KB15" s="3"/>
      <c r="KC15" s="82" t="s">
        <v>283</v>
      </c>
      <c r="KD15" s="82" t="s">
        <v>492</v>
      </c>
      <c r="KE15" s="82" t="s">
        <v>493</v>
      </c>
      <c r="KF15" s="82" t="s">
        <v>283</v>
      </c>
      <c r="KG15" s="82" t="s">
        <v>493</v>
      </c>
      <c r="KH15" s="3"/>
      <c r="KI15" s="3"/>
      <c r="KJ15" s="82" t="s">
        <v>494</v>
      </c>
      <c r="KK15" s="82" t="s">
        <v>453</v>
      </c>
      <c r="KL15" s="214" t="s">
        <v>143</v>
      </c>
      <c r="KM15" s="82" t="s">
        <v>495</v>
      </c>
      <c r="KN15" s="82" t="s">
        <v>496</v>
      </c>
      <c r="KO15" s="3"/>
      <c r="KP15" s="3"/>
      <c r="KQ15" s="82" t="s">
        <v>453</v>
      </c>
      <c r="KR15" s="82" t="s">
        <v>244</v>
      </c>
      <c r="KS15" s="82" t="s">
        <v>244</v>
      </c>
      <c r="KT15" s="82" t="s">
        <v>283</v>
      </c>
      <c r="KU15" s="82" t="s">
        <v>497</v>
      </c>
      <c r="KV15" s="3"/>
      <c r="KW15" s="3"/>
      <c r="KX15" s="214" t="s">
        <v>143</v>
      </c>
      <c r="KY15" s="214" t="s">
        <v>143</v>
      </c>
      <c r="KZ15" s="214" t="s">
        <v>143</v>
      </c>
      <c r="LA15" s="82" t="s">
        <v>283</v>
      </c>
      <c r="LB15" s="214" t="s">
        <v>143</v>
      </c>
      <c r="LC15" s="3"/>
      <c r="LD15" s="3"/>
      <c r="LE15" s="214" t="s">
        <v>143</v>
      </c>
      <c r="LF15" s="214" t="s">
        <v>143</v>
      </c>
      <c r="LG15" s="82" t="s">
        <v>283</v>
      </c>
      <c r="LH15" s="214" t="s">
        <v>143</v>
      </c>
      <c r="LI15" s="214" t="s">
        <v>143</v>
      </c>
      <c r="LJ15" s="3"/>
      <c r="LK15" s="3"/>
      <c r="LL15" s="82" t="s">
        <v>283</v>
      </c>
      <c r="LM15" s="214" t="s">
        <v>143</v>
      </c>
      <c r="LN15" s="82" t="s">
        <v>283</v>
      </c>
      <c r="LO15" s="82" t="s">
        <v>283</v>
      </c>
      <c r="LP15" s="214" t="s">
        <v>143</v>
      </c>
      <c r="LQ15" s="3"/>
      <c r="LR15" s="3"/>
      <c r="LS15" s="82" t="s">
        <v>402</v>
      </c>
      <c r="LT15" s="82" t="s">
        <v>405</v>
      </c>
      <c r="LU15" s="214" t="s">
        <v>143</v>
      </c>
      <c r="LV15" s="82" t="s">
        <v>283</v>
      </c>
      <c r="LW15" s="214" t="s">
        <v>143</v>
      </c>
      <c r="LX15" s="3"/>
      <c r="LY15" s="3"/>
      <c r="LZ15" s="82" t="s">
        <v>498</v>
      </c>
      <c r="MA15" s="214" t="s">
        <v>143</v>
      </c>
      <c r="MB15" s="214" t="s">
        <v>143</v>
      </c>
      <c r="MC15" s="82" t="s">
        <v>283</v>
      </c>
      <c r="MD15" s="214" t="s">
        <v>143</v>
      </c>
      <c r="ME15" s="3"/>
      <c r="MF15" s="3"/>
      <c r="MG15" s="82" t="s">
        <v>402</v>
      </c>
      <c r="MH15" s="214" t="s">
        <v>143</v>
      </c>
      <c r="MI15" s="214" t="s">
        <v>143</v>
      </c>
      <c r="MJ15" s="82" t="s">
        <v>283</v>
      </c>
      <c r="MK15" s="214" t="s">
        <v>143</v>
      </c>
      <c r="ML15" s="3"/>
      <c r="MM15" s="3"/>
      <c r="MN15" s="82" t="s">
        <v>499</v>
      </c>
      <c r="MO15" s="82" t="s">
        <v>500</v>
      </c>
      <c r="MP15" s="214" t="s">
        <v>143</v>
      </c>
      <c r="MQ15" s="82" t="s">
        <v>283</v>
      </c>
      <c r="MR15" s="214" t="s">
        <v>143</v>
      </c>
      <c r="MS15" s="3"/>
      <c r="MT15" s="3"/>
      <c r="MU15" s="82" t="s">
        <v>501</v>
      </c>
      <c r="MV15" s="82" t="s">
        <v>501</v>
      </c>
      <c r="MW15" s="214" t="s">
        <v>143</v>
      </c>
      <c r="MX15" s="3"/>
      <c r="MY15" s="3"/>
      <c r="MZ15" s="3"/>
      <c r="NA15" s="3"/>
      <c r="NB15" s="214" t="s">
        <v>143</v>
      </c>
      <c r="NC15" s="214" t="s">
        <v>143</v>
      </c>
      <c r="ND15" s="214" t="s">
        <v>143</v>
      </c>
      <c r="NE15" s="3"/>
      <c r="NF15" s="219" t="s">
        <v>141</v>
      </c>
    </row>
    <row r="16" spans="1:374">
      <c r="A16" s="106" t="s">
        <v>189</v>
      </c>
      <c r="B16" s="48" t="s">
        <v>37</v>
      </c>
      <c r="C16" s="107" t="s">
        <v>37</v>
      </c>
      <c r="D16" s="3"/>
      <c r="E16" s="2" t="s">
        <v>143</v>
      </c>
      <c r="F16" s="2" t="s">
        <v>143</v>
      </c>
      <c r="G16" s="3"/>
      <c r="H16" s="3"/>
      <c r="I16" s="2" t="s">
        <v>143</v>
      </c>
      <c r="J16" s="2" t="s">
        <v>143</v>
      </c>
      <c r="K16" s="2" t="s">
        <v>143</v>
      </c>
      <c r="L16" s="2" t="s">
        <v>143</v>
      </c>
      <c r="M16" s="2" t="s">
        <v>143</v>
      </c>
      <c r="N16" s="3"/>
      <c r="O16" s="3"/>
      <c r="P16" s="2" t="s">
        <v>143</v>
      </c>
      <c r="Q16" s="2" t="s">
        <v>143</v>
      </c>
      <c r="R16" s="2" t="s">
        <v>143</v>
      </c>
      <c r="S16" s="2" t="s">
        <v>143</v>
      </c>
      <c r="T16" s="2" t="s">
        <v>143</v>
      </c>
      <c r="U16" s="3"/>
      <c r="V16" s="3"/>
      <c r="W16" s="2" t="s">
        <v>143</v>
      </c>
      <c r="X16" s="2" t="s">
        <v>143</v>
      </c>
      <c r="Y16" s="2" t="s">
        <v>143</v>
      </c>
      <c r="Z16" s="2" t="s">
        <v>143</v>
      </c>
      <c r="AA16" s="2" t="s">
        <v>143</v>
      </c>
      <c r="AB16" s="3"/>
      <c r="AC16" s="3"/>
      <c r="AD16" s="2" t="s">
        <v>143</v>
      </c>
      <c r="AE16" s="2" t="s">
        <v>143</v>
      </c>
      <c r="AF16" s="2" t="s">
        <v>143</v>
      </c>
      <c r="AG16" s="2" t="s">
        <v>143</v>
      </c>
      <c r="AH16" s="2" t="s">
        <v>143</v>
      </c>
      <c r="AI16" s="3"/>
      <c r="AJ16" s="3"/>
      <c r="AK16" s="2" t="s">
        <v>143</v>
      </c>
      <c r="AL16" s="2" t="s">
        <v>143</v>
      </c>
      <c r="AM16" s="2" t="s">
        <v>143</v>
      </c>
      <c r="AN16" s="2" t="s">
        <v>143</v>
      </c>
      <c r="AO16" s="2" t="s">
        <v>143</v>
      </c>
      <c r="AP16" s="3"/>
      <c r="AQ16" s="3"/>
      <c r="AR16" s="2" t="s">
        <v>143</v>
      </c>
      <c r="AS16" s="2" t="s">
        <v>143</v>
      </c>
      <c r="AT16" s="2" t="s">
        <v>143</v>
      </c>
      <c r="AU16" s="2" t="s">
        <v>143</v>
      </c>
      <c r="AV16" s="2" t="s">
        <v>143</v>
      </c>
      <c r="AW16" s="3"/>
      <c r="AX16" s="3"/>
      <c r="AY16" s="2" t="s">
        <v>143</v>
      </c>
      <c r="AZ16" s="2" t="s">
        <v>143</v>
      </c>
      <c r="BA16" s="2" t="s">
        <v>143</v>
      </c>
      <c r="BB16" s="2" t="s">
        <v>143</v>
      </c>
      <c r="BC16" s="2" t="s">
        <v>143</v>
      </c>
      <c r="BD16" s="3"/>
      <c r="BE16" s="3"/>
      <c r="BF16" s="11" t="s">
        <v>141</v>
      </c>
      <c r="BG16" s="11" t="s">
        <v>141</v>
      </c>
      <c r="BH16" s="11" t="s">
        <v>141</v>
      </c>
      <c r="BI16" s="11" t="s">
        <v>141</v>
      </c>
      <c r="BJ16" s="11" t="s">
        <v>141</v>
      </c>
      <c r="BK16" s="3"/>
      <c r="BL16" s="3"/>
      <c r="BM16" s="11" t="s">
        <v>141</v>
      </c>
      <c r="BN16" s="11" t="s">
        <v>141</v>
      </c>
      <c r="BO16" s="11" t="s">
        <v>141</v>
      </c>
      <c r="BP16" s="11" t="s">
        <v>141</v>
      </c>
      <c r="BQ16" s="11" t="s">
        <v>141</v>
      </c>
      <c r="BR16" s="3"/>
      <c r="BS16" s="3"/>
      <c r="BT16" s="2" t="s">
        <v>143</v>
      </c>
      <c r="BU16" s="2" t="s">
        <v>143</v>
      </c>
      <c r="BV16" s="11" t="s">
        <v>141</v>
      </c>
      <c r="BW16" s="11" t="s">
        <v>141</v>
      </c>
      <c r="BX16" s="11" t="s">
        <v>141</v>
      </c>
      <c r="BY16" s="3"/>
      <c r="BZ16" s="3"/>
      <c r="CA16" s="11" t="s">
        <v>141</v>
      </c>
      <c r="CB16" s="11" t="s">
        <v>141</v>
      </c>
      <c r="CC16" s="11" t="s">
        <v>141</v>
      </c>
      <c r="CD16" s="11" t="s">
        <v>141</v>
      </c>
      <c r="CE16" s="11" t="s">
        <v>141</v>
      </c>
      <c r="CF16" s="3"/>
      <c r="CG16" s="3"/>
      <c r="CH16" s="11" t="s">
        <v>141</v>
      </c>
      <c r="CI16" s="11" t="s">
        <v>141</v>
      </c>
      <c r="CJ16" s="2" t="s">
        <v>143</v>
      </c>
      <c r="CK16" s="2" t="s">
        <v>143</v>
      </c>
      <c r="CL16" s="2" t="s">
        <v>143</v>
      </c>
      <c r="CM16" s="3"/>
      <c r="CN16" s="3"/>
      <c r="CO16" s="11" t="s">
        <v>141</v>
      </c>
      <c r="CP16" s="2" t="s">
        <v>143</v>
      </c>
      <c r="CQ16" s="2" t="s">
        <v>143</v>
      </c>
      <c r="CR16" s="2" t="s">
        <v>143</v>
      </c>
      <c r="CS16" s="2" t="s">
        <v>143</v>
      </c>
      <c r="CT16" s="3"/>
      <c r="CU16" s="3"/>
      <c r="CV16" s="2" t="s">
        <v>143</v>
      </c>
      <c r="CW16" s="2" t="s">
        <v>143</v>
      </c>
      <c r="CX16" s="2" t="s">
        <v>143</v>
      </c>
      <c r="CY16" s="2" t="s">
        <v>143</v>
      </c>
      <c r="CZ16" s="2" t="s">
        <v>143</v>
      </c>
      <c r="DA16" s="3"/>
      <c r="DB16" s="3"/>
      <c r="DC16" s="79" t="s">
        <v>462</v>
      </c>
      <c r="DD16" s="79" t="s">
        <v>462</v>
      </c>
      <c r="DE16" s="2" t="s">
        <v>143</v>
      </c>
      <c r="DF16" s="2" t="s">
        <v>143</v>
      </c>
      <c r="DG16" s="3"/>
      <c r="DH16" s="3"/>
      <c r="DI16" s="3"/>
      <c r="DJ16" s="3"/>
      <c r="DK16" s="2" t="s">
        <v>143</v>
      </c>
      <c r="DL16" s="2" t="s">
        <v>143</v>
      </c>
      <c r="DM16" s="2" t="s">
        <v>143</v>
      </c>
      <c r="DN16" s="2" t="s">
        <v>143</v>
      </c>
      <c r="DO16" s="3"/>
      <c r="DP16" s="3"/>
      <c r="DQ16" s="2" t="s">
        <v>143</v>
      </c>
      <c r="DR16" s="2" t="s">
        <v>143</v>
      </c>
      <c r="DS16" s="2" t="s">
        <v>143</v>
      </c>
      <c r="DT16" s="2" t="s">
        <v>143</v>
      </c>
      <c r="DU16" s="2" t="s">
        <v>143</v>
      </c>
      <c r="DV16" s="3"/>
      <c r="DW16" s="3"/>
      <c r="DX16" s="3"/>
      <c r="DY16" s="2" t="s">
        <v>143</v>
      </c>
      <c r="DZ16" s="2" t="s">
        <v>143</v>
      </c>
      <c r="EA16" s="2" t="s">
        <v>143</v>
      </c>
      <c r="EB16" s="2" t="s">
        <v>143</v>
      </c>
      <c r="EC16" s="3"/>
      <c r="ED16" s="3"/>
      <c r="EE16" s="2" t="s">
        <v>143</v>
      </c>
      <c r="EF16" s="2" t="s">
        <v>143</v>
      </c>
      <c r="EG16" s="2" t="s">
        <v>143</v>
      </c>
      <c r="EH16" s="81" t="s">
        <v>141</v>
      </c>
      <c r="EI16" s="2" t="s">
        <v>143</v>
      </c>
      <c r="EJ16" s="3"/>
      <c r="EK16" s="3"/>
      <c r="EL16" s="2" t="s">
        <v>143</v>
      </c>
      <c r="EM16" s="2" t="s">
        <v>143</v>
      </c>
      <c r="EN16" s="2" t="s">
        <v>143</v>
      </c>
      <c r="EO16" s="2" t="s">
        <v>143</v>
      </c>
      <c r="EP16" s="2" t="s">
        <v>143</v>
      </c>
      <c r="EQ16" s="3"/>
      <c r="ER16" s="3"/>
      <c r="ES16" s="3"/>
      <c r="ET16" s="2" t="s">
        <v>143</v>
      </c>
      <c r="EU16" s="2" t="s">
        <v>143</v>
      </c>
      <c r="EV16" s="81" t="s">
        <v>141</v>
      </c>
      <c r="EW16" s="2" t="s">
        <v>143</v>
      </c>
      <c r="EX16" s="3"/>
      <c r="EY16" s="3"/>
      <c r="EZ16" s="2" t="s">
        <v>143</v>
      </c>
      <c r="FA16" s="2" t="s">
        <v>143</v>
      </c>
      <c r="FB16" s="2" t="s">
        <v>143</v>
      </c>
      <c r="FC16" s="2" t="s">
        <v>143</v>
      </c>
      <c r="FD16" s="2" t="s">
        <v>143</v>
      </c>
      <c r="FE16" s="3"/>
      <c r="FF16" s="3"/>
      <c r="FG16" s="2" t="s">
        <v>143</v>
      </c>
      <c r="FH16" s="2" t="s">
        <v>143</v>
      </c>
      <c r="FI16" s="2" t="s">
        <v>143</v>
      </c>
      <c r="FJ16" s="81" t="s">
        <v>141</v>
      </c>
      <c r="FK16" s="2" t="s">
        <v>143</v>
      </c>
      <c r="FL16" s="3"/>
      <c r="FM16" s="3"/>
      <c r="FN16" s="2" t="s">
        <v>143</v>
      </c>
      <c r="FO16" s="2" t="s">
        <v>143</v>
      </c>
      <c r="FP16" s="2" t="s">
        <v>143</v>
      </c>
      <c r="FQ16" s="2" t="s">
        <v>143</v>
      </c>
      <c r="FR16" s="2" t="s">
        <v>143</v>
      </c>
      <c r="FS16" s="3"/>
      <c r="FT16" s="3"/>
      <c r="FU16" s="2" t="s">
        <v>143</v>
      </c>
      <c r="FV16" s="81" t="s">
        <v>158</v>
      </c>
      <c r="FW16" s="81" t="s">
        <v>158</v>
      </c>
      <c r="FX16" s="81" t="s">
        <v>158</v>
      </c>
      <c r="FY16" s="81" t="s">
        <v>158</v>
      </c>
      <c r="FZ16" s="3"/>
      <c r="GA16" s="3"/>
      <c r="GB16" s="2" t="s">
        <v>143</v>
      </c>
      <c r="GC16" s="2" t="s">
        <v>143</v>
      </c>
      <c r="GD16" s="2" t="s">
        <v>143</v>
      </c>
      <c r="GE16" s="2" t="s">
        <v>143</v>
      </c>
      <c r="GF16" s="2" t="s">
        <v>143</v>
      </c>
      <c r="GG16" s="3"/>
      <c r="GH16" s="3"/>
      <c r="GI16" s="2" t="s">
        <v>143</v>
      </c>
      <c r="GJ16" s="2" t="s">
        <v>143</v>
      </c>
      <c r="GK16" s="2" t="s">
        <v>143</v>
      </c>
      <c r="GL16" s="2" t="s">
        <v>143</v>
      </c>
      <c r="GM16" s="2" t="s">
        <v>143</v>
      </c>
      <c r="GN16" s="3"/>
      <c r="GO16" s="3"/>
      <c r="GP16" s="2" t="s">
        <v>143</v>
      </c>
      <c r="GQ16" s="2" t="s">
        <v>143</v>
      </c>
      <c r="GR16" s="2" t="s">
        <v>143</v>
      </c>
      <c r="GS16" s="2" t="s">
        <v>143</v>
      </c>
      <c r="GT16" s="2" t="s">
        <v>143</v>
      </c>
      <c r="GU16" s="3"/>
      <c r="GV16" s="3"/>
      <c r="GW16" s="2" t="s">
        <v>143</v>
      </c>
      <c r="GX16" s="2" t="s">
        <v>143</v>
      </c>
      <c r="GY16" s="210" t="s">
        <v>502</v>
      </c>
      <c r="GZ16" s="2" t="s">
        <v>143</v>
      </c>
      <c r="HA16" s="2" t="s">
        <v>143</v>
      </c>
      <c r="HB16" s="3"/>
      <c r="HC16" s="3"/>
      <c r="HD16" s="210" t="s">
        <v>502</v>
      </c>
      <c r="HE16" s="2" t="s">
        <v>143</v>
      </c>
      <c r="HF16" s="2" t="s">
        <v>143</v>
      </c>
      <c r="HG16" s="2" t="s">
        <v>143</v>
      </c>
      <c r="HH16" s="2" t="s">
        <v>143</v>
      </c>
      <c r="HI16" s="3"/>
      <c r="HJ16" s="3"/>
      <c r="HK16" s="2" t="s">
        <v>143</v>
      </c>
      <c r="HL16" s="2" t="s">
        <v>143</v>
      </c>
      <c r="HM16" s="2" t="s">
        <v>143</v>
      </c>
      <c r="HN16" s="50" t="s">
        <v>503</v>
      </c>
      <c r="HO16" s="50" t="s">
        <v>503</v>
      </c>
      <c r="HP16" s="3"/>
      <c r="HQ16" s="3"/>
      <c r="HR16" s="210" t="s">
        <v>244</v>
      </c>
      <c r="HS16" s="210" t="s">
        <v>244</v>
      </c>
      <c r="HT16" s="2" t="s">
        <v>143</v>
      </c>
      <c r="HU16" s="2" t="s">
        <v>143</v>
      </c>
      <c r="HV16" s="2" t="s">
        <v>143</v>
      </c>
      <c r="HW16" s="3"/>
      <c r="HX16" s="3"/>
      <c r="HY16" s="2" t="s">
        <v>143</v>
      </c>
      <c r="HZ16" s="2" t="s">
        <v>143</v>
      </c>
      <c r="IA16" s="2" t="s">
        <v>143</v>
      </c>
      <c r="IB16" s="211" t="s">
        <v>504</v>
      </c>
      <c r="IC16" s="211" t="s">
        <v>504</v>
      </c>
      <c r="ID16" s="3"/>
      <c r="IE16" s="3"/>
      <c r="IF16" s="201" t="s">
        <v>386</v>
      </c>
      <c r="IG16" s="211" t="s">
        <v>505</v>
      </c>
      <c r="IH16" s="2" t="s">
        <v>143</v>
      </c>
      <c r="II16" s="211" t="s">
        <v>504</v>
      </c>
      <c r="IJ16" s="211" t="s">
        <v>504</v>
      </c>
      <c r="IK16" s="3"/>
      <c r="IL16" s="3"/>
      <c r="IM16" s="214" t="s">
        <v>143</v>
      </c>
      <c r="IN16" s="82" t="s">
        <v>403</v>
      </c>
      <c r="IO16" s="82" t="s">
        <v>403</v>
      </c>
      <c r="IP16" s="82" t="s">
        <v>403</v>
      </c>
      <c r="IQ16" s="82" t="s">
        <v>403</v>
      </c>
      <c r="IR16" s="3"/>
      <c r="IS16" s="3"/>
      <c r="IT16" s="82" t="s">
        <v>244</v>
      </c>
      <c r="IU16" s="214" t="s">
        <v>143</v>
      </c>
      <c r="IV16" s="214" t="s">
        <v>143</v>
      </c>
      <c r="IW16" s="214" t="s">
        <v>143</v>
      </c>
      <c r="IX16" s="214" t="s">
        <v>143</v>
      </c>
      <c r="IY16" s="3"/>
      <c r="IZ16" s="3"/>
      <c r="JA16" s="82" t="s">
        <v>314</v>
      </c>
      <c r="JB16" s="82" t="s">
        <v>406</v>
      </c>
      <c r="JC16" s="214" t="s">
        <v>143</v>
      </c>
      <c r="JD16" s="82" t="s">
        <v>476</v>
      </c>
      <c r="JE16" s="214" t="s">
        <v>143</v>
      </c>
      <c r="JF16" s="3"/>
      <c r="JG16" s="3"/>
      <c r="JH16" s="214" t="s">
        <v>143</v>
      </c>
      <c r="JI16" s="214" t="s">
        <v>143</v>
      </c>
      <c r="JJ16" s="214" t="s">
        <v>143</v>
      </c>
      <c r="JK16" s="82" t="s">
        <v>406</v>
      </c>
      <c r="JL16" s="214" t="s">
        <v>143</v>
      </c>
      <c r="JM16" s="3"/>
      <c r="JN16" s="3"/>
      <c r="JO16" s="82" t="s">
        <v>506</v>
      </c>
      <c r="JP16" s="82" t="s">
        <v>506</v>
      </c>
      <c r="JQ16" s="82" t="s">
        <v>506</v>
      </c>
      <c r="JR16" s="214" t="s">
        <v>143</v>
      </c>
      <c r="JS16" s="214" t="s">
        <v>143</v>
      </c>
      <c r="JT16" s="3"/>
      <c r="JU16" s="3"/>
      <c r="JV16" s="214" t="s">
        <v>143</v>
      </c>
      <c r="JW16" s="219" t="s">
        <v>316</v>
      </c>
      <c r="JX16" s="214" t="s">
        <v>143</v>
      </c>
      <c r="JY16" s="214" t="s">
        <v>143</v>
      </c>
      <c r="JZ16" s="214" t="s">
        <v>143</v>
      </c>
      <c r="KA16" s="3"/>
      <c r="KB16" s="3"/>
      <c r="KC16" s="214" t="s">
        <v>143</v>
      </c>
      <c r="KD16" s="82" t="s">
        <v>507</v>
      </c>
      <c r="KE16" s="82" t="s">
        <v>476</v>
      </c>
      <c r="KF16" s="214" t="s">
        <v>143</v>
      </c>
      <c r="KG16" s="214" t="s">
        <v>143</v>
      </c>
      <c r="KH16" s="3"/>
      <c r="KI16" s="3"/>
      <c r="KJ16" s="218" t="s">
        <v>141</v>
      </c>
      <c r="KK16" s="218" t="s">
        <v>141</v>
      </c>
      <c r="KL16" s="218" t="s">
        <v>141</v>
      </c>
      <c r="KM16" s="218" t="s">
        <v>141</v>
      </c>
      <c r="KN16" s="218" t="s">
        <v>141</v>
      </c>
      <c r="KO16" s="3"/>
      <c r="KP16" s="3"/>
      <c r="KQ16" s="214" t="s">
        <v>143</v>
      </c>
      <c r="KR16" s="82" t="s">
        <v>244</v>
      </c>
      <c r="KS16" s="82" t="s">
        <v>244</v>
      </c>
      <c r="KT16" s="82" t="s">
        <v>453</v>
      </c>
      <c r="KU16" s="82" t="s">
        <v>314</v>
      </c>
      <c r="KV16" s="3"/>
      <c r="KW16" s="3"/>
      <c r="KX16" s="82" t="s">
        <v>453</v>
      </c>
      <c r="KY16" s="82" t="s">
        <v>453</v>
      </c>
      <c r="KZ16" s="82" t="s">
        <v>278</v>
      </c>
      <c r="LA16" s="82" t="s">
        <v>453</v>
      </c>
      <c r="LB16" s="82" t="s">
        <v>453</v>
      </c>
      <c r="LC16" s="3"/>
      <c r="LD16" s="3"/>
      <c r="LE16" s="82" t="s">
        <v>428</v>
      </c>
      <c r="LF16" s="214" t="s">
        <v>143</v>
      </c>
      <c r="LG16" s="214" t="s">
        <v>143</v>
      </c>
      <c r="LH16" s="214" t="s">
        <v>143</v>
      </c>
      <c r="LI16" s="214" t="s">
        <v>143</v>
      </c>
      <c r="LJ16" s="3"/>
      <c r="LK16" s="3"/>
      <c r="LL16" s="218" t="s">
        <v>141</v>
      </c>
      <c r="LM16" s="218" t="s">
        <v>141</v>
      </c>
      <c r="LN16" s="218" t="s">
        <v>141</v>
      </c>
      <c r="LO16" s="218" t="s">
        <v>141</v>
      </c>
      <c r="LP16" s="218" t="s">
        <v>141</v>
      </c>
      <c r="LQ16" s="3"/>
      <c r="LR16" s="3"/>
      <c r="LS16" s="214" t="s">
        <v>143</v>
      </c>
      <c r="LT16" s="214" t="s">
        <v>143</v>
      </c>
      <c r="LU16" s="214" t="s">
        <v>143</v>
      </c>
      <c r="LV16" s="214" t="s">
        <v>143</v>
      </c>
      <c r="LW16" s="214" t="s">
        <v>143</v>
      </c>
      <c r="LX16" s="3"/>
      <c r="LY16" s="3"/>
      <c r="LZ16" s="214" t="s">
        <v>143</v>
      </c>
      <c r="MA16" s="214" t="s">
        <v>143</v>
      </c>
      <c r="MB16" s="214" t="s">
        <v>143</v>
      </c>
      <c r="MC16" s="214" t="s">
        <v>143</v>
      </c>
      <c r="MD16" s="214" t="s">
        <v>143</v>
      </c>
      <c r="ME16" s="3"/>
      <c r="MF16" s="3"/>
      <c r="MG16" s="82" t="s">
        <v>508</v>
      </c>
      <c r="MH16" s="82" t="s">
        <v>406</v>
      </c>
      <c r="MI16" s="214" t="s">
        <v>143</v>
      </c>
      <c r="MJ16" s="214" t="s">
        <v>143</v>
      </c>
      <c r="MK16" s="82" t="s">
        <v>278</v>
      </c>
      <c r="ML16" s="3"/>
      <c r="MM16" s="3"/>
      <c r="MN16" s="214" t="s">
        <v>143</v>
      </c>
      <c r="MO16" s="214" t="s">
        <v>143</v>
      </c>
      <c r="MP16" s="82" t="s">
        <v>509</v>
      </c>
      <c r="MQ16" s="214" t="s">
        <v>143</v>
      </c>
      <c r="MR16" s="214" t="s">
        <v>143</v>
      </c>
      <c r="MS16" s="3"/>
      <c r="MT16" s="3"/>
      <c r="MU16" s="214" t="s">
        <v>143</v>
      </c>
      <c r="MV16" s="214" t="s">
        <v>143</v>
      </c>
      <c r="MW16" s="214" t="s">
        <v>143</v>
      </c>
      <c r="MX16" s="3"/>
      <c r="MY16" s="3"/>
      <c r="MZ16" s="3"/>
      <c r="NA16" s="3"/>
      <c r="NB16" s="214" t="s">
        <v>143</v>
      </c>
      <c r="NC16" s="214" t="s">
        <v>143</v>
      </c>
      <c r="ND16" s="214" t="s">
        <v>143</v>
      </c>
      <c r="NE16" s="3"/>
      <c r="NF16" s="214" t="s">
        <v>143</v>
      </c>
    </row>
    <row r="17" spans="1:370">
      <c r="A17" s="104" t="s">
        <v>38</v>
      </c>
      <c r="B17" s="42"/>
      <c r="C17" s="108"/>
      <c r="D17" s="3"/>
      <c r="E17" s="42"/>
      <c r="F17" s="42"/>
      <c r="G17" s="3"/>
      <c r="H17" s="3"/>
      <c r="I17" s="42"/>
      <c r="J17" s="42"/>
      <c r="K17" s="42"/>
      <c r="L17" s="42"/>
      <c r="M17" s="42"/>
      <c r="N17" s="3"/>
      <c r="O17" s="3"/>
      <c r="P17" s="42"/>
      <c r="Q17" s="42"/>
      <c r="R17" s="42"/>
      <c r="S17" s="42"/>
      <c r="T17" s="42"/>
      <c r="U17" s="24"/>
      <c r="V17" s="24"/>
      <c r="W17" s="42"/>
      <c r="X17" s="42"/>
      <c r="Y17" s="42"/>
      <c r="Z17" s="42"/>
      <c r="AA17" s="42"/>
      <c r="AB17" s="24"/>
      <c r="AC17" s="24"/>
      <c r="AD17" s="42"/>
      <c r="AE17" s="42"/>
      <c r="AF17" s="42"/>
      <c r="AG17" s="42"/>
      <c r="AH17" s="42"/>
      <c r="AI17" s="24"/>
      <c r="AJ17" s="24"/>
      <c r="AK17" s="39"/>
      <c r="AL17" s="39"/>
      <c r="AM17" s="39"/>
      <c r="AN17" s="39"/>
      <c r="AO17" s="39"/>
      <c r="AP17" s="24"/>
      <c r="AQ17" s="24"/>
      <c r="AR17" s="39"/>
      <c r="AS17" s="39"/>
      <c r="AT17" s="39"/>
      <c r="AU17" s="39"/>
      <c r="AV17" s="39"/>
      <c r="AW17" s="24"/>
      <c r="AX17" s="24"/>
      <c r="AY17" s="39"/>
      <c r="AZ17" s="39"/>
      <c r="BA17" s="39"/>
      <c r="BB17" s="39"/>
      <c r="BC17" s="39"/>
      <c r="BD17" s="24"/>
      <c r="BE17" s="24"/>
      <c r="BF17" s="39"/>
      <c r="BG17" s="39"/>
      <c r="BH17" s="39"/>
      <c r="BI17" s="39"/>
      <c r="BJ17" s="39"/>
      <c r="BK17" s="24"/>
      <c r="BL17" s="24"/>
      <c r="BM17" s="39"/>
      <c r="BN17" s="39"/>
      <c r="BO17" s="39"/>
      <c r="BP17" s="39"/>
      <c r="BQ17" s="39"/>
      <c r="BR17" s="24"/>
      <c r="BS17" s="24"/>
      <c r="BT17" s="39"/>
      <c r="BU17" s="39"/>
      <c r="BV17" s="39"/>
      <c r="BW17" s="39"/>
      <c r="BX17" s="39"/>
      <c r="BY17" s="24"/>
      <c r="BZ17" s="24"/>
      <c r="CA17" s="39"/>
      <c r="CB17" s="39"/>
      <c r="CC17" s="39"/>
      <c r="CD17" s="39"/>
      <c r="CE17" s="39"/>
      <c r="CF17" s="24"/>
      <c r="CG17" s="24"/>
      <c r="CH17" s="39"/>
      <c r="CI17" s="39"/>
      <c r="CJ17" s="39"/>
      <c r="CK17" s="39"/>
      <c r="CL17" s="39"/>
      <c r="CM17" s="24"/>
      <c r="CN17" s="24"/>
      <c r="CO17" s="39"/>
      <c r="CP17" s="39"/>
      <c r="CQ17" s="39"/>
      <c r="CR17" s="39"/>
      <c r="CS17" s="39"/>
      <c r="CT17" s="24"/>
      <c r="CU17" s="24"/>
      <c r="CV17" s="39"/>
      <c r="CW17" s="39"/>
      <c r="CX17" s="39"/>
      <c r="CY17" s="39"/>
      <c r="CZ17" s="39"/>
      <c r="DA17" s="24"/>
      <c r="DB17" s="24"/>
      <c r="DC17" s="39"/>
      <c r="DD17" s="39"/>
      <c r="DE17" s="39"/>
      <c r="DF17" s="39"/>
      <c r="DG17" s="24"/>
      <c r="DH17" s="24"/>
      <c r="DI17" s="24"/>
      <c r="DJ17" s="24"/>
      <c r="DK17" s="39"/>
      <c r="DL17" s="39"/>
      <c r="DM17" s="39"/>
      <c r="DN17" s="39"/>
      <c r="DO17" s="24"/>
      <c r="DP17" s="24"/>
      <c r="DQ17" s="39"/>
      <c r="DR17" s="39"/>
      <c r="DS17" s="39"/>
      <c r="DT17" s="39"/>
      <c r="DU17" s="39"/>
      <c r="DV17" s="24"/>
      <c r="DW17" s="24"/>
      <c r="DX17" s="24"/>
      <c r="DY17" s="39"/>
      <c r="DZ17" s="39"/>
      <c r="EA17" s="39"/>
      <c r="EB17" s="39"/>
      <c r="EC17" s="24"/>
      <c r="ED17" s="24"/>
      <c r="EE17" s="39"/>
      <c r="EF17" s="39"/>
      <c r="EG17" s="39"/>
      <c r="EH17" s="39"/>
      <c r="EI17" s="39"/>
      <c r="EJ17" s="24"/>
      <c r="EK17" s="24"/>
      <c r="EL17" s="39"/>
      <c r="EM17" s="39"/>
      <c r="EN17" s="39"/>
      <c r="EO17" s="39"/>
      <c r="EP17" s="39"/>
      <c r="EQ17" s="24"/>
      <c r="ER17" s="24"/>
      <c r="ES17" s="24"/>
      <c r="ET17" s="39"/>
      <c r="EU17" s="39"/>
      <c r="EV17" s="39"/>
      <c r="EW17" s="39"/>
      <c r="EX17" s="24"/>
      <c r="EY17" s="24"/>
      <c r="EZ17" s="39"/>
      <c r="FA17" s="39"/>
      <c r="FB17" s="39"/>
      <c r="FC17" s="39"/>
      <c r="FD17" s="39"/>
      <c r="FE17" s="24"/>
      <c r="FF17" s="24"/>
      <c r="FG17" s="39"/>
      <c r="FH17" s="39"/>
      <c r="FI17" s="39"/>
      <c r="FJ17" s="39"/>
      <c r="FK17" s="39"/>
      <c r="FL17" s="24"/>
      <c r="FM17" s="24"/>
      <c r="FN17" s="39"/>
      <c r="FO17" s="39"/>
      <c r="FP17" s="39"/>
      <c r="FQ17" s="39"/>
      <c r="FR17" s="39"/>
      <c r="FS17" s="24"/>
      <c r="FT17" s="24"/>
      <c r="FU17" s="39"/>
      <c r="FV17" s="39"/>
      <c r="FW17" s="39"/>
      <c r="FX17" s="39"/>
      <c r="FY17" s="39"/>
      <c r="FZ17" s="24"/>
      <c r="GA17" s="24"/>
      <c r="GB17" s="39"/>
      <c r="GC17" s="39"/>
      <c r="GD17" s="39"/>
      <c r="GE17" s="39"/>
      <c r="GF17" s="39"/>
      <c r="GG17" s="24"/>
      <c r="GH17" s="24"/>
      <c r="GI17" s="39"/>
      <c r="GJ17" s="39"/>
      <c r="GK17" s="39"/>
      <c r="GL17" s="39"/>
      <c r="GM17" s="39"/>
      <c r="GN17" s="24"/>
      <c r="GO17" s="24"/>
      <c r="GP17" s="39"/>
      <c r="GQ17" s="39"/>
      <c r="GR17" s="39"/>
      <c r="GS17" s="39"/>
      <c r="GT17" s="39"/>
      <c r="GU17" s="24"/>
      <c r="GV17" s="24"/>
      <c r="GW17" s="39"/>
      <c r="GX17" s="39"/>
      <c r="GY17" s="39"/>
      <c r="GZ17" s="39"/>
      <c r="HA17" s="39"/>
      <c r="HB17" s="24"/>
      <c r="HC17" s="24"/>
      <c r="HD17" s="39"/>
      <c r="HE17" s="39"/>
      <c r="HF17" s="39"/>
      <c r="HG17" s="39"/>
      <c r="HH17" s="39"/>
      <c r="HI17" s="24"/>
      <c r="HJ17" s="24"/>
      <c r="HK17" s="39"/>
      <c r="HL17" s="39"/>
      <c r="HM17" s="39"/>
      <c r="HN17" s="39"/>
      <c r="HO17" s="39"/>
      <c r="HP17" s="24"/>
      <c r="HQ17" s="24"/>
      <c r="HR17" s="39"/>
      <c r="HS17" s="39"/>
      <c r="HT17" s="39"/>
      <c r="HU17" s="39"/>
      <c r="HV17" s="39"/>
      <c r="HW17" s="24"/>
      <c r="HX17" s="24"/>
      <c r="HY17" s="39"/>
      <c r="HZ17" s="39"/>
      <c r="IA17" s="39"/>
      <c r="IB17" s="39"/>
      <c r="IC17" s="39"/>
      <c r="ID17" s="24"/>
      <c r="IE17" s="24"/>
      <c r="IF17" s="39"/>
      <c r="IG17" s="39"/>
      <c r="IH17" s="39"/>
      <c r="II17" s="39"/>
      <c r="IJ17" s="39"/>
      <c r="IK17" s="24"/>
      <c r="IL17" s="24"/>
      <c r="IM17" s="39"/>
      <c r="IN17" s="39"/>
      <c r="IO17" s="39"/>
      <c r="IP17" s="39"/>
      <c r="IQ17" s="39"/>
      <c r="IR17" s="24"/>
      <c r="IS17" s="24"/>
      <c r="IT17" s="39"/>
      <c r="IU17" s="39"/>
      <c r="IV17" s="39"/>
      <c r="IW17" s="39"/>
      <c r="IX17" s="39"/>
      <c r="IY17" s="24"/>
      <c r="IZ17" s="24"/>
      <c r="JA17" s="39"/>
      <c r="JB17" s="39"/>
      <c r="JC17" s="39"/>
      <c r="JD17" s="39"/>
      <c r="JE17" s="39"/>
      <c r="JF17" s="24"/>
      <c r="JG17" s="24"/>
      <c r="JH17" s="39"/>
      <c r="JI17" s="222"/>
      <c r="JJ17" s="39"/>
      <c r="JK17" s="39"/>
      <c r="JL17" s="39"/>
      <c r="JM17" s="24"/>
      <c r="JN17" s="24"/>
      <c r="JO17" s="39"/>
      <c r="JP17" s="39"/>
      <c r="JQ17" s="39"/>
      <c r="JR17" s="39"/>
      <c r="JS17" s="39"/>
      <c r="JT17" s="24"/>
      <c r="JU17" s="24"/>
      <c r="JV17" s="39"/>
      <c r="JW17" s="39"/>
      <c r="JX17" s="39"/>
      <c r="JY17" s="39"/>
      <c r="JZ17" s="39"/>
      <c r="KA17" s="24"/>
      <c r="KB17" s="24"/>
      <c r="KC17" s="39"/>
      <c r="KD17" s="39"/>
      <c r="KE17" s="39"/>
      <c r="KF17" s="39"/>
      <c r="KG17" s="39"/>
      <c r="KH17" s="24"/>
      <c r="KI17" s="24"/>
      <c r="KJ17" s="39"/>
      <c r="KK17" s="39"/>
      <c r="KL17" s="39"/>
      <c r="KM17" s="39"/>
      <c r="KN17" s="39"/>
      <c r="KO17" s="24"/>
      <c r="KP17" s="24"/>
      <c r="KQ17" s="39"/>
      <c r="KR17" s="39"/>
      <c r="KS17" s="39"/>
      <c r="KT17" s="39"/>
      <c r="KU17" s="39"/>
      <c r="KV17" s="24"/>
      <c r="KW17" s="24"/>
      <c r="KX17" s="39"/>
      <c r="KY17" s="39"/>
      <c r="KZ17" s="39"/>
      <c r="LA17" s="39"/>
      <c r="LB17" s="39"/>
      <c r="LC17" s="24"/>
      <c r="LD17" s="24"/>
      <c r="LE17" s="39"/>
      <c r="LF17" s="39"/>
      <c r="LG17" s="39"/>
      <c r="LH17" s="39"/>
      <c r="LI17" s="39"/>
      <c r="LJ17" s="24"/>
      <c r="LK17" s="24"/>
      <c r="LL17" s="39"/>
      <c r="LM17" s="39"/>
      <c r="LN17" s="39"/>
      <c r="LO17" s="39"/>
      <c r="LP17" s="39"/>
      <c r="LQ17" s="24"/>
      <c r="LR17" s="24"/>
      <c r="LS17" s="39"/>
      <c r="LT17" s="39"/>
      <c r="LU17" s="39"/>
      <c r="LV17" s="39"/>
      <c r="LW17" s="39"/>
      <c r="LX17" s="24"/>
      <c r="LY17" s="24"/>
      <c r="LZ17" s="39"/>
      <c r="MA17" s="39"/>
      <c r="MB17" s="39"/>
      <c r="MC17" s="39"/>
      <c r="MD17" s="39"/>
      <c r="ME17" s="24"/>
      <c r="MF17" s="24"/>
      <c r="MG17" s="39"/>
      <c r="MH17" s="39"/>
      <c r="MI17" s="39"/>
      <c r="MJ17" s="39"/>
      <c r="MK17" s="39"/>
      <c r="ML17" s="24"/>
      <c r="MM17" s="24"/>
      <c r="MN17" s="39"/>
      <c r="MO17" s="39"/>
      <c r="MP17" s="39"/>
      <c r="MQ17" s="39"/>
      <c r="MR17" s="39"/>
      <c r="MS17" s="24"/>
      <c r="MT17" s="24"/>
      <c r="MU17" s="39"/>
      <c r="MV17" s="39"/>
      <c r="MW17" s="39"/>
      <c r="MX17" s="24"/>
      <c r="MY17" s="24"/>
      <c r="MZ17" s="24"/>
      <c r="NA17" s="24"/>
      <c r="NB17" s="39"/>
      <c r="NC17" s="39"/>
      <c r="ND17" s="39"/>
      <c r="NE17" s="24"/>
      <c r="NF17" s="199"/>
    </row>
    <row r="18" spans="1:370">
      <c r="A18" s="109" t="s">
        <v>191</v>
      </c>
      <c r="B18" s="49" t="s">
        <v>38</v>
      </c>
      <c r="C18" s="110" t="s">
        <v>319</v>
      </c>
      <c r="D18" s="3"/>
      <c r="E18" s="2" t="s">
        <v>143</v>
      </c>
      <c r="F18" s="2" t="s">
        <v>143</v>
      </c>
      <c r="G18" s="3"/>
      <c r="H18" s="3"/>
      <c r="I18" s="2" t="s">
        <v>143</v>
      </c>
      <c r="J18" s="2" t="s">
        <v>143</v>
      </c>
      <c r="K18" s="2" t="s">
        <v>143</v>
      </c>
      <c r="L18" s="2" t="s">
        <v>143</v>
      </c>
      <c r="M18" s="2" t="s">
        <v>143</v>
      </c>
      <c r="N18" s="3"/>
      <c r="O18" s="3"/>
      <c r="P18" s="2" t="s">
        <v>143</v>
      </c>
      <c r="Q18" s="2" t="s">
        <v>143</v>
      </c>
      <c r="R18" s="2" t="s">
        <v>143</v>
      </c>
      <c r="S18" s="2" t="s">
        <v>143</v>
      </c>
      <c r="T18" s="2" t="s">
        <v>143</v>
      </c>
      <c r="U18" s="3"/>
      <c r="V18" s="3"/>
      <c r="W18" s="2" t="s">
        <v>143</v>
      </c>
      <c r="X18" s="2" t="s">
        <v>143</v>
      </c>
      <c r="Y18" s="2" t="s">
        <v>143</v>
      </c>
      <c r="Z18" s="2" t="s">
        <v>143</v>
      </c>
      <c r="AA18" s="2" t="s">
        <v>143</v>
      </c>
      <c r="AB18" s="3"/>
      <c r="AC18" s="3"/>
      <c r="AD18" s="2" t="s">
        <v>143</v>
      </c>
      <c r="AE18" s="2" t="s">
        <v>143</v>
      </c>
      <c r="AF18" s="2" t="s">
        <v>143</v>
      </c>
      <c r="AG18" s="79" t="s">
        <v>140</v>
      </c>
      <c r="AH18" s="79" t="s">
        <v>140</v>
      </c>
      <c r="AI18" s="3"/>
      <c r="AJ18" s="3"/>
      <c r="AK18" s="2" t="s">
        <v>143</v>
      </c>
      <c r="AL18" s="2" t="s">
        <v>143</v>
      </c>
      <c r="AM18" s="2" t="s">
        <v>143</v>
      </c>
      <c r="AN18" s="2" t="s">
        <v>143</v>
      </c>
      <c r="AO18" s="2" t="s">
        <v>143</v>
      </c>
      <c r="AP18" s="3"/>
      <c r="AQ18" s="3"/>
      <c r="AR18" s="2" t="s">
        <v>143</v>
      </c>
      <c r="AS18" s="2" t="s">
        <v>143</v>
      </c>
      <c r="AT18" s="2" t="s">
        <v>143</v>
      </c>
      <c r="AU18" s="2" t="s">
        <v>143</v>
      </c>
      <c r="AV18" s="2" t="s">
        <v>143</v>
      </c>
      <c r="AW18" s="3"/>
      <c r="AX18" s="3"/>
      <c r="AY18" s="2" t="s">
        <v>143</v>
      </c>
      <c r="AZ18" s="2" t="s">
        <v>143</v>
      </c>
      <c r="BA18" s="2" t="s">
        <v>143</v>
      </c>
      <c r="BB18" s="2" t="s">
        <v>143</v>
      </c>
      <c r="BC18" s="11" t="s">
        <v>141</v>
      </c>
      <c r="BD18" s="3"/>
      <c r="BE18" s="3"/>
      <c r="BF18" s="11" t="s">
        <v>141</v>
      </c>
      <c r="BG18" s="2" t="s">
        <v>143</v>
      </c>
      <c r="BH18" s="2" t="s">
        <v>143</v>
      </c>
      <c r="BI18" s="2" t="s">
        <v>143</v>
      </c>
      <c r="BJ18" s="11" t="s">
        <v>141</v>
      </c>
      <c r="BK18" s="3"/>
      <c r="BL18" s="3"/>
      <c r="BM18" s="2" t="s">
        <v>143</v>
      </c>
      <c r="BN18" s="2" t="s">
        <v>143</v>
      </c>
      <c r="BO18" s="2" t="s">
        <v>143</v>
      </c>
      <c r="BP18" s="2" t="s">
        <v>143</v>
      </c>
      <c r="BQ18" s="2" t="s">
        <v>143</v>
      </c>
      <c r="BR18" s="3"/>
      <c r="BS18" s="3"/>
      <c r="BT18" s="2" t="s">
        <v>143</v>
      </c>
      <c r="BU18" s="2" t="s">
        <v>143</v>
      </c>
      <c r="BV18" s="2" t="s">
        <v>143</v>
      </c>
      <c r="BW18" s="2" t="s">
        <v>143</v>
      </c>
      <c r="BX18" s="2" t="s">
        <v>143</v>
      </c>
      <c r="BY18" s="3"/>
      <c r="BZ18" s="3"/>
      <c r="CA18" s="2" t="s">
        <v>475</v>
      </c>
      <c r="CB18" s="2" t="s">
        <v>475</v>
      </c>
      <c r="CC18" s="2" t="s">
        <v>475</v>
      </c>
      <c r="CD18" s="2" t="s">
        <v>475</v>
      </c>
      <c r="CE18" s="2" t="s">
        <v>475</v>
      </c>
      <c r="CF18" s="3"/>
      <c r="CG18" s="3"/>
      <c r="CH18" s="2" t="s">
        <v>143</v>
      </c>
      <c r="CI18" s="2" t="s">
        <v>143</v>
      </c>
      <c r="CJ18" s="2" t="s">
        <v>143</v>
      </c>
      <c r="CK18" s="2" t="s">
        <v>143</v>
      </c>
      <c r="CL18" s="2" t="s">
        <v>143</v>
      </c>
      <c r="CM18" s="3"/>
      <c r="CN18" s="3"/>
      <c r="CO18" s="2" t="s">
        <v>143</v>
      </c>
      <c r="CP18" s="2" t="s">
        <v>143</v>
      </c>
      <c r="CQ18" s="2" t="s">
        <v>143</v>
      </c>
      <c r="CR18" s="2" t="s">
        <v>143</v>
      </c>
      <c r="CS18" s="2" t="s">
        <v>143</v>
      </c>
      <c r="CT18" s="3"/>
      <c r="CU18" s="3"/>
      <c r="CV18" s="2" t="s">
        <v>143</v>
      </c>
      <c r="CW18" s="2" t="s">
        <v>143</v>
      </c>
      <c r="CX18" s="2" t="s">
        <v>143</v>
      </c>
      <c r="CY18" s="2" t="s">
        <v>143</v>
      </c>
      <c r="CZ18" s="81" t="s">
        <v>141</v>
      </c>
      <c r="DA18" s="3"/>
      <c r="DB18" s="3"/>
      <c r="DC18" s="2" t="s">
        <v>143</v>
      </c>
      <c r="DD18" s="2" t="s">
        <v>143</v>
      </c>
      <c r="DE18" s="2" t="s">
        <v>143</v>
      </c>
      <c r="DF18" s="2" t="s">
        <v>143</v>
      </c>
      <c r="DG18" s="3"/>
      <c r="DH18" s="3"/>
      <c r="DI18" s="3"/>
      <c r="DJ18" s="3"/>
      <c r="DK18" s="2" t="s">
        <v>143</v>
      </c>
      <c r="DL18" s="2" t="s">
        <v>143</v>
      </c>
      <c r="DM18" s="2" t="s">
        <v>143</v>
      </c>
      <c r="DN18" s="2" t="s">
        <v>143</v>
      </c>
      <c r="DO18" s="3"/>
      <c r="DP18" s="3"/>
      <c r="DQ18" s="2" t="s">
        <v>143</v>
      </c>
      <c r="DR18" s="2" t="s">
        <v>143</v>
      </c>
      <c r="DS18" s="2" t="s">
        <v>143</v>
      </c>
      <c r="DT18" s="2" t="s">
        <v>143</v>
      </c>
      <c r="DU18" s="2" t="s">
        <v>143</v>
      </c>
      <c r="DV18" s="3"/>
      <c r="DW18" s="3"/>
      <c r="DX18" s="3"/>
      <c r="DY18" s="2" t="s">
        <v>143</v>
      </c>
      <c r="DZ18" s="2" t="s">
        <v>143</v>
      </c>
      <c r="EA18" s="2" t="s">
        <v>143</v>
      </c>
      <c r="EB18" s="2" t="s">
        <v>143</v>
      </c>
      <c r="EC18" s="3"/>
      <c r="ED18" s="3"/>
      <c r="EE18" s="2" t="s">
        <v>143</v>
      </c>
      <c r="EF18" s="2" t="s">
        <v>143</v>
      </c>
      <c r="EG18" s="2" t="s">
        <v>143</v>
      </c>
      <c r="EH18" s="2" t="s">
        <v>143</v>
      </c>
      <c r="EI18" s="81" t="s">
        <v>141</v>
      </c>
      <c r="EJ18" s="3"/>
      <c r="EK18" s="3"/>
      <c r="EL18" s="81" t="s">
        <v>141</v>
      </c>
      <c r="EM18" s="81" t="s">
        <v>141</v>
      </c>
      <c r="EN18" s="81" t="s">
        <v>141</v>
      </c>
      <c r="EO18" s="81" t="s">
        <v>141</v>
      </c>
      <c r="EP18" s="81" t="s">
        <v>141</v>
      </c>
      <c r="EQ18" s="3"/>
      <c r="ER18" s="3"/>
      <c r="ES18" s="3"/>
      <c r="ET18" s="81" t="s">
        <v>141</v>
      </c>
      <c r="EU18" s="81" t="s">
        <v>141</v>
      </c>
      <c r="EV18" s="81" t="s">
        <v>141</v>
      </c>
      <c r="EW18" s="81" t="s">
        <v>141</v>
      </c>
      <c r="EX18" s="3"/>
      <c r="EY18" s="3"/>
      <c r="EZ18" s="81" t="s">
        <v>141</v>
      </c>
      <c r="FA18" s="2" t="s">
        <v>143</v>
      </c>
      <c r="FB18" s="2" t="s">
        <v>143</v>
      </c>
      <c r="FC18" s="2" t="s">
        <v>143</v>
      </c>
      <c r="FD18" s="2" t="s">
        <v>143</v>
      </c>
      <c r="FE18" s="3"/>
      <c r="FF18" s="3"/>
      <c r="FG18" s="2" t="s">
        <v>143</v>
      </c>
      <c r="FH18" s="2" t="s">
        <v>143</v>
      </c>
      <c r="FI18" s="2" t="s">
        <v>143</v>
      </c>
      <c r="FJ18" s="2" t="s">
        <v>143</v>
      </c>
      <c r="FK18" s="2" t="s">
        <v>143</v>
      </c>
      <c r="FL18" s="3"/>
      <c r="FM18" s="3"/>
      <c r="FN18" s="2" t="s">
        <v>143</v>
      </c>
      <c r="FO18" s="2" t="s">
        <v>143</v>
      </c>
      <c r="FP18" s="2" t="s">
        <v>143</v>
      </c>
      <c r="FQ18" s="2" t="s">
        <v>143</v>
      </c>
      <c r="FR18" s="2" t="s">
        <v>143</v>
      </c>
      <c r="FS18" s="3"/>
      <c r="FT18" s="3"/>
      <c r="FU18" s="2" t="s">
        <v>143</v>
      </c>
      <c r="FV18" s="2" t="s">
        <v>143</v>
      </c>
      <c r="FW18" s="2" t="s">
        <v>143</v>
      </c>
      <c r="FX18" s="2" t="s">
        <v>143</v>
      </c>
      <c r="FY18" s="2" t="s">
        <v>143</v>
      </c>
      <c r="FZ18" s="3"/>
      <c r="GA18" s="3"/>
      <c r="GB18" s="2" t="s">
        <v>143</v>
      </c>
      <c r="GC18" s="2" t="s">
        <v>143</v>
      </c>
      <c r="GD18" s="2" t="s">
        <v>143</v>
      </c>
      <c r="GE18" s="2" t="s">
        <v>143</v>
      </c>
      <c r="GF18" s="2" t="s">
        <v>143</v>
      </c>
      <c r="GG18" s="3"/>
      <c r="GH18" s="3"/>
      <c r="GI18" s="80" t="s">
        <v>510</v>
      </c>
      <c r="GJ18" s="80" t="s">
        <v>510</v>
      </c>
      <c r="GK18" s="80" t="s">
        <v>510</v>
      </c>
      <c r="GL18" s="2" t="s">
        <v>143</v>
      </c>
      <c r="GM18" s="2" t="s">
        <v>143</v>
      </c>
      <c r="GN18" s="3"/>
      <c r="GO18" s="3"/>
      <c r="GP18" s="2" t="s">
        <v>143</v>
      </c>
      <c r="GQ18" s="2" t="s">
        <v>143</v>
      </c>
      <c r="GR18" s="2" t="s">
        <v>143</v>
      </c>
      <c r="GS18" s="2" t="s">
        <v>143</v>
      </c>
      <c r="GT18" s="2" t="s">
        <v>143</v>
      </c>
      <c r="GU18" s="3"/>
      <c r="GV18" s="3"/>
      <c r="GW18" s="80" t="s">
        <v>401</v>
      </c>
      <c r="GX18" s="2" t="s">
        <v>143</v>
      </c>
      <c r="GY18" s="2" t="s">
        <v>143</v>
      </c>
      <c r="GZ18" s="210" t="s">
        <v>511</v>
      </c>
      <c r="HA18" s="2" t="s">
        <v>143</v>
      </c>
      <c r="HB18" s="3"/>
      <c r="HC18" s="3"/>
      <c r="HD18" s="2" t="s">
        <v>143</v>
      </c>
      <c r="HE18" s="2" t="s">
        <v>143</v>
      </c>
      <c r="HF18" s="2" t="s">
        <v>143</v>
      </c>
      <c r="HG18" s="2" t="s">
        <v>143</v>
      </c>
      <c r="HH18" s="2" t="s">
        <v>143</v>
      </c>
      <c r="HI18" s="3"/>
      <c r="HJ18" s="3"/>
      <c r="HK18" s="2" t="s">
        <v>143</v>
      </c>
      <c r="HL18" s="2" t="s">
        <v>143</v>
      </c>
      <c r="HM18" s="2" t="s">
        <v>143</v>
      </c>
      <c r="HN18" s="81" t="s">
        <v>141</v>
      </c>
      <c r="HO18" s="81" t="s">
        <v>141</v>
      </c>
      <c r="HP18" s="3"/>
      <c r="HQ18" s="3"/>
      <c r="HR18" s="210" t="s">
        <v>244</v>
      </c>
      <c r="HS18" s="210" t="s">
        <v>244</v>
      </c>
      <c r="HT18" s="2"/>
      <c r="HU18" s="2" t="s">
        <v>512</v>
      </c>
      <c r="HV18" s="2"/>
      <c r="HW18" s="3"/>
      <c r="HX18" s="3"/>
      <c r="HY18" s="210" t="s">
        <v>513</v>
      </c>
      <c r="HZ18" s="210" t="s">
        <v>514</v>
      </c>
      <c r="IA18" s="2" t="s">
        <v>143</v>
      </c>
      <c r="IB18" s="2" t="s">
        <v>143</v>
      </c>
      <c r="IC18" s="81" t="s">
        <v>141</v>
      </c>
      <c r="ID18" s="3"/>
      <c r="IE18" s="3"/>
      <c r="IF18" s="201" t="s">
        <v>386</v>
      </c>
      <c r="IG18" s="81" t="s">
        <v>141</v>
      </c>
      <c r="IH18" s="211" t="s">
        <v>423</v>
      </c>
      <c r="II18" s="211" t="s">
        <v>423</v>
      </c>
      <c r="IJ18" s="2" t="s">
        <v>515</v>
      </c>
      <c r="IK18" s="3"/>
      <c r="IL18" s="3"/>
      <c r="IM18" s="214" t="s">
        <v>143</v>
      </c>
      <c r="IN18" s="214" t="s">
        <v>237</v>
      </c>
      <c r="IO18" s="214" t="s">
        <v>143</v>
      </c>
      <c r="IP18" s="214" t="s">
        <v>143</v>
      </c>
      <c r="IQ18" s="218" t="s">
        <v>141</v>
      </c>
      <c r="IR18" s="3"/>
      <c r="IS18" s="3"/>
      <c r="IT18" s="218" t="s">
        <v>141</v>
      </c>
      <c r="IU18" s="82" t="s">
        <v>324</v>
      </c>
      <c r="IV18" s="82" t="s">
        <v>516</v>
      </c>
      <c r="IW18" s="82" t="s">
        <v>324</v>
      </c>
      <c r="IX18" s="82" t="s">
        <v>517</v>
      </c>
      <c r="IY18" s="3"/>
      <c r="IZ18" s="3"/>
      <c r="JA18" s="82" t="s">
        <v>516</v>
      </c>
      <c r="JB18" s="82" t="s">
        <v>518</v>
      </c>
      <c r="JC18" s="214" t="s">
        <v>143</v>
      </c>
      <c r="JD18" s="214" t="s">
        <v>143</v>
      </c>
      <c r="JE18" s="82" t="s">
        <v>484</v>
      </c>
      <c r="JF18" s="3"/>
      <c r="JG18" s="3"/>
      <c r="JH18" s="214" t="s">
        <v>143</v>
      </c>
      <c r="JI18" s="214" t="s">
        <v>143</v>
      </c>
      <c r="JJ18" s="214" t="s">
        <v>143</v>
      </c>
      <c r="JK18" s="214" t="s">
        <v>143</v>
      </c>
      <c r="JL18" s="214" t="s">
        <v>143</v>
      </c>
      <c r="JM18" s="3"/>
      <c r="JN18" s="3"/>
      <c r="JO18" s="214" t="s">
        <v>324</v>
      </c>
      <c r="JP18" s="214" t="s">
        <v>143</v>
      </c>
      <c r="JQ18" s="214" t="s">
        <v>519</v>
      </c>
      <c r="JR18" s="82" t="s">
        <v>520</v>
      </c>
      <c r="JS18" s="214" t="s">
        <v>143</v>
      </c>
      <c r="JT18" s="3"/>
      <c r="JU18" s="3"/>
      <c r="JV18" s="214" t="s">
        <v>143</v>
      </c>
      <c r="JW18" s="82" t="s">
        <v>521</v>
      </c>
      <c r="JX18" s="214" t="s">
        <v>143</v>
      </c>
      <c r="JY18" s="214" t="s">
        <v>143</v>
      </c>
      <c r="JZ18" s="82" t="s">
        <v>522</v>
      </c>
      <c r="KA18" s="3"/>
      <c r="KB18" s="3"/>
      <c r="KC18" s="82" t="s">
        <v>523</v>
      </c>
      <c r="KD18" s="82" t="s">
        <v>524</v>
      </c>
      <c r="KE18" s="82" t="s">
        <v>18</v>
      </c>
      <c r="KF18" s="214" t="s">
        <v>143</v>
      </c>
      <c r="KG18" s="82" t="s">
        <v>525</v>
      </c>
      <c r="KH18" s="3"/>
      <c r="KI18" s="3"/>
      <c r="KJ18" s="214" t="s">
        <v>143</v>
      </c>
      <c r="KK18" s="82" t="s">
        <v>283</v>
      </c>
      <c r="KL18" s="214" t="s">
        <v>143</v>
      </c>
      <c r="KM18" s="214" t="s">
        <v>143</v>
      </c>
      <c r="KN18" s="214" t="s">
        <v>526</v>
      </c>
      <c r="KO18" s="3"/>
      <c r="KP18" s="3"/>
      <c r="KQ18" s="82" t="s">
        <v>324</v>
      </c>
      <c r="KR18" s="82" t="s">
        <v>332</v>
      </c>
      <c r="KS18" s="214" t="s">
        <v>527</v>
      </c>
      <c r="KT18" s="82" t="s">
        <v>528</v>
      </c>
      <c r="KU18" s="214" t="s">
        <v>143</v>
      </c>
      <c r="KV18" s="3"/>
      <c r="KW18" s="3"/>
      <c r="KX18" s="82" t="s">
        <v>529</v>
      </c>
      <c r="KY18" s="213" t="s">
        <v>530</v>
      </c>
      <c r="KZ18" s="213" t="s">
        <v>530</v>
      </c>
      <c r="LA18" s="214" t="s">
        <v>143</v>
      </c>
      <c r="LB18" s="214" t="s">
        <v>143</v>
      </c>
      <c r="LC18" s="3"/>
      <c r="LD18" s="3"/>
      <c r="LE18" s="214" t="s">
        <v>143</v>
      </c>
      <c r="LF18" s="214" t="s">
        <v>143</v>
      </c>
      <c r="LG18" s="214" t="s">
        <v>143</v>
      </c>
      <c r="LH18" s="214" t="s">
        <v>143</v>
      </c>
      <c r="LI18" s="214" t="s">
        <v>143</v>
      </c>
      <c r="LJ18" s="3"/>
      <c r="LK18" s="3"/>
      <c r="LL18" s="82" t="s">
        <v>324</v>
      </c>
      <c r="LM18" s="82" t="s">
        <v>243</v>
      </c>
      <c r="LN18" s="82" t="s">
        <v>283</v>
      </c>
      <c r="LO18" s="82" t="s">
        <v>283</v>
      </c>
      <c r="LP18" s="82" t="s">
        <v>324</v>
      </c>
      <c r="LQ18" s="3"/>
      <c r="LR18" s="3"/>
      <c r="LS18" s="213" t="s">
        <v>531</v>
      </c>
      <c r="LT18" s="213" t="s">
        <v>531</v>
      </c>
      <c r="LU18" s="213" t="s">
        <v>531</v>
      </c>
      <c r="LV18" s="213" t="s">
        <v>531</v>
      </c>
      <c r="LW18" s="213" t="s">
        <v>303</v>
      </c>
      <c r="LX18" s="3"/>
      <c r="LY18" s="3"/>
      <c r="LZ18" s="214" t="s">
        <v>143</v>
      </c>
      <c r="MA18" s="82" t="s">
        <v>418</v>
      </c>
      <c r="MB18" s="82" t="s">
        <v>418</v>
      </c>
      <c r="MC18" s="82" t="s">
        <v>283</v>
      </c>
      <c r="MD18" s="82" t="s">
        <v>283</v>
      </c>
      <c r="ME18" s="3"/>
      <c r="MF18" s="3"/>
      <c r="MG18" s="82" t="s">
        <v>532</v>
      </c>
      <c r="MH18" s="82" t="s">
        <v>532</v>
      </c>
      <c r="MI18" s="82" t="s">
        <v>532</v>
      </c>
      <c r="MJ18" s="82" t="s">
        <v>243</v>
      </c>
      <c r="MK18" s="82" t="s">
        <v>243</v>
      </c>
      <c r="ML18" s="3"/>
      <c r="MM18" s="3"/>
      <c r="MN18" s="82" t="s">
        <v>533</v>
      </c>
      <c r="MO18" s="82" t="s">
        <v>533</v>
      </c>
      <c r="MP18" s="82" t="s">
        <v>533</v>
      </c>
      <c r="MQ18" s="82" t="s">
        <v>532</v>
      </c>
      <c r="MR18" s="82" t="s">
        <v>532</v>
      </c>
      <c r="MS18" s="3"/>
      <c r="MT18" s="3"/>
      <c r="MU18" s="213" t="s">
        <v>534</v>
      </c>
      <c r="MV18" s="213" t="s">
        <v>534</v>
      </c>
      <c r="MW18" s="213" t="s">
        <v>534</v>
      </c>
      <c r="MX18" s="3"/>
      <c r="MY18" s="3"/>
      <c r="MZ18" s="3"/>
      <c r="NA18" s="3"/>
      <c r="NB18" s="213" t="s">
        <v>303</v>
      </c>
      <c r="NC18" s="213" t="s">
        <v>534</v>
      </c>
      <c r="ND18" s="213" t="s">
        <v>534</v>
      </c>
      <c r="NE18" s="3"/>
      <c r="NF18" s="214" t="s">
        <v>143</v>
      </c>
    </row>
    <row r="19" spans="1:370">
      <c r="A19" s="109" t="s">
        <v>192</v>
      </c>
      <c r="B19" s="49" t="s">
        <v>38</v>
      </c>
      <c r="C19" s="110" t="s">
        <v>319</v>
      </c>
      <c r="D19" s="3"/>
      <c r="E19" s="10" t="s">
        <v>141</v>
      </c>
      <c r="F19" s="10" t="s">
        <v>141</v>
      </c>
      <c r="G19" s="3"/>
      <c r="H19" s="3"/>
      <c r="I19" s="2" t="s">
        <v>143</v>
      </c>
      <c r="J19" s="2" t="s">
        <v>143</v>
      </c>
      <c r="K19" s="2" t="s">
        <v>143</v>
      </c>
      <c r="L19" s="2" t="s">
        <v>143</v>
      </c>
      <c r="M19" s="2" t="s">
        <v>143</v>
      </c>
      <c r="N19" s="3"/>
      <c r="O19" s="3"/>
      <c r="P19" s="2" t="s">
        <v>143</v>
      </c>
      <c r="Q19" s="2" t="s">
        <v>143</v>
      </c>
      <c r="R19" s="2" t="s">
        <v>143</v>
      </c>
      <c r="S19" s="2" t="s">
        <v>143</v>
      </c>
      <c r="T19" s="2" t="s">
        <v>143</v>
      </c>
      <c r="U19" s="3"/>
      <c r="V19" s="3"/>
      <c r="W19" s="2" t="s">
        <v>143</v>
      </c>
      <c r="X19" s="2" t="s">
        <v>143</v>
      </c>
      <c r="Y19" s="2" t="s">
        <v>143</v>
      </c>
      <c r="Z19" s="2" t="s">
        <v>143</v>
      </c>
      <c r="AA19" s="2" t="s">
        <v>143</v>
      </c>
      <c r="AB19" s="3"/>
      <c r="AC19" s="3"/>
      <c r="AD19" s="2" t="s">
        <v>143</v>
      </c>
      <c r="AE19" s="2" t="s">
        <v>143</v>
      </c>
      <c r="AF19" s="2" t="s">
        <v>143</v>
      </c>
      <c r="AG19" s="2" t="s">
        <v>143</v>
      </c>
      <c r="AH19" s="79" t="s">
        <v>140</v>
      </c>
      <c r="AI19" s="3"/>
      <c r="AJ19" s="3"/>
      <c r="AK19" s="2" t="s">
        <v>143</v>
      </c>
      <c r="AL19" s="2" t="s">
        <v>143</v>
      </c>
      <c r="AM19" s="2" t="s">
        <v>143</v>
      </c>
      <c r="AN19" s="2" t="s">
        <v>143</v>
      </c>
      <c r="AO19" s="2" t="s">
        <v>143</v>
      </c>
      <c r="AP19" s="3"/>
      <c r="AQ19" s="3"/>
      <c r="AR19" s="2" t="s">
        <v>143</v>
      </c>
      <c r="AS19" s="2" t="s">
        <v>143</v>
      </c>
      <c r="AT19" s="2" t="s">
        <v>143</v>
      </c>
      <c r="AU19" s="2" t="s">
        <v>143</v>
      </c>
      <c r="AV19" s="2" t="s">
        <v>143</v>
      </c>
      <c r="AW19" s="3"/>
      <c r="AX19" s="3"/>
      <c r="AY19" s="2" t="s">
        <v>143</v>
      </c>
      <c r="AZ19" s="11" t="s">
        <v>141</v>
      </c>
      <c r="BA19" s="2" t="s">
        <v>143</v>
      </c>
      <c r="BB19" s="2" t="s">
        <v>143</v>
      </c>
      <c r="BC19" s="11" t="s">
        <v>141</v>
      </c>
      <c r="BD19" s="3"/>
      <c r="BE19" s="3"/>
      <c r="BF19" s="2" t="s">
        <v>143</v>
      </c>
      <c r="BG19" s="2" t="s">
        <v>143</v>
      </c>
      <c r="BH19" s="2" t="s">
        <v>143</v>
      </c>
      <c r="BI19" s="2" t="s">
        <v>143</v>
      </c>
      <c r="BJ19" s="11" t="s">
        <v>141</v>
      </c>
      <c r="BK19" s="3"/>
      <c r="BL19" s="3"/>
      <c r="BM19" s="11" t="s">
        <v>141</v>
      </c>
      <c r="BN19" s="11" t="s">
        <v>141</v>
      </c>
      <c r="BO19" s="11" t="s">
        <v>141</v>
      </c>
      <c r="BP19" s="11" t="s">
        <v>141</v>
      </c>
      <c r="BQ19" s="11" t="s">
        <v>141</v>
      </c>
      <c r="BR19" s="3"/>
      <c r="BS19" s="3"/>
      <c r="BT19" s="2" t="s">
        <v>143</v>
      </c>
      <c r="BU19" s="2" t="s">
        <v>143</v>
      </c>
      <c r="BV19" s="2" t="s">
        <v>143</v>
      </c>
      <c r="BW19" s="2" t="s">
        <v>143</v>
      </c>
      <c r="BX19" s="11" t="s">
        <v>141</v>
      </c>
      <c r="BY19" s="3"/>
      <c r="BZ19" s="3"/>
      <c r="CA19" s="2" t="s">
        <v>143</v>
      </c>
      <c r="CB19" s="2" t="s">
        <v>143</v>
      </c>
      <c r="CC19" s="2" t="s">
        <v>143</v>
      </c>
      <c r="CD19" s="2" t="s">
        <v>143</v>
      </c>
      <c r="CE19" s="2" t="s">
        <v>143</v>
      </c>
      <c r="CF19" s="3"/>
      <c r="CG19" s="3"/>
      <c r="CH19" s="2" t="s">
        <v>143</v>
      </c>
      <c r="CI19" s="2" t="s">
        <v>143</v>
      </c>
      <c r="CJ19" s="2" t="s">
        <v>143</v>
      </c>
      <c r="CK19" s="2" t="s">
        <v>143</v>
      </c>
      <c r="CL19" s="2" t="s">
        <v>143</v>
      </c>
      <c r="CM19" s="3"/>
      <c r="CN19" s="3"/>
      <c r="CO19" s="2" t="s">
        <v>143</v>
      </c>
      <c r="CP19" s="2" t="s">
        <v>143</v>
      </c>
      <c r="CQ19" s="2" t="s">
        <v>143</v>
      </c>
      <c r="CR19" s="2" t="s">
        <v>143</v>
      </c>
      <c r="CS19" s="81" t="s">
        <v>141</v>
      </c>
      <c r="CT19" s="3"/>
      <c r="CU19" s="3"/>
      <c r="CV19" s="2" t="s">
        <v>143</v>
      </c>
      <c r="CW19" s="2" t="s">
        <v>143</v>
      </c>
      <c r="CX19" s="2" t="s">
        <v>143</v>
      </c>
      <c r="CY19" s="2" t="s">
        <v>143</v>
      </c>
      <c r="CZ19" s="2" t="s">
        <v>143</v>
      </c>
      <c r="DA19" s="3"/>
      <c r="DB19" s="3"/>
      <c r="DC19" s="2" t="s">
        <v>143</v>
      </c>
      <c r="DD19" s="2" t="s">
        <v>143</v>
      </c>
      <c r="DE19" s="2" t="s">
        <v>143</v>
      </c>
      <c r="DF19" s="2" t="s">
        <v>143</v>
      </c>
      <c r="DG19" s="3"/>
      <c r="DH19" s="3"/>
      <c r="DI19" s="3"/>
      <c r="DJ19" s="3"/>
      <c r="DK19" s="2" t="s">
        <v>143</v>
      </c>
      <c r="DL19" s="2" t="s">
        <v>143</v>
      </c>
      <c r="DM19" s="2" t="s">
        <v>143</v>
      </c>
      <c r="DN19" s="2" t="s">
        <v>143</v>
      </c>
      <c r="DO19" s="3"/>
      <c r="DP19" s="3"/>
      <c r="DQ19" s="2" t="s">
        <v>143</v>
      </c>
      <c r="DR19" s="2" t="s">
        <v>143</v>
      </c>
      <c r="DS19" s="2" t="s">
        <v>143</v>
      </c>
      <c r="DT19" s="2" t="s">
        <v>143</v>
      </c>
      <c r="DU19" s="2" t="s">
        <v>143</v>
      </c>
      <c r="DV19" s="3"/>
      <c r="DW19" s="3"/>
      <c r="DX19" s="3"/>
      <c r="DY19" s="2" t="s">
        <v>143</v>
      </c>
      <c r="DZ19" s="2" t="s">
        <v>143</v>
      </c>
      <c r="EA19" s="2" t="s">
        <v>143</v>
      </c>
      <c r="EB19" s="2" t="s">
        <v>143</v>
      </c>
      <c r="EC19" s="3"/>
      <c r="ED19" s="3"/>
      <c r="EE19" s="2" t="s">
        <v>143</v>
      </c>
      <c r="EF19" s="2" t="s">
        <v>143</v>
      </c>
      <c r="EG19" s="2" t="s">
        <v>143</v>
      </c>
      <c r="EH19" s="2" t="s">
        <v>143</v>
      </c>
      <c r="EI19" s="2" t="s">
        <v>143</v>
      </c>
      <c r="EJ19" s="3"/>
      <c r="EK19" s="3"/>
      <c r="EL19" s="2" t="s">
        <v>143</v>
      </c>
      <c r="EM19" s="2" t="s">
        <v>143</v>
      </c>
      <c r="EN19" s="2" t="s">
        <v>143</v>
      </c>
      <c r="EO19" s="2" t="s">
        <v>143</v>
      </c>
      <c r="EP19" s="2" t="s">
        <v>143</v>
      </c>
      <c r="EQ19" s="3"/>
      <c r="ER19" s="3"/>
      <c r="ES19" s="3"/>
      <c r="ET19" s="2" t="s">
        <v>143</v>
      </c>
      <c r="EU19" s="2" t="s">
        <v>143</v>
      </c>
      <c r="EV19" s="2" t="s">
        <v>143</v>
      </c>
      <c r="EW19" s="2" t="s">
        <v>143</v>
      </c>
      <c r="EX19" s="3"/>
      <c r="EY19" s="3"/>
      <c r="EZ19" s="2" t="s">
        <v>143</v>
      </c>
      <c r="FA19" s="2" t="s">
        <v>143</v>
      </c>
      <c r="FB19" s="2" t="s">
        <v>143</v>
      </c>
      <c r="FC19" s="2" t="s">
        <v>143</v>
      </c>
      <c r="FD19" s="2" t="s">
        <v>143</v>
      </c>
      <c r="FE19" s="3"/>
      <c r="FF19" s="3"/>
      <c r="FG19" s="2" t="s">
        <v>143</v>
      </c>
      <c r="FH19" s="2" t="s">
        <v>143</v>
      </c>
      <c r="FI19" s="2" t="s">
        <v>143</v>
      </c>
      <c r="FJ19" s="2" t="s">
        <v>143</v>
      </c>
      <c r="FK19" s="2" t="s">
        <v>143</v>
      </c>
      <c r="FL19" s="3"/>
      <c r="FM19" s="3"/>
      <c r="FN19" s="2" t="s">
        <v>143</v>
      </c>
      <c r="FO19" s="2" t="s">
        <v>143</v>
      </c>
      <c r="FP19" s="2" t="s">
        <v>143</v>
      </c>
      <c r="FQ19" s="2" t="s">
        <v>143</v>
      </c>
      <c r="FR19" s="2" t="s">
        <v>143</v>
      </c>
      <c r="FS19" s="3"/>
      <c r="FT19" s="3"/>
      <c r="FU19" s="2" t="s">
        <v>143</v>
      </c>
      <c r="FV19" s="2" t="s">
        <v>143</v>
      </c>
      <c r="FW19" s="2" t="s">
        <v>143</v>
      </c>
      <c r="FX19" s="2" t="s">
        <v>143</v>
      </c>
      <c r="FY19" s="2" t="s">
        <v>143</v>
      </c>
      <c r="FZ19" s="3"/>
      <c r="GA19" s="3"/>
      <c r="GB19" s="2" t="s">
        <v>143</v>
      </c>
      <c r="GC19" s="2" t="s">
        <v>143</v>
      </c>
      <c r="GD19" s="2" t="s">
        <v>143</v>
      </c>
      <c r="GE19" s="2" t="s">
        <v>143</v>
      </c>
      <c r="GF19" s="2" t="s">
        <v>143</v>
      </c>
      <c r="GG19" s="3"/>
      <c r="GH19" s="3"/>
      <c r="GI19" s="2" t="s">
        <v>143</v>
      </c>
      <c r="GJ19" s="2" t="s">
        <v>143</v>
      </c>
      <c r="GK19" s="2" t="s">
        <v>143</v>
      </c>
      <c r="GL19" s="2" t="s">
        <v>143</v>
      </c>
      <c r="GM19" s="2" t="s">
        <v>143</v>
      </c>
      <c r="GN19" s="3"/>
      <c r="GO19" s="3"/>
      <c r="GP19" s="2" t="s">
        <v>143</v>
      </c>
      <c r="GQ19" s="2" t="s">
        <v>143</v>
      </c>
      <c r="GR19" s="2" t="s">
        <v>143</v>
      </c>
      <c r="GS19" s="2" t="s">
        <v>143</v>
      </c>
      <c r="GT19" s="2" t="s">
        <v>143</v>
      </c>
      <c r="GU19" s="3"/>
      <c r="GV19" s="3"/>
      <c r="GW19" s="210" t="s">
        <v>421</v>
      </c>
      <c r="GX19" s="210" t="s">
        <v>421</v>
      </c>
      <c r="GY19" s="210" t="s">
        <v>421</v>
      </c>
      <c r="GZ19" s="210" t="s">
        <v>421</v>
      </c>
      <c r="HA19" s="210" t="s">
        <v>421</v>
      </c>
      <c r="HB19" s="3"/>
      <c r="HC19" s="3"/>
      <c r="HD19" s="81" t="s">
        <v>141</v>
      </c>
      <c r="HE19" s="81" t="s">
        <v>141</v>
      </c>
      <c r="HF19" s="81" t="s">
        <v>141</v>
      </c>
      <c r="HG19" s="81" t="s">
        <v>141</v>
      </c>
      <c r="HH19" s="81" t="s">
        <v>141</v>
      </c>
      <c r="HI19" s="3"/>
      <c r="HJ19" s="3"/>
      <c r="HK19" s="81" t="s">
        <v>141</v>
      </c>
      <c r="HL19" s="81" t="s">
        <v>141</v>
      </c>
      <c r="HM19" s="81" t="s">
        <v>141</v>
      </c>
      <c r="HN19" s="81" t="s">
        <v>141</v>
      </c>
      <c r="HO19" s="81" t="s">
        <v>141</v>
      </c>
      <c r="HP19" s="3"/>
      <c r="HQ19" s="3"/>
      <c r="HR19" s="2" t="s">
        <v>535</v>
      </c>
      <c r="HS19" s="2" t="s">
        <v>536</v>
      </c>
      <c r="HT19" s="210" t="s">
        <v>423</v>
      </c>
      <c r="HU19" s="210" t="s">
        <v>537</v>
      </c>
      <c r="HV19" s="2" t="s">
        <v>143</v>
      </c>
      <c r="HW19" s="3"/>
      <c r="HX19" s="3"/>
      <c r="HY19" s="2" t="s">
        <v>143</v>
      </c>
      <c r="HZ19" s="2" t="s">
        <v>143</v>
      </c>
      <c r="IA19" s="211" t="s">
        <v>424</v>
      </c>
      <c r="IB19" s="2" t="s">
        <v>143</v>
      </c>
      <c r="IC19" s="2" t="s">
        <v>143</v>
      </c>
      <c r="ID19" s="3"/>
      <c r="IE19" s="3"/>
      <c r="IF19" s="201" t="s">
        <v>386</v>
      </c>
      <c r="IG19" s="2" t="s">
        <v>515</v>
      </c>
      <c r="IH19" s="81" t="s">
        <v>141</v>
      </c>
      <c r="II19" s="2" t="s">
        <v>515</v>
      </c>
      <c r="IJ19" s="2" t="s">
        <v>143</v>
      </c>
      <c r="IK19" s="3"/>
      <c r="IL19" s="3"/>
      <c r="IM19" s="214" t="s">
        <v>143</v>
      </c>
      <c r="IN19" s="82" t="s">
        <v>538</v>
      </c>
      <c r="IO19" s="82" t="s">
        <v>408</v>
      </c>
      <c r="IP19" s="214" t="s">
        <v>143</v>
      </c>
      <c r="IQ19" s="214" t="s">
        <v>143</v>
      </c>
      <c r="IR19" s="3"/>
      <c r="IS19" s="3"/>
      <c r="IT19" s="82" t="s">
        <v>420</v>
      </c>
      <c r="IU19" s="82" t="s">
        <v>420</v>
      </c>
      <c r="IV19" s="82" t="s">
        <v>420</v>
      </c>
      <c r="IW19" s="82" t="s">
        <v>420</v>
      </c>
      <c r="IX19" s="82" t="s">
        <v>420</v>
      </c>
      <c r="IY19" s="3"/>
      <c r="IZ19" s="3" t="s">
        <v>539</v>
      </c>
      <c r="JA19" s="82" t="s">
        <v>540</v>
      </c>
      <c r="JB19" s="221" t="s">
        <v>541</v>
      </c>
      <c r="JC19" s="82" t="s">
        <v>542</v>
      </c>
      <c r="JD19" s="214" t="s">
        <v>143</v>
      </c>
      <c r="JE19" s="214" t="s">
        <v>143</v>
      </c>
      <c r="JF19" s="3"/>
      <c r="JG19" s="3"/>
      <c r="JH19" s="214" t="s">
        <v>148</v>
      </c>
      <c r="JI19" s="82"/>
      <c r="JJ19" s="82" t="s">
        <v>543</v>
      </c>
      <c r="JK19" s="82"/>
      <c r="JL19" s="214" t="s">
        <v>143</v>
      </c>
      <c r="JM19" s="3"/>
      <c r="JN19" s="3"/>
      <c r="JO19" s="214" t="s">
        <v>143</v>
      </c>
      <c r="JP19" s="214" t="s">
        <v>143</v>
      </c>
      <c r="JQ19" s="82" t="s">
        <v>431</v>
      </c>
      <c r="JR19" s="82" t="s">
        <v>431</v>
      </c>
      <c r="JS19" s="82" t="s">
        <v>487</v>
      </c>
      <c r="JT19" s="3"/>
      <c r="JU19" s="3"/>
      <c r="JV19" s="213" t="s">
        <v>339</v>
      </c>
      <c r="JW19" s="213" t="s">
        <v>339</v>
      </c>
      <c r="JX19" s="213" t="s">
        <v>339</v>
      </c>
      <c r="JY19" s="213" t="s">
        <v>339</v>
      </c>
      <c r="JZ19" s="213" t="s">
        <v>339</v>
      </c>
      <c r="KA19" s="3"/>
      <c r="KB19" s="3"/>
      <c r="KC19" s="82" t="s">
        <v>515</v>
      </c>
      <c r="KD19" s="82" t="s">
        <v>544</v>
      </c>
      <c r="KE19" s="82" t="s">
        <v>544</v>
      </c>
      <c r="KF19" s="214" t="s">
        <v>143</v>
      </c>
      <c r="KG19" s="214" t="s">
        <v>143</v>
      </c>
      <c r="KH19" s="3"/>
      <c r="KI19" s="3"/>
      <c r="KJ19" s="214" t="s">
        <v>526</v>
      </c>
      <c r="KK19" s="82" t="s">
        <v>526</v>
      </c>
      <c r="KL19" s="82" t="s">
        <v>545</v>
      </c>
      <c r="KM19" s="82" t="s">
        <v>545</v>
      </c>
      <c r="KN19" s="213" t="s">
        <v>404</v>
      </c>
      <c r="KO19" s="3"/>
      <c r="KP19" s="3"/>
      <c r="KQ19" s="214" t="s">
        <v>143</v>
      </c>
      <c r="KR19" s="215" t="s">
        <v>546</v>
      </c>
      <c r="KS19" s="215" t="s">
        <v>546</v>
      </c>
      <c r="KT19" s="213" t="s">
        <v>393</v>
      </c>
      <c r="KU19" s="213" t="s">
        <v>394</v>
      </c>
      <c r="KV19" s="3"/>
      <c r="KW19" s="3"/>
      <c r="KX19" s="82" t="s">
        <v>143</v>
      </c>
      <c r="KY19" s="82" t="s">
        <v>237</v>
      </c>
      <c r="KZ19" s="82" t="s">
        <v>143</v>
      </c>
      <c r="LA19" s="214" t="s">
        <v>143</v>
      </c>
      <c r="LB19" s="214" t="s">
        <v>143</v>
      </c>
      <c r="LC19" s="3"/>
      <c r="LD19" s="3"/>
      <c r="LE19" s="82" t="s">
        <v>408</v>
      </c>
      <c r="LF19" s="82" t="s">
        <v>408</v>
      </c>
      <c r="LG19" s="82" t="s">
        <v>408</v>
      </c>
      <c r="LH19" s="82" t="s">
        <v>547</v>
      </c>
      <c r="LI19" s="82" t="s">
        <v>547</v>
      </c>
      <c r="LJ19" s="3"/>
      <c r="LK19" s="3"/>
      <c r="LL19" s="214" t="s">
        <v>143</v>
      </c>
      <c r="LM19" s="214" t="s">
        <v>143</v>
      </c>
      <c r="LN19" s="214" t="s">
        <v>143</v>
      </c>
      <c r="LO19" s="214" t="s">
        <v>143</v>
      </c>
      <c r="LP19" s="214" t="s">
        <v>143</v>
      </c>
      <c r="LQ19" s="3"/>
      <c r="LR19" s="3"/>
      <c r="LS19" s="82" t="s">
        <v>408</v>
      </c>
      <c r="LT19" s="82" t="s">
        <v>548</v>
      </c>
      <c r="LU19" s="214" t="s">
        <v>143</v>
      </c>
      <c r="LV19" s="214" t="s">
        <v>143</v>
      </c>
      <c r="LW19" s="214" t="s">
        <v>143</v>
      </c>
      <c r="LX19" s="3"/>
      <c r="LY19" s="3"/>
      <c r="LZ19" s="214" t="s">
        <v>143</v>
      </c>
      <c r="MA19" s="214" t="s">
        <v>143</v>
      </c>
      <c r="MB19" s="214" t="s">
        <v>143</v>
      </c>
      <c r="MC19" s="213" t="s">
        <v>549</v>
      </c>
      <c r="MD19" s="213" t="s">
        <v>309</v>
      </c>
      <c r="ME19" s="3"/>
      <c r="MF19" s="3"/>
      <c r="MG19" s="82" t="s">
        <v>550</v>
      </c>
      <c r="MH19" s="82" t="s">
        <v>324</v>
      </c>
      <c r="MI19" s="214" t="s">
        <v>143</v>
      </c>
      <c r="MJ19" s="214" t="s">
        <v>143</v>
      </c>
      <c r="MK19" s="214" t="s">
        <v>143</v>
      </c>
      <c r="ML19" s="3"/>
      <c r="MM19" s="3"/>
      <c r="MN19" s="82" t="s">
        <v>420</v>
      </c>
      <c r="MO19" s="215" t="s">
        <v>442</v>
      </c>
      <c r="MP19" s="215" t="s">
        <v>442</v>
      </c>
      <c r="MQ19" s="219" t="s">
        <v>141</v>
      </c>
      <c r="MR19" s="82" t="s">
        <v>442</v>
      </c>
      <c r="MS19" s="3"/>
      <c r="MT19" s="3"/>
      <c r="MU19" s="219" t="s">
        <v>141</v>
      </c>
      <c r="MV19" s="219" t="s">
        <v>141</v>
      </c>
      <c r="MW19" s="219" t="s">
        <v>141</v>
      </c>
      <c r="MX19" s="3"/>
      <c r="MY19" s="3"/>
      <c r="MZ19" s="3"/>
      <c r="NA19" s="3"/>
      <c r="NB19" s="214" t="s">
        <v>143</v>
      </c>
      <c r="NC19" s="214" t="s">
        <v>143</v>
      </c>
      <c r="ND19" s="214" t="s">
        <v>143</v>
      </c>
      <c r="NE19" s="3"/>
      <c r="NF19" s="225" t="s">
        <v>141</v>
      </c>
    </row>
    <row r="20" spans="1:370">
      <c r="A20" s="109" t="s">
        <v>193</v>
      </c>
      <c r="B20" s="49" t="s">
        <v>38</v>
      </c>
      <c r="C20" s="110" t="s">
        <v>319</v>
      </c>
      <c r="D20" s="3"/>
      <c r="E20" s="2" t="s">
        <v>143</v>
      </c>
      <c r="F20" s="2" t="s">
        <v>143</v>
      </c>
      <c r="G20" s="3"/>
      <c r="H20" s="3"/>
      <c r="I20" s="2" t="s">
        <v>143</v>
      </c>
      <c r="J20" s="2" t="s">
        <v>143</v>
      </c>
      <c r="K20" s="2" t="s">
        <v>143</v>
      </c>
      <c r="L20" s="2" t="s">
        <v>143</v>
      </c>
      <c r="M20" s="2" t="s">
        <v>143</v>
      </c>
      <c r="N20" s="3"/>
      <c r="O20" s="3"/>
      <c r="P20" s="2" t="s">
        <v>143</v>
      </c>
      <c r="Q20" s="2" t="s">
        <v>143</v>
      </c>
      <c r="R20" s="2" t="s">
        <v>143</v>
      </c>
      <c r="S20" s="2" t="s">
        <v>143</v>
      </c>
      <c r="T20" s="2" t="s">
        <v>143</v>
      </c>
      <c r="U20" s="3"/>
      <c r="V20" s="3"/>
      <c r="W20" s="2" t="s">
        <v>143</v>
      </c>
      <c r="X20" s="2" t="s">
        <v>143</v>
      </c>
      <c r="Y20" s="2" t="s">
        <v>143</v>
      </c>
      <c r="Z20" s="2" t="s">
        <v>143</v>
      </c>
      <c r="AA20" s="2" t="s">
        <v>143</v>
      </c>
      <c r="AB20" s="3"/>
      <c r="AC20" s="3"/>
      <c r="AD20" s="2" t="s">
        <v>143</v>
      </c>
      <c r="AE20" s="2" t="s">
        <v>143</v>
      </c>
      <c r="AF20" s="79" t="s">
        <v>140</v>
      </c>
      <c r="AG20" s="2" t="s">
        <v>143</v>
      </c>
      <c r="AH20" s="79" t="s">
        <v>140</v>
      </c>
      <c r="AI20" s="3"/>
      <c r="AJ20" s="3"/>
      <c r="AK20" s="2" t="s">
        <v>143</v>
      </c>
      <c r="AL20" s="2" t="s">
        <v>143</v>
      </c>
      <c r="AM20" s="2" t="s">
        <v>143</v>
      </c>
      <c r="AN20" s="2" t="s">
        <v>143</v>
      </c>
      <c r="AO20" s="2" t="s">
        <v>143</v>
      </c>
      <c r="AP20" s="3"/>
      <c r="AQ20" s="3"/>
      <c r="AR20" s="2" t="s">
        <v>143</v>
      </c>
      <c r="AS20" s="2" t="s">
        <v>143</v>
      </c>
      <c r="AT20" s="2" t="s">
        <v>143</v>
      </c>
      <c r="AU20" s="2" t="s">
        <v>143</v>
      </c>
      <c r="AV20" s="2" t="s">
        <v>143</v>
      </c>
      <c r="AW20" s="3"/>
      <c r="AX20" s="3"/>
      <c r="AY20" s="2" t="s">
        <v>143</v>
      </c>
      <c r="AZ20" s="2" t="s">
        <v>143</v>
      </c>
      <c r="BA20" s="11" t="s">
        <v>141</v>
      </c>
      <c r="BB20" s="2" t="s">
        <v>143</v>
      </c>
      <c r="BC20" s="2" t="s">
        <v>143</v>
      </c>
      <c r="BD20" s="3"/>
      <c r="BE20" s="3"/>
      <c r="BF20" s="2" t="s">
        <v>143</v>
      </c>
      <c r="BG20" s="2" t="s">
        <v>143</v>
      </c>
      <c r="BH20" s="11" t="s">
        <v>141</v>
      </c>
      <c r="BI20" s="2" t="s">
        <v>143</v>
      </c>
      <c r="BJ20" s="2" t="s">
        <v>143</v>
      </c>
      <c r="BK20" s="3"/>
      <c r="BL20" s="3"/>
      <c r="BM20" s="2" t="s">
        <v>143</v>
      </c>
      <c r="BN20" s="2" t="s">
        <v>143</v>
      </c>
      <c r="BO20" s="11" t="s">
        <v>141</v>
      </c>
      <c r="BP20" s="2" t="s">
        <v>143</v>
      </c>
      <c r="BQ20" s="2" t="s">
        <v>143</v>
      </c>
      <c r="BR20" s="3"/>
      <c r="BS20" s="3"/>
      <c r="BT20" s="2" t="s">
        <v>143</v>
      </c>
      <c r="BU20" s="2" t="s">
        <v>143</v>
      </c>
      <c r="BV20" s="11" t="s">
        <v>141</v>
      </c>
      <c r="BW20" s="2" t="s">
        <v>143</v>
      </c>
      <c r="BX20" s="2" t="s">
        <v>143</v>
      </c>
      <c r="BY20" s="3"/>
      <c r="BZ20" s="3"/>
      <c r="CA20" s="2" t="s">
        <v>143</v>
      </c>
      <c r="CB20" s="2" t="s">
        <v>143</v>
      </c>
      <c r="CC20" s="11" t="s">
        <v>141</v>
      </c>
      <c r="CD20" s="2" t="s">
        <v>143</v>
      </c>
      <c r="CE20" s="2" t="s">
        <v>143</v>
      </c>
      <c r="CF20" s="3"/>
      <c r="CG20" s="3"/>
      <c r="CH20" s="2" t="s">
        <v>143</v>
      </c>
      <c r="CI20" s="2" t="s">
        <v>143</v>
      </c>
      <c r="CJ20" s="11" t="s">
        <v>141</v>
      </c>
      <c r="CK20" s="2" t="s">
        <v>143</v>
      </c>
      <c r="CL20" s="2" t="s">
        <v>143</v>
      </c>
      <c r="CM20" s="3"/>
      <c r="CN20" s="3"/>
      <c r="CO20" s="2" t="s">
        <v>143</v>
      </c>
      <c r="CP20" s="2" t="s">
        <v>143</v>
      </c>
      <c r="CQ20" s="2" t="s">
        <v>143</v>
      </c>
      <c r="CR20" s="2" t="s">
        <v>143</v>
      </c>
      <c r="CS20" s="2" t="s">
        <v>143</v>
      </c>
      <c r="CT20" s="3"/>
      <c r="CU20" s="3"/>
      <c r="CV20" s="2" t="s">
        <v>143</v>
      </c>
      <c r="CW20" s="2" t="s">
        <v>143</v>
      </c>
      <c r="CX20" s="2" t="s">
        <v>143</v>
      </c>
      <c r="CY20" s="2" t="s">
        <v>143</v>
      </c>
      <c r="CZ20" s="2" t="s">
        <v>143</v>
      </c>
      <c r="DA20" s="3"/>
      <c r="DB20" s="3"/>
      <c r="DC20" s="2" t="s">
        <v>143</v>
      </c>
      <c r="DD20" s="2" t="s">
        <v>143</v>
      </c>
      <c r="DE20" s="2" t="s">
        <v>143</v>
      </c>
      <c r="DF20" s="2" t="s">
        <v>143</v>
      </c>
      <c r="DG20" s="3"/>
      <c r="DH20" s="3"/>
      <c r="DI20" s="3"/>
      <c r="DJ20" s="3"/>
      <c r="DK20" s="2" t="s">
        <v>143</v>
      </c>
      <c r="DL20" s="2" t="s">
        <v>143</v>
      </c>
      <c r="DM20" s="2" t="s">
        <v>143</v>
      </c>
      <c r="DN20" s="2" t="s">
        <v>143</v>
      </c>
      <c r="DO20" s="3"/>
      <c r="DP20" s="3"/>
      <c r="DQ20" s="81" t="s">
        <v>141</v>
      </c>
      <c r="DR20" s="81" t="s">
        <v>141</v>
      </c>
      <c r="DS20" s="81" t="s">
        <v>141</v>
      </c>
      <c r="DT20" s="81" t="s">
        <v>141</v>
      </c>
      <c r="DU20" s="81" t="s">
        <v>141</v>
      </c>
      <c r="DV20" s="3"/>
      <c r="DW20" s="3"/>
      <c r="DX20" s="3"/>
      <c r="DY20" s="2" t="s">
        <v>143</v>
      </c>
      <c r="DZ20" s="2" t="s">
        <v>143</v>
      </c>
      <c r="EA20" s="2" t="s">
        <v>143</v>
      </c>
      <c r="EB20" s="2" t="s">
        <v>143</v>
      </c>
      <c r="EC20" s="3"/>
      <c r="ED20" s="3"/>
      <c r="EE20" s="2" t="s">
        <v>143</v>
      </c>
      <c r="EF20" s="2" t="s">
        <v>143</v>
      </c>
      <c r="EG20" s="2" t="s">
        <v>143</v>
      </c>
      <c r="EH20" s="2" t="s">
        <v>143</v>
      </c>
      <c r="EI20" s="2" t="s">
        <v>143</v>
      </c>
      <c r="EJ20" s="3"/>
      <c r="EK20" s="3"/>
      <c r="EL20" s="2" t="s">
        <v>143</v>
      </c>
      <c r="EM20" s="2" t="s">
        <v>143</v>
      </c>
      <c r="EN20" s="2" t="s">
        <v>143</v>
      </c>
      <c r="EO20" s="2" t="s">
        <v>143</v>
      </c>
      <c r="EP20" s="2" t="s">
        <v>143</v>
      </c>
      <c r="EQ20" s="3"/>
      <c r="ER20" s="3"/>
      <c r="ES20" s="3"/>
      <c r="ET20" s="2" t="s">
        <v>143</v>
      </c>
      <c r="EU20" s="2" t="s">
        <v>143</v>
      </c>
      <c r="EV20" s="2" t="s">
        <v>143</v>
      </c>
      <c r="EW20" s="2" t="s">
        <v>143</v>
      </c>
      <c r="EX20" s="3"/>
      <c r="EY20" s="3"/>
      <c r="EZ20" s="2" t="s">
        <v>143</v>
      </c>
      <c r="FA20" s="2" t="s">
        <v>143</v>
      </c>
      <c r="FB20" s="2" t="s">
        <v>143</v>
      </c>
      <c r="FC20" s="2" t="s">
        <v>143</v>
      </c>
      <c r="FD20" s="2" t="s">
        <v>143</v>
      </c>
      <c r="FE20" s="3"/>
      <c r="FF20" s="3"/>
      <c r="FG20" s="2" t="s">
        <v>143</v>
      </c>
      <c r="FH20" s="2" t="s">
        <v>143</v>
      </c>
      <c r="FI20" s="2" t="s">
        <v>143</v>
      </c>
      <c r="FJ20" s="2" t="s">
        <v>143</v>
      </c>
      <c r="FK20" s="2" t="s">
        <v>143</v>
      </c>
      <c r="FL20" s="3"/>
      <c r="FM20" s="3"/>
      <c r="FN20" s="2" t="s">
        <v>143</v>
      </c>
      <c r="FO20" s="2" t="s">
        <v>143</v>
      </c>
      <c r="FP20" s="2" t="s">
        <v>143</v>
      </c>
      <c r="FQ20" s="2" t="s">
        <v>143</v>
      </c>
      <c r="FR20" s="2" t="s">
        <v>143</v>
      </c>
      <c r="FS20" s="3"/>
      <c r="FT20" s="3"/>
      <c r="FU20" s="2" t="s">
        <v>143</v>
      </c>
      <c r="FV20" s="2" t="s">
        <v>143</v>
      </c>
      <c r="FW20" s="2" t="s">
        <v>143</v>
      </c>
      <c r="FX20" s="2" t="s">
        <v>143</v>
      </c>
      <c r="FY20" s="2" t="s">
        <v>143</v>
      </c>
      <c r="FZ20" s="3"/>
      <c r="GA20" s="3"/>
      <c r="GB20" s="2" t="s">
        <v>143</v>
      </c>
      <c r="GC20" s="2" t="s">
        <v>143</v>
      </c>
      <c r="GD20" s="2" t="s">
        <v>143</v>
      </c>
      <c r="GE20" s="2" t="s">
        <v>143</v>
      </c>
      <c r="GF20" s="2" t="s">
        <v>143</v>
      </c>
      <c r="GG20" s="3"/>
      <c r="GH20" s="3"/>
      <c r="GI20" s="2" t="s">
        <v>143</v>
      </c>
      <c r="GJ20" s="2" t="s">
        <v>143</v>
      </c>
      <c r="GK20" s="81" t="s">
        <v>141</v>
      </c>
      <c r="GL20" s="2" t="s">
        <v>143</v>
      </c>
      <c r="GM20" s="2" t="s">
        <v>143</v>
      </c>
      <c r="GN20" s="3"/>
      <c r="GO20" s="3"/>
      <c r="GP20" s="2" t="s">
        <v>143</v>
      </c>
      <c r="GQ20" s="2" t="s">
        <v>143</v>
      </c>
      <c r="GR20" s="2" t="s">
        <v>143</v>
      </c>
      <c r="GS20" s="2" t="s">
        <v>143</v>
      </c>
      <c r="GT20" s="81" t="s">
        <v>141</v>
      </c>
      <c r="GU20" s="3"/>
      <c r="GV20" s="3"/>
      <c r="GW20" s="81" t="s">
        <v>141</v>
      </c>
      <c r="GX20" s="81" t="s">
        <v>141</v>
      </c>
      <c r="GY20" s="81" t="s">
        <v>141</v>
      </c>
      <c r="GZ20" s="210" t="s">
        <v>551</v>
      </c>
      <c r="HA20" s="210" t="s">
        <v>552</v>
      </c>
      <c r="HB20" s="3"/>
      <c r="HC20" s="3"/>
      <c r="HD20" s="2" t="s">
        <v>143</v>
      </c>
      <c r="HE20" s="2" t="s">
        <v>143</v>
      </c>
      <c r="HF20" s="2" t="s">
        <v>143</v>
      </c>
      <c r="HG20" s="2" t="s">
        <v>143</v>
      </c>
      <c r="HH20" s="2" t="s">
        <v>143</v>
      </c>
      <c r="HI20" s="3"/>
      <c r="HJ20" s="3"/>
      <c r="HK20" s="2" t="s">
        <v>143</v>
      </c>
      <c r="HL20" s="2" t="s">
        <v>143</v>
      </c>
      <c r="HM20" s="2" t="s">
        <v>143</v>
      </c>
      <c r="HN20" s="2" t="s">
        <v>143</v>
      </c>
      <c r="HO20" s="2" t="s">
        <v>143</v>
      </c>
      <c r="HP20" s="3"/>
      <c r="HQ20" s="3"/>
      <c r="HR20" s="2" t="s">
        <v>553</v>
      </c>
      <c r="HS20" s="210" t="s">
        <v>554</v>
      </c>
      <c r="HT20" s="210" t="s">
        <v>555</v>
      </c>
      <c r="HU20" s="210" t="s">
        <v>537</v>
      </c>
      <c r="HV20" s="2" t="s">
        <v>143</v>
      </c>
      <c r="HW20" s="3"/>
      <c r="HX20" s="3"/>
      <c r="HY20" s="2" t="s">
        <v>143</v>
      </c>
      <c r="HZ20" s="2" t="s">
        <v>143</v>
      </c>
      <c r="IA20" s="211" t="s">
        <v>556</v>
      </c>
      <c r="IB20" s="211" t="s">
        <v>557</v>
      </c>
      <c r="IC20" s="2" t="s">
        <v>143</v>
      </c>
      <c r="ID20" s="3"/>
      <c r="IE20" s="3"/>
      <c r="IF20" s="201" t="s">
        <v>386</v>
      </c>
      <c r="IG20" s="211" t="s">
        <v>558</v>
      </c>
      <c r="IH20" s="79" t="s">
        <v>396</v>
      </c>
      <c r="II20" s="211" t="s">
        <v>559</v>
      </c>
      <c r="IJ20" s="2" t="s">
        <v>515</v>
      </c>
      <c r="IK20" s="3"/>
      <c r="IL20" s="3"/>
      <c r="IM20" s="214" t="s">
        <v>143</v>
      </c>
      <c r="IN20" s="213" t="s">
        <v>397</v>
      </c>
      <c r="IO20" s="213" t="s">
        <v>397</v>
      </c>
      <c r="IP20" s="213" t="s">
        <v>397</v>
      </c>
      <c r="IQ20" s="82" t="s">
        <v>324</v>
      </c>
      <c r="IR20" s="3"/>
      <c r="IS20" s="3"/>
      <c r="IT20" s="82" t="s">
        <v>324</v>
      </c>
      <c r="IU20" s="213" t="s">
        <v>397</v>
      </c>
      <c r="IV20" s="213" t="s">
        <v>397</v>
      </c>
      <c r="IW20" s="213" t="s">
        <v>397</v>
      </c>
      <c r="IX20" s="82" t="s">
        <v>324</v>
      </c>
      <c r="IY20" s="3"/>
      <c r="IZ20" s="3"/>
      <c r="JA20" s="82" t="s">
        <v>560</v>
      </c>
      <c r="JB20" s="214" t="s">
        <v>143</v>
      </c>
      <c r="JC20" s="214" t="s">
        <v>143</v>
      </c>
      <c r="JD20" s="214" t="s">
        <v>143</v>
      </c>
      <c r="JE20" s="214" t="s">
        <v>143</v>
      </c>
      <c r="JF20" s="3"/>
      <c r="JG20" s="3"/>
      <c r="JH20" s="214" t="s">
        <v>143</v>
      </c>
      <c r="JI20" s="214" t="s">
        <v>143</v>
      </c>
      <c r="JJ20" s="214" t="s">
        <v>143</v>
      </c>
      <c r="JK20" s="214" t="s">
        <v>143</v>
      </c>
      <c r="JL20" s="214" t="s">
        <v>143</v>
      </c>
      <c r="JM20" s="3"/>
      <c r="JN20" s="3"/>
      <c r="JO20" s="82" t="s">
        <v>561</v>
      </c>
      <c r="JP20" s="214" t="s">
        <v>324</v>
      </c>
      <c r="JQ20" s="82" t="s">
        <v>562</v>
      </c>
      <c r="JR20" s="82" t="s">
        <v>563</v>
      </c>
      <c r="JS20" s="82" t="s">
        <v>563</v>
      </c>
      <c r="JT20" s="3"/>
      <c r="JU20" s="3"/>
      <c r="JV20" s="82" t="s">
        <v>564</v>
      </c>
      <c r="JW20" s="214" t="s">
        <v>143</v>
      </c>
      <c r="JX20" s="82" t="s">
        <v>565</v>
      </c>
      <c r="JY20" s="82" t="s">
        <v>566</v>
      </c>
      <c r="JZ20" s="82" t="s">
        <v>488</v>
      </c>
      <c r="KA20" s="3"/>
      <c r="KB20" s="3"/>
      <c r="KC20" s="82" t="s">
        <v>567</v>
      </c>
      <c r="KD20" s="82" t="s">
        <v>18</v>
      </c>
      <c r="KE20" s="82" t="s">
        <v>568</v>
      </c>
      <c r="KF20" s="82" t="s">
        <v>568</v>
      </c>
      <c r="KG20" s="82" t="s">
        <v>569</v>
      </c>
      <c r="KH20" s="3"/>
      <c r="KI20" s="3"/>
      <c r="KJ20" s="82" t="s">
        <v>453</v>
      </c>
      <c r="KK20" s="82" t="s">
        <v>453</v>
      </c>
      <c r="KL20" s="82" t="s">
        <v>453</v>
      </c>
      <c r="KM20" s="82" t="s">
        <v>453</v>
      </c>
      <c r="KN20" s="82" t="s">
        <v>453</v>
      </c>
      <c r="KO20" s="3"/>
      <c r="KP20" s="3"/>
      <c r="KQ20" s="82" t="s">
        <v>324</v>
      </c>
      <c r="KR20" s="82" t="s">
        <v>453</v>
      </c>
      <c r="KS20" s="82" t="s">
        <v>453</v>
      </c>
      <c r="KT20" s="82" t="s">
        <v>351</v>
      </c>
      <c r="KU20" s="82" t="s">
        <v>351</v>
      </c>
      <c r="KV20" s="3"/>
      <c r="KW20" s="3"/>
      <c r="KX20" s="82" t="s">
        <v>351</v>
      </c>
      <c r="KY20" s="82" t="s">
        <v>351</v>
      </c>
      <c r="KZ20" s="82" t="s">
        <v>570</v>
      </c>
      <c r="LA20" s="82" t="s">
        <v>282</v>
      </c>
      <c r="LB20" s="214" t="s">
        <v>143</v>
      </c>
      <c r="LC20" s="3"/>
      <c r="LD20" s="3"/>
      <c r="LE20" s="214" t="s">
        <v>143</v>
      </c>
      <c r="LF20" s="82" t="s">
        <v>282</v>
      </c>
      <c r="LG20" s="82" t="s">
        <v>571</v>
      </c>
      <c r="LH20" s="82" t="s">
        <v>572</v>
      </c>
      <c r="LI20" s="82" t="s">
        <v>573</v>
      </c>
      <c r="LJ20" s="3"/>
      <c r="LK20" s="3"/>
      <c r="LL20" s="82" t="s">
        <v>351</v>
      </c>
      <c r="LM20" s="82" t="s">
        <v>574</v>
      </c>
      <c r="LN20" s="214" t="s">
        <v>143</v>
      </c>
      <c r="LO20" s="214" t="s">
        <v>143</v>
      </c>
      <c r="LP20" s="218" t="s">
        <v>141</v>
      </c>
      <c r="LQ20" s="3"/>
      <c r="LR20" s="3"/>
      <c r="LS20" s="82" t="s">
        <v>408</v>
      </c>
      <c r="LT20" s="82" t="s">
        <v>324</v>
      </c>
      <c r="LU20" s="82" t="s">
        <v>575</v>
      </c>
      <c r="LV20" s="214" t="s">
        <v>143</v>
      </c>
      <c r="LW20" s="82" t="s">
        <v>413</v>
      </c>
      <c r="LX20" s="3"/>
      <c r="LY20" s="3"/>
      <c r="LZ20" s="82" t="s">
        <v>324</v>
      </c>
      <c r="MA20" s="213" t="s">
        <v>576</v>
      </c>
      <c r="MB20" s="213" t="s">
        <v>576</v>
      </c>
      <c r="MC20" s="213" t="s">
        <v>576</v>
      </c>
      <c r="MD20" s="214" t="s">
        <v>143</v>
      </c>
      <c r="ME20" s="3"/>
      <c r="MF20" s="3"/>
      <c r="MG20" s="214" t="s">
        <v>143</v>
      </c>
      <c r="MH20" s="214" t="s">
        <v>143</v>
      </c>
      <c r="MI20" s="219" t="s">
        <v>141</v>
      </c>
      <c r="MJ20" s="82" t="s">
        <v>572</v>
      </c>
      <c r="MK20" s="214" t="s">
        <v>143</v>
      </c>
      <c r="ML20" s="3"/>
      <c r="MM20" s="3"/>
      <c r="MN20" s="214" t="s">
        <v>143</v>
      </c>
      <c r="MO20" s="214" t="s">
        <v>143</v>
      </c>
      <c r="MP20" s="82" t="s">
        <v>509</v>
      </c>
      <c r="MQ20" s="82" t="s">
        <v>283</v>
      </c>
      <c r="MR20" s="82" t="s">
        <v>330</v>
      </c>
      <c r="MS20" s="3"/>
      <c r="MT20" s="3"/>
      <c r="MU20" s="214" t="s">
        <v>143</v>
      </c>
      <c r="MV20" s="214" t="s">
        <v>143</v>
      </c>
      <c r="MW20" s="214" t="s">
        <v>143</v>
      </c>
      <c r="MX20" s="3"/>
      <c r="MY20" s="3"/>
      <c r="MZ20" s="3"/>
      <c r="NA20" s="3"/>
      <c r="NB20" s="214" t="s">
        <v>143</v>
      </c>
      <c r="NC20" s="214" t="s">
        <v>143</v>
      </c>
      <c r="ND20" s="214" t="s">
        <v>143</v>
      </c>
      <c r="NE20" s="3"/>
      <c r="NF20" s="214" t="s">
        <v>143</v>
      </c>
    </row>
    <row r="21" spans="1:370">
      <c r="A21" s="111" t="s">
        <v>194</v>
      </c>
      <c r="B21" s="42"/>
      <c r="C21" s="108"/>
      <c r="D21" s="3"/>
      <c r="E21" s="42"/>
      <c r="F21" s="42"/>
      <c r="G21" s="3"/>
      <c r="H21" s="3"/>
      <c r="I21" s="42"/>
      <c r="J21" s="42"/>
      <c r="K21" s="42"/>
      <c r="L21" s="42"/>
      <c r="M21" s="42"/>
      <c r="N21" s="3"/>
      <c r="O21" s="3"/>
      <c r="P21" s="42"/>
      <c r="Q21" s="42"/>
      <c r="R21" s="42"/>
      <c r="S21" s="42"/>
      <c r="T21" s="42"/>
      <c r="U21" s="24"/>
      <c r="V21" s="24"/>
      <c r="W21" s="42"/>
      <c r="X21" s="42"/>
      <c r="Y21" s="42"/>
      <c r="Z21" s="42"/>
      <c r="AA21" s="42"/>
      <c r="AB21" s="24"/>
      <c r="AC21" s="24"/>
      <c r="AD21" s="42"/>
      <c r="AE21" s="42"/>
      <c r="AF21" s="42"/>
      <c r="AG21" s="42"/>
      <c r="AH21" s="42"/>
      <c r="AI21" s="24"/>
      <c r="AJ21" s="24"/>
      <c r="AK21" s="39"/>
      <c r="AL21" s="39"/>
      <c r="AM21" s="39"/>
      <c r="AN21" s="39"/>
      <c r="AO21" s="39"/>
      <c r="AP21" s="24"/>
      <c r="AQ21" s="24"/>
      <c r="AR21" s="39"/>
      <c r="AS21" s="39"/>
      <c r="AT21" s="39"/>
      <c r="AU21" s="39"/>
      <c r="AV21" s="39"/>
      <c r="AW21" s="24"/>
      <c r="AX21" s="24"/>
      <c r="AY21" s="39"/>
      <c r="AZ21" s="39"/>
      <c r="BA21" s="39"/>
      <c r="BB21" s="39"/>
      <c r="BC21" s="39"/>
      <c r="BD21" s="24"/>
      <c r="BE21" s="24"/>
      <c r="BF21" s="39"/>
      <c r="BG21" s="39"/>
      <c r="BH21" s="39"/>
      <c r="BI21" s="39"/>
      <c r="BJ21" s="39"/>
      <c r="BK21" s="24"/>
      <c r="BL21" s="24"/>
      <c r="BM21" s="39"/>
      <c r="BN21" s="39"/>
      <c r="BO21" s="39"/>
      <c r="BP21" s="39"/>
      <c r="BQ21" s="39"/>
      <c r="BR21" s="24"/>
      <c r="BS21" s="24"/>
      <c r="BT21" s="39"/>
      <c r="BU21" s="39"/>
      <c r="BV21" s="39"/>
      <c r="BW21" s="39"/>
      <c r="BX21" s="39"/>
      <c r="BY21" s="24"/>
      <c r="BZ21" s="24"/>
      <c r="CA21" s="39"/>
      <c r="CB21" s="39"/>
      <c r="CC21" s="39"/>
      <c r="CD21" s="39"/>
      <c r="CE21" s="39"/>
      <c r="CF21" s="24"/>
      <c r="CG21" s="24"/>
      <c r="CH21" s="39"/>
      <c r="CI21" s="39"/>
      <c r="CJ21" s="39"/>
      <c r="CK21" s="39"/>
      <c r="CL21" s="39"/>
      <c r="CM21" s="24"/>
      <c r="CN21" s="24"/>
      <c r="CO21" s="39"/>
      <c r="CP21" s="39"/>
      <c r="CQ21" s="39"/>
      <c r="CR21" s="39"/>
      <c r="CS21" s="39"/>
      <c r="CT21" s="24"/>
      <c r="CU21" s="24"/>
      <c r="CV21" s="39"/>
      <c r="CW21" s="39"/>
      <c r="CX21" s="39"/>
      <c r="CY21" s="39"/>
      <c r="CZ21" s="39"/>
      <c r="DA21" s="24"/>
      <c r="DB21" s="24"/>
      <c r="DC21" s="39"/>
      <c r="DD21" s="39"/>
      <c r="DE21" s="39"/>
      <c r="DF21" s="39"/>
      <c r="DG21" s="24"/>
      <c r="DH21" s="24"/>
      <c r="DI21" s="24"/>
      <c r="DJ21" s="24"/>
      <c r="DK21" s="39"/>
      <c r="DL21" s="39"/>
      <c r="DM21" s="39"/>
      <c r="DN21" s="39"/>
      <c r="DO21" s="24"/>
      <c r="DP21" s="24"/>
      <c r="DQ21" s="39"/>
      <c r="DR21" s="39"/>
      <c r="DS21" s="39"/>
      <c r="DT21" s="39"/>
      <c r="DU21" s="39"/>
      <c r="DV21" s="24"/>
      <c r="DW21" s="24"/>
      <c r="DX21" s="24"/>
      <c r="DY21" s="39"/>
      <c r="DZ21" s="39"/>
      <c r="EA21" s="39"/>
      <c r="EB21" s="39"/>
      <c r="EC21" s="24"/>
      <c r="ED21" s="24"/>
      <c r="EE21" s="39"/>
      <c r="EF21" s="39"/>
      <c r="EG21" s="39"/>
      <c r="EH21" s="39"/>
      <c r="EI21" s="39"/>
      <c r="EJ21" s="24"/>
      <c r="EK21" s="24"/>
      <c r="EL21" s="39"/>
      <c r="EM21" s="39"/>
      <c r="EN21" s="39"/>
      <c r="EO21" s="39"/>
      <c r="EP21" s="39"/>
      <c r="EQ21" s="24"/>
      <c r="ER21" s="24"/>
      <c r="ES21" s="24"/>
      <c r="ET21" s="39"/>
      <c r="EU21" s="39"/>
      <c r="EV21" s="39"/>
      <c r="EW21" s="39"/>
      <c r="EX21" s="24"/>
      <c r="EY21" s="24"/>
      <c r="EZ21" s="39"/>
      <c r="FA21" s="39"/>
      <c r="FB21" s="39"/>
      <c r="FC21" s="39"/>
      <c r="FD21" s="39"/>
      <c r="FE21" s="3"/>
      <c r="FF21" s="3"/>
      <c r="FG21" s="39"/>
      <c r="FH21" s="39"/>
      <c r="FI21" s="39"/>
      <c r="FJ21" s="39"/>
      <c r="FK21" s="39"/>
      <c r="FL21" s="24"/>
      <c r="FM21" s="24"/>
      <c r="FN21" s="39"/>
      <c r="FO21" s="39"/>
      <c r="FP21" s="39"/>
      <c r="FQ21" s="39"/>
      <c r="FR21" s="39"/>
      <c r="FS21" s="24"/>
      <c r="FT21" s="24"/>
      <c r="FU21" s="39"/>
      <c r="FV21" s="39"/>
      <c r="FW21" s="39"/>
      <c r="FX21" s="39"/>
      <c r="FY21" s="39"/>
      <c r="FZ21" s="24"/>
      <c r="GA21" s="24"/>
      <c r="GB21" s="39"/>
      <c r="GC21" s="39"/>
      <c r="GD21" s="39"/>
      <c r="GE21" s="39"/>
      <c r="GF21" s="39"/>
      <c r="GG21" s="24"/>
      <c r="GH21" s="24"/>
      <c r="GI21" s="39"/>
      <c r="GJ21" s="39"/>
      <c r="GK21" s="39"/>
      <c r="GL21" s="39"/>
      <c r="GM21" s="39"/>
      <c r="GN21" s="24"/>
      <c r="GO21" s="24"/>
      <c r="GP21" s="39"/>
      <c r="GQ21" s="39"/>
      <c r="GR21" s="39"/>
      <c r="GS21" s="39"/>
      <c r="GT21" s="39"/>
      <c r="GU21" s="24"/>
      <c r="GV21" s="24"/>
      <c r="GW21" s="39"/>
      <c r="GX21" s="39"/>
      <c r="GY21" s="39"/>
      <c r="GZ21" s="39"/>
      <c r="HA21" s="39"/>
      <c r="HB21" s="24"/>
      <c r="HC21" s="24"/>
      <c r="HD21" s="39"/>
      <c r="HE21" s="39"/>
      <c r="HF21" s="39"/>
      <c r="HG21" s="39"/>
      <c r="HH21" s="39"/>
      <c r="HI21" s="24"/>
      <c r="HJ21" s="24"/>
      <c r="HK21" s="39"/>
      <c r="HL21" s="39"/>
      <c r="HM21" s="39"/>
      <c r="HN21" s="39"/>
      <c r="HO21" s="39"/>
      <c r="HP21" s="24"/>
      <c r="HQ21" s="24"/>
      <c r="HR21" s="39"/>
      <c r="HS21" s="39"/>
      <c r="HT21" s="39"/>
      <c r="HU21" s="39"/>
      <c r="HV21" s="39"/>
      <c r="HW21" s="24"/>
      <c r="HX21" s="24"/>
      <c r="HY21" s="39"/>
      <c r="HZ21" s="39"/>
      <c r="IA21" s="39"/>
      <c r="IB21" s="39"/>
      <c r="IC21" s="39"/>
      <c r="ID21" s="24"/>
      <c r="IE21" s="24"/>
      <c r="IF21" s="39"/>
      <c r="IG21" s="39"/>
      <c r="IH21" s="39"/>
      <c r="II21" s="39"/>
      <c r="IJ21" s="39"/>
      <c r="IK21" s="24"/>
      <c r="IL21" s="24"/>
      <c r="IM21" s="39"/>
      <c r="IN21" s="39"/>
      <c r="IO21" s="39"/>
      <c r="IP21" s="39"/>
      <c r="IQ21" s="39"/>
      <c r="IR21" s="24"/>
      <c r="IS21" s="24"/>
      <c r="IT21" s="39"/>
      <c r="IU21" s="39"/>
      <c r="IV21" s="39"/>
      <c r="IW21" s="39"/>
      <c r="IX21" s="39"/>
      <c r="IY21" s="24"/>
      <c r="IZ21" s="24"/>
      <c r="JA21" s="39"/>
      <c r="JB21" s="39"/>
      <c r="JC21" s="39"/>
      <c r="JD21" s="39"/>
      <c r="JE21" s="39"/>
      <c r="JF21" s="24"/>
      <c r="JG21" s="24"/>
      <c r="JH21" s="39"/>
      <c r="JI21" s="39"/>
      <c r="JJ21" s="39"/>
      <c r="JK21" s="39"/>
      <c r="JL21" s="39"/>
      <c r="JM21" s="24"/>
      <c r="JN21" s="24"/>
      <c r="JO21" s="39"/>
      <c r="JP21" s="39"/>
      <c r="JQ21" s="39"/>
      <c r="JR21" s="39"/>
      <c r="JS21" s="39"/>
      <c r="JT21" s="24"/>
      <c r="JU21" s="24"/>
      <c r="JV21" s="39"/>
      <c r="JW21" s="39"/>
      <c r="JX21" s="39"/>
      <c r="JY21" s="39"/>
      <c r="JZ21" s="39"/>
      <c r="KA21" s="24"/>
      <c r="KB21" s="24"/>
      <c r="KC21" s="39"/>
      <c r="KD21" s="39"/>
      <c r="KE21" s="39"/>
      <c r="KF21" s="39"/>
      <c r="KG21" s="39"/>
      <c r="KH21" s="24"/>
      <c r="KI21" s="24"/>
      <c r="KJ21" s="39"/>
      <c r="KK21" s="39"/>
      <c r="KL21" s="39"/>
      <c r="KM21" s="39"/>
      <c r="KN21" s="39"/>
      <c r="KO21" s="24"/>
      <c r="KP21" s="24"/>
      <c r="KQ21" s="39"/>
      <c r="KR21" s="39"/>
      <c r="KS21" s="39"/>
      <c r="KT21" s="39"/>
      <c r="KU21" s="39"/>
      <c r="KV21" s="24"/>
      <c r="KW21" s="24"/>
      <c r="KX21" s="39"/>
      <c r="KY21" s="39"/>
      <c r="KZ21" s="39"/>
      <c r="LA21" s="39"/>
      <c r="LB21" s="39"/>
      <c r="LC21" s="24"/>
      <c r="LD21" s="24"/>
      <c r="LE21" s="39"/>
      <c r="LF21" s="39"/>
      <c r="LG21" s="39"/>
      <c r="LH21" s="39"/>
      <c r="LI21" s="39"/>
      <c r="LJ21" s="24"/>
      <c r="LK21" s="24"/>
      <c r="LL21" s="39"/>
      <c r="LM21" s="39"/>
      <c r="LN21" s="39"/>
      <c r="LO21" s="39"/>
      <c r="LP21" s="39"/>
      <c r="LQ21" s="24"/>
      <c r="LR21" s="24"/>
      <c r="LS21" s="39"/>
      <c r="LT21" s="39"/>
      <c r="LU21" s="39"/>
      <c r="LV21" s="39"/>
      <c r="LW21" s="39"/>
      <c r="LX21" s="24"/>
      <c r="LY21" s="24"/>
      <c r="LZ21" s="39"/>
      <c r="MA21" s="39"/>
      <c r="MB21" s="39"/>
      <c r="MC21" s="39"/>
      <c r="MD21" s="39"/>
      <c r="ME21" s="24"/>
      <c r="MF21" s="24"/>
      <c r="MG21" s="39"/>
      <c r="MH21" s="39"/>
      <c r="MI21" s="39"/>
      <c r="MJ21" s="39"/>
      <c r="MK21" s="39"/>
      <c r="ML21" s="24"/>
      <c r="MM21" s="24"/>
      <c r="MN21" s="39"/>
      <c r="MO21" s="39"/>
      <c r="MP21" s="39"/>
      <c r="MQ21" s="39"/>
      <c r="MR21" s="39"/>
      <c r="MS21" s="24"/>
      <c r="MT21" s="24"/>
      <c r="MU21" s="39"/>
      <c r="MV21" s="39"/>
      <c r="MW21" s="39"/>
      <c r="MX21" s="24"/>
      <c r="MY21" s="24"/>
      <c r="MZ21" s="24"/>
      <c r="NA21" s="24"/>
      <c r="NB21" s="39"/>
      <c r="NC21" s="39"/>
      <c r="ND21" s="39"/>
      <c r="NE21" s="24"/>
      <c r="NF21" s="199"/>
    </row>
    <row r="22" spans="1:370">
      <c r="A22" s="112" t="s">
        <v>352</v>
      </c>
      <c r="B22" s="50" t="s">
        <v>15</v>
      </c>
      <c r="C22" s="113" t="s">
        <v>170</v>
      </c>
      <c r="D22" s="3"/>
      <c r="E22" s="2" t="s">
        <v>143</v>
      </c>
      <c r="F22" s="2" t="s">
        <v>143</v>
      </c>
      <c r="G22" s="3"/>
      <c r="H22" s="3"/>
      <c r="I22" s="2" t="s">
        <v>143</v>
      </c>
      <c r="J22" s="2" t="s">
        <v>143</v>
      </c>
      <c r="K22" s="2" t="s">
        <v>143</v>
      </c>
      <c r="L22" s="2" t="s">
        <v>143</v>
      </c>
      <c r="M22" s="2" t="s">
        <v>143</v>
      </c>
      <c r="N22" s="3"/>
      <c r="O22" s="3"/>
      <c r="P22" s="2" t="s">
        <v>143</v>
      </c>
      <c r="Q22" s="2" t="s">
        <v>143</v>
      </c>
      <c r="R22" s="2" t="s">
        <v>143</v>
      </c>
      <c r="S22" s="2" t="s">
        <v>143</v>
      </c>
      <c r="T22" s="2" t="s">
        <v>143</v>
      </c>
      <c r="U22" s="3"/>
      <c r="V22" s="3"/>
      <c r="W22" s="2" t="s">
        <v>143</v>
      </c>
      <c r="X22" s="2" t="s">
        <v>143</v>
      </c>
      <c r="Y22" s="2" t="s">
        <v>143</v>
      </c>
      <c r="Z22" s="2" t="s">
        <v>143</v>
      </c>
      <c r="AA22" s="2" t="s">
        <v>143</v>
      </c>
      <c r="AB22" s="3"/>
      <c r="AC22" s="3"/>
      <c r="AD22" s="2" t="s">
        <v>143</v>
      </c>
      <c r="AE22" s="2" t="s">
        <v>143</v>
      </c>
      <c r="AF22" s="2" t="s">
        <v>143</v>
      </c>
      <c r="AG22" s="2" t="s">
        <v>143</v>
      </c>
      <c r="AH22" s="2" t="s">
        <v>143</v>
      </c>
      <c r="AI22" s="3"/>
      <c r="AJ22" s="3"/>
      <c r="AK22" s="2" t="s">
        <v>143</v>
      </c>
      <c r="AL22" s="2" t="s">
        <v>143</v>
      </c>
      <c r="AM22" s="2" t="s">
        <v>143</v>
      </c>
      <c r="AN22" s="2" t="s">
        <v>143</v>
      </c>
      <c r="AO22" s="2" t="s">
        <v>143</v>
      </c>
      <c r="AP22" s="3"/>
      <c r="AQ22" s="3"/>
      <c r="AR22" s="2" t="s">
        <v>143</v>
      </c>
      <c r="AS22" s="2" t="s">
        <v>143</v>
      </c>
      <c r="AT22" s="2" t="s">
        <v>143</v>
      </c>
      <c r="AU22" s="2" t="s">
        <v>143</v>
      </c>
      <c r="AV22" s="11" t="s">
        <v>141</v>
      </c>
      <c r="AW22" s="3"/>
      <c r="AX22" s="3"/>
      <c r="AY22" s="2" t="s">
        <v>143</v>
      </c>
      <c r="AZ22" s="2" t="s">
        <v>143</v>
      </c>
      <c r="BA22" s="2" t="s">
        <v>143</v>
      </c>
      <c r="BB22" s="2" t="s">
        <v>143</v>
      </c>
      <c r="BC22" s="2" t="s">
        <v>143</v>
      </c>
      <c r="BD22" s="3"/>
      <c r="BE22" s="3"/>
      <c r="BF22" s="11" t="s">
        <v>141</v>
      </c>
      <c r="BG22" s="11" t="s">
        <v>141</v>
      </c>
      <c r="BH22" s="11" t="s">
        <v>141</v>
      </c>
      <c r="BI22" s="11" t="s">
        <v>141</v>
      </c>
      <c r="BJ22" s="11" t="s">
        <v>141</v>
      </c>
      <c r="BK22" s="3"/>
      <c r="BL22" s="3"/>
      <c r="BM22" s="2" t="s">
        <v>143</v>
      </c>
      <c r="BN22" s="11" t="s">
        <v>577</v>
      </c>
      <c r="BO22" s="2" t="s">
        <v>143</v>
      </c>
      <c r="BP22" s="2" t="s">
        <v>143</v>
      </c>
      <c r="BQ22" s="2" t="s">
        <v>143</v>
      </c>
      <c r="BR22" s="3"/>
      <c r="BS22" s="3"/>
      <c r="BT22" s="2" t="s">
        <v>143</v>
      </c>
      <c r="BU22" s="2" t="s">
        <v>143</v>
      </c>
      <c r="BV22" s="2" t="s">
        <v>143</v>
      </c>
      <c r="BW22" s="2" t="s">
        <v>143</v>
      </c>
      <c r="BX22" s="2" t="s">
        <v>143</v>
      </c>
      <c r="BY22" s="3"/>
      <c r="BZ22" s="3"/>
      <c r="CA22" s="2" t="s">
        <v>143</v>
      </c>
      <c r="CB22" s="2" t="s">
        <v>143</v>
      </c>
      <c r="CC22" s="2" t="s">
        <v>143</v>
      </c>
      <c r="CD22" s="2" t="s">
        <v>143</v>
      </c>
      <c r="CE22" s="2" t="s">
        <v>143</v>
      </c>
      <c r="CF22" s="3"/>
      <c r="CG22" s="3"/>
      <c r="CH22" s="2" t="s">
        <v>143</v>
      </c>
      <c r="CI22" s="2" t="s">
        <v>143</v>
      </c>
      <c r="CJ22" s="2" t="s">
        <v>143</v>
      </c>
      <c r="CK22" s="2" t="s">
        <v>143</v>
      </c>
      <c r="CL22" s="2" t="s">
        <v>143</v>
      </c>
      <c r="CM22" s="3"/>
      <c r="CN22" s="3"/>
      <c r="CO22" s="2" t="s">
        <v>143</v>
      </c>
      <c r="CP22" s="2" t="s">
        <v>143</v>
      </c>
      <c r="CQ22" s="2" t="s">
        <v>143</v>
      </c>
      <c r="CR22" s="2" t="s">
        <v>143</v>
      </c>
      <c r="CS22" s="2" t="s">
        <v>143</v>
      </c>
      <c r="CT22" s="3"/>
      <c r="CU22" s="3"/>
      <c r="CV22" s="11" t="s">
        <v>141</v>
      </c>
      <c r="CW22" s="11" t="s">
        <v>141</v>
      </c>
      <c r="CX22" s="11" t="s">
        <v>141</v>
      </c>
      <c r="CY22" s="11" t="s">
        <v>141</v>
      </c>
      <c r="CZ22" s="11" t="s">
        <v>141</v>
      </c>
      <c r="DA22" s="3"/>
      <c r="DB22" s="3"/>
      <c r="DC22" s="2" t="s">
        <v>143</v>
      </c>
      <c r="DD22" s="2" t="s">
        <v>143</v>
      </c>
      <c r="DE22" s="2" t="s">
        <v>143</v>
      </c>
      <c r="DF22" s="2" t="s">
        <v>143</v>
      </c>
      <c r="DG22" s="3"/>
      <c r="DH22" s="3"/>
      <c r="DI22" s="3"/>
      <c r="DJ22" s="3"/>
      <c r="DK22" s="2" t="s">
        <v>143</v>
      </c>
      <c r="DL22" s="2" t="s">
        <v>143</v>
      </c>
      <c r="DM22" s="2" t="s">
        <v>143</v>
      </c>
      <c r="DN22" s="2" t="s">
        <v>143</v>
      </c>
      <c r="DO22" s="3"/>
      <c r="DP22" s="3"/>
      <c r="DQ22" s="2" t="s">
        <v>143</v>
      </c>
      <c r="DR22" s="2" t="s">
        <v>143</v>
      </c>
      <c r="DS22" s="2" t="s">
        <v>143</v>
      </c>
      <c r="DT22" s="2" t="s">
        <v>143</v>
      </c>
      <c r="DU22" s="2" t="s">
        <v>143</v>
      </c>
      <c r="DV22" s="3"/>
      <c r="DW22" s="3"/>
      <c r="DX22" s="3"/>
      <c r="DY22" s="2" t="s">
        <v>143</v>
      </c>
      <c r="DZ22" s="2" t="s">
        <v>143</v>
      </c>
      <c r="EA22" s="2" t="s">
        <v>143</v>
      </c>
      <c r="EB22" s="2" t="s">
        <v>143</v>
      </c>
      <c r="EC22" s="3"/>
      <c r="ED22" s="3"/>
      <c r="EE22" s="2" t="s">
        <v>143</v>
      </c>
      <c r="EF22" s="2" t="s">
        <v>143</v>
      </c>
      <c r="EG22" s="2" t="s">
        <v>143</v>
      </c>
      <c r="EH22" s="2" t="s">
        <v>143</v>
      </c>
      <c r="EI22" s="2" t="s">
        <v>143</v>
      </c>
      <c r="EJ22" s="3"/>
      <c r="EK22" s="3"/>
      <c r="EL22" s="2" t="s">
        <v>143</v>
      </c>
      <c r="EM22" s="2" t="s">
        <v>143</v>
      </c>
      <c r="EN22" s="2" t="s">
        <v>143</v>
      </c>
      <c r="EO22" s="2" t="s">
        <v>143</v>
      </c>
      <c r="EP22" s="2" t="s">
        <v>143</v>
      </c>
      <c r="EQ22" s="3"/>
      <c r="ER22" s="3"/>
      <c r="ES22" s="3"/>
      <c r="ET22" s="2" t="s">
        <v>143</v>
      </c>
      <c r="EU22" s="2" t="s">
        <v>143</v>
      </c>
      <c r="EV22" s="2" t="s">
        <v>143</v>
      </c>
      <c r="EW22" s="2" t="s">
        <v>143</v>
      </c>
      <c r="EX22" s="3"/>
      <c r="EY22" s="3"/>
      <c r="EZ22" s="207"/>
      <c r="FA22" s="207"/>
      <c r="FB22" s="207"/>
      <c r="FC22" s="207"/>
      <c r="FD22" s="207"/>
      <c r="FE22" s="3"/>
      <c r="FF22" s="3"/>
      <c r="FG22" s="207"/>
      <c r="FH22" s="207"/>
      <c r="FI22" s="207"/>
      <c r="FJ22" s="207"/>
      <c r="FK22" s="207"/>
      <c r="FL22" s="3"/>
      <c r="FM22" s="3"/>
      <c r="FN22" s="207"/>
      <c r="FO22" s="207"/>
      <c r="FP22" s="207"/>
      <c r="FQ22" s="207"/>
      <c r="FR22" s="207"/>
      <c r="FS22" s="3"/>
      <c r="FT22" s="3"/>
      <c r="FU22" s="207"/>
      <c r="FV22" s="207"/>
      <c r="FW22" s="207"/>
      <c r="FX22" s="207"/>
      <c r="FY22" s="207"/>
      <c r="FZ22" s="3"/>
      <c r="GA22" s="3"/>
      <c r="GB22" s="207"/>
      <c r="GC22" s="207"/>
      <c r="GD22" s="207"/>
      <c r="GE22" s="207"/>
      <c r="GF22" s="207"/>
      <c r="GG22" s="3"/>
      <c r="GH22" s="3"/>
      <c r="GI22" s="207"/>
      <c r="GJ22" s="207"/>
      <c r="GK22" s="207"/>
      <c r="GL22" s="207"/>
      <c r="GM22" s="207"/>
      <c r="GN22" s="3"/>
      <c r="GO22" s="3"/>
      <c r="GP22" s="207"/>
      <c r="GQ22" s="207"/>
      <c r="GR22" s="207"/>
      <c r="GS22" s="207"/>
      <c r="GT22" s="207"/>
      <c r="GU22" s="3"/>
      <c r="GV22" s="3"/>
      <c r="GW22" s="207"/>
      <c r="GX22" s="207"/>
      <c r="GY22" s="207"/>
      <c r="GZ22" s="207"/>
      <c r="HA22" s="207"/>
      <c r="HB22" s="3"/>
      <c r="HC22" s="3"/>
      <c r="HD22" s="207"/>
      <c r="HE22" s="207"/>
      <c r="HF22" s="207"/>
      <c r="HG22" s="207"/>
      <c r="HH22" s="207"/>
      <c r="HI22" s="3"/>
      <c r="HJ22" s="3"/>
      <c r="HK22" s="207"/>
      <c r="HL22" s="207"/>
      <c r="HM22" s="207"/>
      <c r="HN22" s="207"/>
      <c r="HO22" s="207"/>
      <c r="HP22" s="3"/>
      <c r="HQ22" s="3"/>
      <c r="HR22" s="207"/>
      <c r="HS22" s="207"/>
      <c r="HT22" s="207"/>
      <c r="HU22" s="207"/>
      <c r="HV22" s="207"/>
      <c r="HW22" s="3"/>
      <c r="HX22" s="3"/>
      <c r="HY22" s="207"/>
      <c r="HZ22" s="207"/>
      <c r="IA22" s="207"/>
      <c r="IB22" s="207"/>
      <c r="IC22" s="207"/>
      <c r="ID22" s="3"/>
      <c r="IE22" s="3"/>
      <c r="IF22" s="207"/>
      <c r="IG22" s="207"/>
      <c r="IH22" s="207"/>
      <c r="II22" s="207"/>
      <c r="IJ22" s="207"/>
      <c r="IK22" s="24"/>
      <c r="IL22" s="3"/>
      <c r="IM22" s="214" t="s">
        <v>143</v>
      </c>
      <c r="IN22" s="214" t="s">
        <v>143</v>
      </c>
      <c r="IO22" s="214" t="s">
        <v>143</v>
      </c>
      <c r="IP22" s="214" t="s">
        <v>143</v>
      </c>
      <c r="IQ22" s="214" t="s">
        <v>143</v>
      </c>
      <c r="IR22" s="3"/>
      <c r="IS22" s="3"/>
      <c r="IT22" s="214" t="s">
        <v>143</v>
      </c>
      <c r="IU22" s="214" t="s">
        <v>143</v>
      </c>
      <c r="IV22" s="214" t="s">
        <v>143</v>
      </c>
      <c r="IW22" s="214" t="s">
        <v>143</v>
      </c>
      <c r="IX22" s="214" t="s">
        <v>143</v>
      </c>
      <c r="IY22" s="3"/>
      <c r="IZ22" s="3"/>
      <c r="JA22" s="214" t="s">
        <v>143</v>
      </c>
      <c r="JB22" s="214" t="s">
        <v>143</v>
      </c>
      <c r="JC22" s="214" t="s">
        <v>143</v>
      </c>
      <c r="JD22" s="214" t="s">
        <v>143</v>
      </c>
      <c r="JE22" s="214" t="s">
        <v>143</v>
      </c>
      <c r="JF22" s="3"/>
      <c r="JG22" s="3"/>
      <c r="JH22" s="214" t="s">
        <v>143</v>
      </c>
      <c r="JI22" s="214" t="s">
        <v>143</v>
      </c>
      <c r="JJ22" s="214" t="s">
        <v>143</v>
      </c>
      <c r="JK22" s="214" t="s">
        <v>143</v>
      </c>
      <c r="JL22" s="214" t="s">
        <v>143</v>
      </c>
      <c r="JM22" s="3"/>
      <c r="JN22" s="3"/>
      <c r="JO22" s="214" t="s">
        <v>143</v>
      </c>
      <c r="JP22" s="214" t="s">
        <v>143</v>
      </c>
      <c r="JQ22" s="214" t="s">
        <v>143</v>
      </c>
      <c r="JR22" s="214" t="s">
        <v>143</v>
      </c>
      <c r="JS22" s="214" t="s">
        <v>143</v>
      </c>
      <c r="JT22" s="3"/>
      <c r="JU22" s="3"/>
      <c r="JV22" s="214" t="s">
        <v>143</v>
      </c>
      <c r="JW22" s="214" t="s">
        <v>143</v>
      </c>
      <c r="JX22" s="214" t="s">
        <v>143</v>
      </c>
      <c r="JY22" s="214" t="s">
        <v>283</v>
      </c>
      <c r="JZ22" s="214" t="s">
        <v>143</v>
      </c>
      <c r="KA22" s="3"/>
      <c r="KB22" s="3"/>
      <c r="KC22" s="214" t="s">
        <v>143</v>
      </c>
      <c r="KD22" s="214" t="s">
        <v>143</v>
      </c>
      <c r="KE22" s="214" t="s">
        <v>143</v>
      </c>
      <c r="KF22" s="214" t="s">
        <v>143</v>
      </c>
      <c r="KG22" s="214" t="s">
        <v>143</v>
      </c>
      <c r="KH22" s="3"/>
      <c r="KI22" s="3"/>
      <c r="KJ22" s="214" t="s">
        <v>143</v>
      </c>
      <c r="KK22" s="214" t="s">
        <v>143</v>
      </c>
      <c r="KL22" s="214" t="s">
        <v>143</v>
      </c>
      <c r="KM22" s="218" t="s">
        <v>141</v>
      </c>
      <c r="KN22" s="218" t="s">
        <v>141</v>
      </c>
      <c r="KO22" s="3"/>
      <c r="KP22" s="3"/>
      <c r="KQ22" s="214" t="s">
        <v>143</v>
      </c>
      <c r="KR22" s="218" t="s">
        <v>141</v>
      </c>
      <c r="KS22" s="214" t="s">
        <v>143</v>
      </c>
      <c r="KT22" s="214" t="s">
        <v>143</v>
      </c>
      <c r="KU22" s="214" t="s">
        <v>143</v>
      </c>
      <c r="KV22" s="3"/>
      <c r="KW22" s="3"/>
      <c r="KX22" s="214" t="s">
        <v>143</v>
      </c>
      <c r="KY22" s="214" t="s">
        <v>143</v>
      </c>
      <c r="KZ22" s="214" t="s">
        <v>143</v>
      </c>
      <c r="LA22" s="214" t="s">
        <v>578</v>
      </c>
      <c r="LB22" s="214" t="s">
        <v>143</v>
      </c>
      <c r="LC22" s="3"/>
      <c r="LD22" s="3"/>
      <c r="LE22" s="214" t="s">
        <v>143</v>
      </c>
      <c r="LF22" s="214" t="s">
        <v>143</v>
      </c>
      <c r="LG22" s="214" t="s">
        <v>143</v>
      </c>
      <c r="LH22" s="214" t="s">
        <v>143</v>
      </c>
      <c r="LI22" s="214" t="s">
        <v>143</v>
      </c>
      <c r="LJ22" s="3"/>
      <c r="LK22" s="3"/>
      <c r="LL22" s="214" t="s">
        <v>143</v>
      </c>
      <c r="LM22" s="214" t="s">
        <v>143</v>
      </c>
      <c r="LN22" s="214" t="s">
        <v>143</v>
      </c>
      <c r="LO22" s="214" t="s">
        <v>143</v>
      </c>
      <c r="LP22" s="213" t="s">
        <v>579</v>
      </c>
      <c r="LQ22" s="3"/>
      <c r="LR22" s="3"/>
      <c r="LS22" s="214" t="s">
        <v>143</v>
      </c>
      <c r="LT22" s="214" t="s">
        <v>143</v>
      </c>
      <c r="LU22" s="214" t="s">
        <v>143</v>
      </c>
      <c r="LV22" s="214" t="s">
        <v>143</v>
      </c>
      <c r="LW22" s="213" t="s">
        <v>580</v>
      </c>
      <c r="LX22" s="3"/>
      <c r="LY22" s="3"/>
      <c r="LZ22" s="214" t="s">
        <v>143</v>
      </c>
      <c r="MA22" s="214" t="s">
        <v>143</v>
      </c>
      <c r="MB22" s="214" t="s">
        <v>143</v>
      </c>
      <c r="MC22" s="214" t="s">
        <v>143</v>
      </c>
      <c r="MD22" s="214" t="s">
        <v>143</v>
      </c>
      <c r="ME22" s="3"/>
      <c r="MF22" s="3"/>
      <c r="MG22" s="214" t="s">
        <v>143</v>
      </c>
      <c r="MH22" s="214" t="s">
        <v>143</v>
      </c>
      <c r="MI22" s="214" t="s">
        <v>143</v>
      </c>
      <c r="MJ22" s="219" t="s">
        <v>141</v>
      </c>
      <c r="MK22" s="214" t="s">
        <v>143</v>
      </c>
      <c r="ML22" s="3"/>
      <c r="MM22" s="3"/>
      <c r="MN22" s="214" t="s">
        <v>143</v>
      </c>
      <c r="MO22" s="214" t="s">
        <v>143</v>
      </c>
      <c r="MP22" s="214" t="s">
        <v>143</v>
      </c>
      <c r="MQ22" s="214" t="s">
        <v>143</v>
      </c>
      <c r="MR22" s="214" t="s">
        <v>143</v>
      </c>
      <c r="MS22" s="3"/>
      <c r="MT22" s="3"/>
      <c r="MU22" s="214" t="s">
        <v>143</v>
      </c>
      <c r="MV22" s="214" t="s">
        <v>143</v>
      </c>
      <c r="MW22" s="214" t="s">
        <v>143</v>
      </c>
      <c r="MX22" s="3"/>
      <c r="MY22" s="3"/>
      <c r="MZ22" s="3"/>
      <c r="NA22" s="3"/>
      <c r="NB22" s="214" t="s">
        <v>143</v>
      </c>
      <c r="NC22" s="214" t="s">
        <v>143</v>
      </c>
      <c r="ND22" s="214" t="s">
        <v>143</v>
      </c>
      <c r="NE22" s="3"/>
      <c r="NF22" s="219" t="s">
        <v>141</v>
      </c>
    </row>
    <row r="23" spans="1:370" hidden="1">
      <c r="A23" s="112" t="s">
        <v>357</v>
      </c>
      <c r="B23" s="50" t="s">
        <v>15</v>
      </c>
      <c r="C23" s="113" t="s">
        <v>170</v>
      </c>
      <c r="D23" s="3"/>
      <c r="E23" s="11" t="s">
        <v>141</v>
      </c>
      <c r="F23" s="11" t="s">
        <v>141</v>
      </c>
      <c r="G23" s="3"/>
      <c r="H23" s="3"/>
      <c r="I23" s="2" t="s">
        <v>143</v>
      </c>
      <c r="J23" s="2" t="s">
        <v>143</v>
      </c>
      <c r="K23" s="2" t="s">
        <v>143</v>
      </c>
      <c r="L23" s="2" t="s">
        <v>143</v>
      </c>
      <c r="M23" s="2" t="s">
        <v>143</v>
      </c>
      <c r="N23" s="3"/>
      <c r="O23" s="3"/>
      <c r="P23" s="2" t="s">
        <v>143</v>
      </c>
      <c r="Q23" s="2" t="s">
        <v>143</v>
      </c>
      <c r="R23" s="2" t="s">
        <v>143</v>
      </c>
      <c r="S23" s="2" t="s">
        <v>143</v>
      </c>
      <c r="T23" s="2" t="s">
        <v>143</v>
      </c>
      <c r="U23" s="3"/>
      <c r="V23" s="3"/>
      <c r="W23" s="2" t="s">
        <v>143</v>
      </c>
      <c r="X23" s="2" t="s">
        <v>143</v>
      </c>
      <c r="Y23" s="2" t="s">
        <v>143</v>
      </c>
      <c r="Z23" s="2" t="s">
        <v>143</v>
      </c>
      <c r="AA23" s="2" t="s">
        <v>143</v>
      </c>
      <c r="AB23" s="3"/>
      <c r="AC23" s="3"/>
      <c r="AD23" s="2" t="s">
        <v>143</v>
      </c>
      <c r="AE23" s="2" t="s">
        <v>143</v>
      </c>
      <c r="AF23" s="2" t="s">
        <v>143</v>
      </c>
      <c r="AG23" s="2" t="s">
        <v>143</v>
      </c>
      <c r="AH23" s="2" t="s">
        <v>143</v>
      </c>
      <c r="AI23" s="3"/>
      <c r="AJ23" s="3"/>
      <c r="AK23" s="2" t="s">
        <v>143</v>
      </c>
      <c r="AL23" s="2" t="s">
        <v>143</v>
      </c>
      <c r="AM23" s="2" t="s">
        <v>143</v>
      </c>
      <c r="AN23" s="2" t="s">
        <v>143</v>
      </c>
      <c r="AO23" s="2" t="s">
        <v>143</v>
      </c>
      <c r="AP23" s="3"/>
      <c r="AQ23" s="3"/>
      <c r="AR23" s="2" t="s">
        <v>143</v>
      </c>
      <c r="AS23" s="2" t="s">
        <v>143</v>
      </c>
      <c r="AT23" s="2" t="s">
        <v>143</v>
      </c>
      <c r="AU23" s="2" t="s">
        <v>143</v>
      </c>
      <c r="AV23" s="2" t="s">
        <v>143</v>
      </c>
      <c r="AW23" s="3"/>
      <c r="AX23" s="3"/>
      <c r="AY23" s="2" t="s">
        <v>143</v>
      </c>
      <c r="AZ23" s="2" t="s">
        <v>143</v>
      </c>
      <c r="BA23" s="2" t="s">
        <v>143</v>
      </c>
      <c r="BB23" s="2" t="s">
        <v>143</v>
      </c>
      <c r="BC23" s="2" t="s">
        <v>143</v>
      </c>
      <c r="BD23" s="3"/>
      <c r="BE23" s="3"/>
      <c r="BF23" s="2" t="s">
        <v>143</v>
      </c>
      <c r="BG23" s="2" t="s">
        <v>143</v>
      </c>
      <c r="BH23" s="2" t="s">
        <v>143</v>
      </c>
      <c r="BI23" s="2" t="s">
        <v>143</v>
      </c>
      <c r="BJ23" s="11" t="s">
        <v>141</v>
      </c>
      <c r="BK23" s="3"/>
      <c r="BL23" s="3"/>
      <c r="BM23" s="2" t="s">
        <v>143</v>
      </c>
      <c r="BN23" s="2" t="s">
        <v>143</v>
      </c>
      <c r="BO23" s="2" t="s">
        <v>143</v>
      </c>
      <c r="BP23" s="2" t="s">
        <v>143</v>
      </c>
      <c r="BQ23" s="2" t="s">
        <v>143</v>
      </c>
      <c r="BR23" s="3"/>
      <c r="BS23" s="3"/>
      <c r="BT23" s="2" t="s">
        <v>143</v>
      </c>
      <c r="BU23" s="2" t="s">
        <v>143</v>
      </c>
      <c r="BV23" s="11" t="s">
        <v>415</v>
      </c>
      <c r="BW23" s="2" t="s">
        <v>143</v>
      </c>
      <c r="BX23" s="2" t="s">
        <v>143</v>
      </c>
      <c r="BY23" s="3"/>
      <c r="BZ23" s="3"/>
      <c r="CA23" s="2" t="s">
        <v>143</v>
      </c>
      <c r="CB23" s="2" t="s">
        <v>143</v>
      </c>
      <c r="CC23" s="2" t="s">
        <v>143</v>
      </c>
      <c r="CD23" s="11" t="s">
        <v>141</v>
      </c>
      <c r="CE23" s="11" t="s">
        <v>141</v>
      </c>
      <c r="CF23" s="3"/>
      <c r="CG23" s="3"/>
      <c r="CH23" s="2" t="s">
        <v>143</v>
      </c>
      <c r="CI23" s="2" t="s">
        <v>143</v>
      </c>
      <c r="CJ23" s="2" t="s">
        <v>143</v>
      </c>
      <c r="CK23" s="11" t="s">
        <v>141</v>
      </c>
      <c r="CL23" s="11" t="s">
        <v>141</v>
      </c>
      <c r="CM23" s="3"/>
      <c r="CN23" s="3"/>
      <c r="CO23" s="2" t="s">
        <v>143</v>
      </c>
      <c r="CP23" s="2" t="s">
        <v>143</v>
      </c>
      <c r="CQ23" s="2" t="s">
        <v>143</v>
      </c>
      <c r="CR23" s="2" t="s">
        <v>143</v>
      </c>
      <c r="CS23" s="2" t="s">
        <v>143</v>
      </c>
      <c r="CT23" s="3"/>
      <c r="CU23" s="3"/>
      <c r="CV23" s="2" t="s">
        <v>143</v>
      </c>
      <c r="CW23" s="2" t="s">
        <v>143</v>
      </c>
      <c r="CX23" s="2" t="s">
        <v>143</v>
      </c>
      <c r="CY23" s="2" t="s">
        <v>143</v>
      </c>
      <c r="CZ23" s="2" t="s">
        <v>143</v>
      </c>
      <c r="DA23" s="3"/>
      <c r="DB23" s="3"/>
      <c r="DC23" s="2" t="s">
        <v>143</v>
      </c>
      <c r="DD23" s="2" t="s">
        <v>143</v>
      </c>
      <c r="DE23" s="2" t="s">
        <v>143</v>
      </c>
      <c r="DF23" s="81" t="s">
        <v>141</v>
      </c>
      <c r="DG23" s="3"/>
      <c r="DH23" s="3"/>
      <c r="DI23" s="3"/>
      <c r="DJ23" s="3"/>
      <c r="DK23" s="81" t="s">
        <v>141</v>
      </c>
      <c r="DL23" s="2" t="s">
        <v>143</v>
      </c>
      <c r="DM23" s="2" t="s">
        <v>143</v>
      </c>
      <c r="DN23" s="2" t="s">
        <v>143</v>
      </c>
      <c r="DO23" s="3"/>
      <c r="DP23" s="3"/>
      <c r="DQ23" s="2" t="s">
        <v>143</v>
      </c>
      <c r="DR23" s="2" t="s">
        <v>143</v>
      </c>
      <c r="DS23" s="2" t="s">
        <v>143</v>
      </c>
      <c r="DT23" s="2" t="s">
        <v>143</v>
      </c>
      <c r="DU23" s="2" t="s">
        <v>143</v>
      </c>
      <c r="DV23" s="3"/>
      <c r="DW23" s="3"/>
      <c r="DX23" s="3"/>
      <c r="DY23" s="2" t="s">
        <v>143</v>
      </c>
      <c r="DZ23" s="2" t="s">
        <v>143</v>
      </c>
      <c r="EA23" s="81" t="s">
        <v>141</v>
      </c>
      <c r="EB23" s="2" t="s">
        <v>143</v>
      </c>
      <c r="EC23" s="3"/>
      <c r="ED23" s="3"/>
      <c r="EE23" s="2" t="s">
        <v>143</v>
      </c>
      <c r="EF23" s="2" t="s">
        <v>143</v>
      </c>
      <c r="EG23" s="2" t="s">
        <v>143</v>
      </c>
      <c r="EH23" s="2" t="s">
        <v>143</v>
      </c>
      <c r="EI23" s="2" t="s">
        <v>143</v>
      </c>
      <c r="EJ23" s="3"/>
      <c r="EK23" s="3"/>
      <c r="EL23" s="2" t="s">
        <v>143</v>
      </c>
      <c r="EM23" s="2" t="s">
        <v>143</v>
      </c>
      <c r="EN23" s="2" t="s">
        <v>143</v>
      </c>
      <c r="EO23" s="2" t="s">
        <v>143</v>
      </c>
      <c r="EP23" s="2" t="s">
        <v>143</v>
      </c>
      <c r="EQ23" s="3"/>
      <c r="ER23" s="3"/>
      <c r="ES23" s="3"/>
      <c r="ET23" s="2" t="s">
        <v>143</v>
      </c>
      <c r="EU23" s="2" t="s">
        <v>143</v>
      </c>
      <c r="EV23" s="2" t="s">
        <v>143</v>
      </c>
      <c r="EW23" s="2" t="s">
        <v>143</v>
      </c>
      <c r="EX23" s="3"/>
      <c r="EY23" s="3"/>
      <c r="EZ23" s="2" t="s">
        <v>143</v>
      </c>
      <c r="FA23" s="2" t="s">
        <v>143</v>
      </c>
      <c r="FB23" s="2" t="s">
        <v>143</v>
      </c>
      <c r="FC23" s="2" t="s">
        <v>143</v>
      </c>
      <c r="FD23" s="2" t="s">
        <v>143</v>
      </c>
      <c r="FE23" s="3"/>
      <c r="FF23" s="3"/>
      <c r="FG23" s="2" t="s">
        <v>143</v>
      </c>
      <c r="FH23" s="2" t="s">
        <v>143</v>
      </c>
      <c r="FI23" s="2" t="s">
        <v>143</v>
      </c>
      <c r="FJ23" s="2" t="s">
        <v>143</v>
      </c>
      <c r="FK23" s="2" t="s">
        <v>143</v>
      </c>
      <c r="FL23" s="3"/>
      <c r="FM23" s="3"/>
      <c r="FN23" s="81" t="s">
        <v>141</v>
      </c>
      <c r="FO23" s="2" t="s">
        <v>143</v>
      </c>
      <c r="FP23" s="2" t="s">
        <v>143</v>
      </c>
      <c r="FQ23" s="2" t="s">
        <v>143</v>
      </c>
      <c r="FR23" s="2" t="s">
        <v>143</v>
      </c>
      <c r="FS23" s="3"/>
      <c r="FT23" s="3"/>
      <c r="FU23" s="2" t="s">
        <v>143</v>
      </c>
      <c r="FV23" s="2" t="s">
        <v>143</v>
      </c>
      <c r="FW23" s="2" t="s">
        <v>143</v>
      </c>
      <c r="FX23" s="2" t="s">
        <v>143</v>
      </c>
      <c r="FY23" s="2" t="s">
        <v>143</v>
      </c>
      <c r="FZ23" s="3"/>
      <c r="GA23" s="3"/>
      <c r="GB23" s="81" t="s">
        <v>141</v>
      </c>
      <c r="GC23" s="207" t="s">
        <v>143</v>
      </c>
      <c r="GD23" s="207" t="s">
        <v>143</v>
      </c>
      <c r="GE23" s="207" t="s">
        <v>143</v>
      </c>
      <c r="GF23" s="207" t="s">
        <v>143</v>
      </c>
      <c r="GG23" s="207"/>
      <c r="GH23" s="207"/>
      <c r="GI23" s="208"/>
      <c r="GJ23" s="208"/>
      <c r="GK23" s="208"/>
      <c r="GL23" s="208"/>
      <c r="GM23" s="208"/>
      <c r="GN23" s="3"/>
      <c r="GO23" s="3"/>
      <c r="GP23" s="207"/>
      <c r="GQ23" s="207"/>
      <c r="GR23" s="207"/>
      <c r="GS23" s="207"/>
      <c r="GT23" s="207"/>
      <c r="GU23" s="3"/>
      <c r="GV23" s="3"/>
      <c r="GW23" s="207"/>
      <c r="GX23" s="207"/>
      <c r="GY23" s="207"/>
      <c r="GZ23" s="207"/>
      <c r="HA23" s="207"/>
      <c r="HB23" s="3"/>
      <c r="HC23" s="3"/>
      <c r="HD23" s="207"/>
      <c r="HE23" s="207"/>
      <c r="HF23" s="207"/>
      <c r="HG23" s="207"/>
      <c r="HH23" s="207"/>
      <c r="HI23" s="3"/>
      <c r="HJ23" s="3"/>
      <c r="HK23" s="207"/>
      <c r="HL23" s="207"/>
      <c r="HM23" s="207"/>
      <c r="HN23" s="207"/>
      <c r="HO23" s="207"/>
      <c r="HP23" s="3"/>
      <c r="HQ23" s="3"/>
      <c r="HW23" s="3"/>
      <c r="HX23" s="3"/>
      <c r="ID23" s="3"/>
      <c r="IE23" s="3"/>
      <c r="IF23" s="3"/>
      <c r="IK23" s="3"/>
      <c r="IL23" s="3"/>
      <c r="IR23" s="3"/>
      <c r="IS23" s="3"/>
      <c r="IY23" s="3"/>
      <c r="IZ23" s="3"/>
      <c r="JF23" s="3"/>
      <c r="JG23" s="3"/>
      <c r="JM23" s="3"/>
      <c r="JN23" s="3"/>
      <c r="JT23" s="3"/>
      <c r="JU23" s="3"/>
      <c r="KA23" s="3"/>
      <c r="KB23" s="3"/>
      <c r="KH23" s="3"/>
      <c r="KI23" s="3"/>
      <c r="KO23" s="3"/>
      <c r="KP23" s="3"/>
      <c r="KV23" s="3"/>
      <c r="KW23" s="3"/>
      <c r="LC23" s="3"/>
      <c r="LD23" s="3"/>
      <c r="LJ23" s="3"/>
      <c r="LK23" s="3"/>
      <c r="LQ23" s="3"/>
      <c r="LR23" s="3"/>
      <c r="LX23" s="3"/>
      <c r="LY23" s="3"/>
      <c r="ME23" s="3"/>
      <c r="MF23" s="3"/>
      <c r="ML23" s="3"/>
      <c r="MM23" s="3"/>
      <c r="MS23" s="3"/>
      <c r="MT23" s="3"/>
      <c r="MX23" s="3"/>
      <c r="MY23" s="3"/>
      <c r="MZ23" s="3"/>
      <c r="NA23" s="3"/>
      <c r="NE23" s="3"/>
      <c r="NF23" s="224"/>
    </row>
    <row r="24" spans="1:370">
      <c r="A24" s="112" t="s">
        <v>199</v>
      </c>
      <c r="B24" s="50" t="s">
        <v>15</v>
      </c>
      <c r="C24" s="113" t="s">
        <v>170</v>
      </c>
      <c r="D24" s="3"/>
      <c r="E24" s="79" t="s">
        <v>581</v>
      </c>
      <c r="F24" s="79" t="s">
        <v>581</v>
      </c>
      <c r="G24" s="3"/>
      <c r="H24" s="3"/>
      <c r="I24" s="79" t="s">
        <v>581</v>
      </c>
      <c r="J24" s="79" t="s">
        <v>581</v>
      </c>
      <c r="K24" s="79" t="s">
        <v>581</v>
      </c>
      <c r="L24" s="79" t="s">
        <v>581</v>
      </c>
      <c r="M24" s="79" t="s">
        <v>581</v>
      </c>
      <c r="N24" s="3"/>
      <c r="O24" s="3"/>
      <c r="P24" s="79" t="s">
        <v>581</v>
      </c>
      <c r="Q24" s="79" t="s">
        <v>581</v>
      </c>
      <c r="R24" s="79" t="s">
        <v>581</v>
      </c>
      <c r="S24" s="79" t="s">
        <v>581</v>
      </c>
      <c r="T24" s="79" t="s">
        <v>581</v>
      </c>
      <c r="U24" s="3"/>
      <c r="V24" s="3"/>
      <c r="W24" s="79" t="s">
        <v>581</v>
      </c>
      <c r="X24" s="79" t="s">
        <v>581</v>
      </c>
      <c r="Y24" s="79" t="s">
        <v>581</v>
      </c>
      <c r="Z24" s="79" t="s">
        <v>581</v>
      </c>
      <c r="AA24" s="79" t="s">
        <v>581</v>
      </c>
      <c r="AB24" s="3"/>
      <c r="AC24" s="3"/>
      <c r="AD24" s="79" t="s">
        <v>581</v>
      </c>
      <c r="AE24" s="79" t="s">
        <v>581</v>
      </c>
      <c r="AF24" s="79" t="s">
        <v>581</v>
      </c>
      <c r="AG24" s="79" t="s">
        <v>581</v>
      </c>
      <c r="AH24" s="79" t="s">
        <v>581</v>
      </c>
      <c r="AI24" s="3"/>
      <c r="AJ24" s="3"/>
      <c r="AK24" s="79" t="s">
        <v>581</v>
      </c>
      <c r="AL24" s="79" t="s">
        <v>581</v>
      </c>
      <c r="AM24" s="79" t="s">
        <v>581</v>
      </c>
      <c r="AN24" s="79" t="s">
        <v>581</v>
      </c>
      <c r="AO24" s="79" t="s">
        <v>581</v>
      </c>
      <c r="AP24" s="3"/>
      <c r="AQ24" s="3"/>
      <c r="AR24" s="79" t="s">
        <v>581</v>
      </c>
      <c r="AS24" s="79" t="s">
        <v>581</v>
      </c>
      <c r="AT24" s="79" t="s">
        <v>581</v>
      </c>
      <c r="AU24" s="79" t="s">
        <v>581</v>
      </c>
      <c r="AV24" s="79" t="s">
        <v>581</v>
      </c>
      <c r="AW24" s="3"/>
      <c r="AX24" s="3"/>
      <c r="AY24" s="79" t="s">
        <v>581</v>
      </c>
      <c r="AZ24" s="79" t="s">
        <v>581</v>
      </c>
      <c r="BA24" s="79" t="s">
        <v>581</v>
      </c>
      <c r="BB24" s="79" t="s">
        <v>581</v>
      </c>
      <c r="BC24" s="79" t="s">
        <v>581</v>
      </c>
      <c r="BD24" s="3"/>
      <c r="BE24" s="3"/>
      <c r="BF24" s="79" t="s">
        <v>581</v>
      </c>
      <c r="BG24" s="79" t="s">
        <v>581</v>
      </c>
      <c r="BH24" s="79" t="s">
        <v>581</v>
      </c>
      <c r="BI24" s="79" t="s">
        <v>581</v>
      </c>
      <c r="BJ24" s="79" t="s">
        <v>581</v>
      </c>
      <c r="BK24" s="3"/>
      <c r="BL24" s="3"/>
      <c r="BM24" s="79" t="s">
        <v>581</v>
      </c>
      <c r="BN24" s="79" t="s">
        <v>581</v>
      </c>
      <c r="BO24" s="79" t="s">
        <v>581</v>
      </c>
      <c r="BP24" s="79" t="s">
        <v>581</v>
      </c>
      <c r="BQ24" s="79" t="s">
        <v>581</v>
      </c>
      <c r="BR24" s="3"/>
      <c r="BS24" s="3"/>
      <c r="BT24" s="79" t="s">
        <v>581</v>
      </c>
      <c r="BU24" s="79" t="s">
        <v>581</v>
      </c>
      <c r="BV24" s="79" t="s">
        <v>581</v>
      </c>
      <c r="BW24" s="79" t="s">
        <v>581</v>
      </c>
      <c r="BX24" s="79" t="s">
        <v>581</v>
      </c>
      <c r="BY24" s="3"/>
      <c r="BZ24" s="3"/>
      <c r="CA24" s="79" t="s">
        <v>581</v>
      </c>
      <c r="CB24" s="79" t="s">
        <v>581</v>
      </c>
      <c r="CC24" s="79" t="s">
        <v>581</v>
      </c>
      <c r="CD24" s="79" t="s">
        <v>581</v>
      </c>
      <c r="CE24" s="79" t="s">
        <v>581</v>
      </c>
      <c r="CF24" s="3"/>
      <c r="CG24" s="3"/>
      <c r="CH24" s="79" t="s">
        <v>581</v>
      </c>
      <c r="CI24" s="79" t="s">
        <v>581</v>
      </c>
      <c r="CJ24" s="79" t="s">
        <v>581</v>
      </c>
      <c r="CK24" s="79" t="s">
        <v>581</v>
      </c>
      <c r="CL24" s="79" t="s">
        <v>581</v>
      </c>
      <c r="CM24" s="3"/>
      <c r="CN24" s="3"/>
      <c r="CO24" s="79" t="s">
        <v>581</v>
      </c>
      <c r="CP24" s="79" t="s">
        <v>581</v>
      </c>
      <c r="CQ24" s="79" t="s">
        <v>581</v>
      </c>
      <c r="CR24" s="79" t="s">
        <v>581</v>
      </c>
      <c r="CS24" s="79" t="s">
        <v>581</v>
      </c>
      <c r="CT24" s="3"/>
      <c r="CU24" s="3"/>
      <c r="CV24" s="79" t="s">
        <v>581</v>
      </c>
      <c r="CW24" s="79" t="s">
        <v>581</v>
      </c>
      <c r="CX24" s="79" t="s">
        <v>581</v>
      </c>
      <c r="CY24" s="79" t="s">
        <v>581</v>
      </c>
      <c r="CZ24" s="79" t="s">
        <v>581</v>
      </c>
      <c r="DA24" s="3"/>
      <c r="DB24" s="3"/>
      <c r="DC24" s="79" t="s">
        <v>581</v>
      </c>
      <c r="DD24" s="79" t="s">
        <v>581</v>
      </c>
      <c r="DE24" s="79" t="s">
        <v>581</v>
      </c>
      <c r="DF24" s="79" t="s">
        <v>581</v>
      </c>
      <c r="DG24" s="3"/>
      <c r="DH24" s="3"/>
      <c r="DI24" s="3"/>
      <c r="DJ24" s="3"/>
      <c r="DK24" s="79" t="s">
        <v>581</v>
      </c>
      <c r="DL24" s="79" t="s">
        <v>581</v>
      </c>
      <c r="DM24" s="79" t="s">
        <v>581</v>
      </c>
      <c r="DN24" s="79" t="s">
        <v>581</v>
      </c>
      <c r="DO24" s="3"/>
      <c r="DP24" s="3"/>
      <c r="DQ24" s="79" t="s">
        <v>581</v>
      </c>
      <c r="DR24" s="79" t="s">
        <v>581</v>
      </c>
      <c r="DS24" s="79" t="s">
        <v>581</v>
      </c>
      <c r="DT24" s="79" t="s">
        <v>581</v>
      </c>
      <c r="DU24" s="79" t="s">
        <v>581</v>
      </c>
      <c r="DV24" s="3"/>
      <c r="DW24" s="3"/>
      <c r="DX24" s="3"/>
      <c r="DY24" s="79" t="s">
        <v>581</v>
      </c>
      <c r="DZ24" s="79" t="s">
        <v>581</v>
      </c>
      <c r="EA24" s="79" t="s">
        <v>581</v>
      </c>
      <c r="EB24" s="79" t="s">
        <v>581</v>
      </c>
      <c r="EC24" s="3"/>
      <c r="ED24" s="3"/>
      <c r="EE24" s="79" t="s">
        <v>581</v>
      </c>
      <c r="EF24" s="79" t="s">
        <v>581</v>
      </c>
      <c r="EG24" s="79" t="s">
        <v>581</v>
      </c>
      <c r="EH24" s="79" t="s">
        <v>581</v>
      </c>
      <c r="EI24" s="79" t="s">
        <v>581</v>
      </c>
      <c r="EJ24" s="3"/>
      <c r="EK24" s="3"/>
      <c r="EL24" s="79" t="s">
        <v>581</v>
      </c>
      <c r="EM24" s="79" t="s">
        <v>581</v>
      </c>
      <c r="EN24" s="79" t="s">
        <v>581</v>
      </c>
      <c r="EO24" s="79" t="s">
        <v>581</v>
      </c>
      <c r="EP24" s="79" t="s">
        <v>581</v>
      </c>
      <c r="EQ24" s="3"/>
      <c r="ER24" s="3"/>
      <c r="ES24" s="3"/>
      <c r="ET24" s="79" t="s">
        <v>581</v>
      </c>
      <c r="EU24" s="79" t="s">
        <v>581</v>
      </c>
      <c r="EV24" s="79" t="s">
        <v>581</v>
      </c>
      <c r="EW24" s="79" t="s">
        <v>581</v>
      </c>
      <c r="EX24" s="3"/>
      <c r="EY24" s="3"/>
      <c r="EZ24" s="79" t="s">
        <v>581</v>
      </c>
      <c r="FA24" s="79" t="s">
        <v>581</v>
      </c>
      <c r="FB24" s="79" t="s">
        <v>581</v>
      </c>
      <c r="FC24" s="79" t="s">
        <v>581</v>
      </c>
      <c r="FD24" s="79" t="s">
        <v>581</v>
      </c>
      <c r="FE24" s="3"/>
      <c r="FF24" s="3"/>
      <c r="FG24" s="79" t="s">
        <v>581</v>
      </c>
      <c r="FH24" s="79" t="s">
        <v>581</v>
      </c>
      <c r="FI24" s="79" t="s">
        <v>581</v>
      </c>
      <c r="FJ24" s="79" t="s">
        <v>581</v>
      </c>
      <c r="FK24" s="79" t="s">
        <v>581</v>
      </c>
      <c r="FL24" s="3"/>
      <c r="FM24" s="3"/>
      <c r="FN24" s="79" t="s">
        <v>581</v>
      </c>
      <c r="FO24" s="79" t="s">
        <v>581</v>
      </c>
      <c r="FP24" s="79" t="s">
        <v>581</v>
      </c>
      <c r="FQ24" s="79" t="s">
        <v>581</v>
      </c>
      <c r="FR24" s="79" t="s">
        <v>581</v>
      </c>
      <c r="FS24" s="3"/>
      <c r="FT24" s="3"/>
      <c r="FU24" s="79" t="s">
        <v>581</v>
      </c>
      <c r="FV24" s="79" t="s">
        <v>581</v>
      </c>
      <c r="FW24" s="79" t="s">
        <v>581</v>
      </c>
      <c r="FX24" s="79" t="s">
        <v>581</v>
      </c>
      <c r="FY24" s="79" t="s">
        <v>581</v>
      </c>
      <c r="FZ24" s="3"/>
      <c r="GA24" s="3"/>
      <c r="GB24" s="79" t="s">
        <v>581</v>
      </c>
      <c r="GC24" s="79" t="s">
        <v>581</v>
      </c>
      <c r="GD24" s="79" t="s">
        <v>581</v>
      </c>
      <c r="GE24" s="79" t="s">
        <v>581</v>
      </c>
      <c r="GF24" s="79" t="s">
        <v>581</v>
      </c>
      <c r="GG24" s="3"/>
      <c r="GH24" s="3"/>
      <c r="GI24" s="79" t="s">
        <v>581</v>
      </c>
      <c r="GJ24" s="79" t="s">
        <v>581</v>
      </c>
      <c r="GK24" s="79" t="s">
        <v>581</v>
      </c>
      <c r="GL24" s="79" t="s">
        <v>581</v>
      </c>
      <c r="GM24" s="79" t="s">
        <v>581</v>
      </c>
      <c r="GN24" s="3"/>
      <c r="GO24" s="3"/>
      <c r="GP24" s="81" t="s">
        <v>581</v>
      </c>
      <c r="GQ24" s="81" t="s">
        <v>581</v>
      </c>
      <c r="GR24" s="81" t="s">
        <v>581</v>
      </c>
      <c r="GS24" s="81" t="s">
        <v>581</v>
      </c>
      <c r="GT24" s="81" t="s">
        <v>581</v>
      </c>
      <c r="GU24" s="3"/>
      <c r="GV24" s="3"/>
      <c r="GW24" s="81" t="s">
        <v>581</v>
      </c>
      <c r="GX24" s="81" t="s">
        <v>581</v>
      </c>
      <c r="GY24" s="81" t="s">
        <v>581</v>
      </c>
      <c r="GZ24" s="81" t="s">
        <v>581</v>
      </c>
      <c r="HA24" s="81" t="s">
        <v>581</v>
      </c>
      <c r="HB24" s="3"/>
      <c r="HC24" s="3"/>
      <c r="HD24" s="81" t="s">
        <v>581</v>
      </c>
      <c r="HE24" s="81" t="s">
        <v>581</v>
      </c>
      <c r="HF24" s="81" t="s">
        <v>581</v>
      </c>
      <c r="HG24" s="81" t="s">
        <v>581</v>
      </c>
      <c r="HH24" s="81" t="s">
        <v>581</v>
      </c>
      <c r="HI24" s="3"/>
      <c r="HJ24" s="3"/>
      <c r="HK24" s="81" t="s">
        <v>581</v>
      </c>
      <c r="HL24" s="81" t="s">
        <v>581</v>
      </c>
      <c r="HM24" s="81" t="s">
        <v>581</v>
      </c>
      <c r="HN24" s="81" t="s">
        <v>581</v>
      </c>
      <c r="HO24" s="81" t="s">
        <v>581</v>
      </c>
      <c r="HP24" s="3"/>
      <c r="HQ24" s="3"/>
      <c r="HR24" s="81" t="s">
        <v>581</v>
      </c>
      <c r="HS24" s="81" t="s">
        <v>581</v>
      </c>
      <c r="HT24" s="81" t="s">
        <v>581</v>
      </c>
      <c r="HU24" s="81" t="s">
        <v>581</v>
      </c>
      <c r="HV24" s="81" t="s">
        <v>581</v>
      </c>
      <c r="HW24" s="3"/>
      <c r="HX24" s="3"/>
      <c r="HY24" s="81" t="s">
        <v>581</v>
      </c>
      <c r="HZ24" s="81" t="s">
        <v>581</v>
      </c>
      <c r="IA24" s="81" t="s">
        <v>581</v>
      </c>
      <c r="IB24" s="81" t="s">
        <v>581</v>
      </c>
      <c r="IC24" s="81" t="s">
        <v>581</v>
      </c>
      <c r="ID24" s="3"/>
      <c r="IE24" s="3"/>
      <c r="IF24" s="201" t="s">
        <v>386</v>
      </c>
      <c r="IG24" s="81" t="s">
        <v>581</v>
      </c>
      <c r="IH24" s="81" t="s">
        <v>581</v>
      </c>
      <c r="II24" s="81" t="s">
        <v>581</v>
      </c>
      <c r="IJ24" s="81" t="s">
        <v>581</v>
      </c>
      <c r="IK24" s="3"/>
      <c r="IL24" s="3"/>
      <c r="IM24" s="218" t="s">
        <v>581</v>
      </c>
      <c r="IN24" s="218" t="s">
        <v>581</v>
      </c>
      <c r="IO24" s="218" t="s">
        <v>581</v>
      </c>
      <c r="IP24" s="218" t="s">
        <v>581</v>
      </c>
      <c r="IQ24" s="218" t="s">
        <v>581</v>
      </c>
      <c r="IR24" s="3"/>
      <c r="IS24" s="3"/>
      <c r="IT24" s="218"/>
      <c r="IU24" s="214" t="s">
        <v>143</v>
      </c>
      <c r="IV24" s="214" t="s">
        <v>143</v>
      </c>
      <c r="IW24" s="214" t="s">
        <v>143</v>
      </c>
      <c r="IX24" s="218"/>
      <c r="IY24" s="3"/>
      <c r="IZ24" s="3"/>
      <c r="JA24" s="218"/>
      <c r="JB24" s="214" t="s">
        <v>143</v>
      </c>
      <c r="JC24" s="214" t="s">
        <v>143</v>
      </c>
      <c r="JD24" s="214" t="s">
        <v>143</v>
      </c>
      <c r="JE24" s="218"/>
      <c r="JF24" s="3"/>
      <c r="JG24" s="3"/>
      <c r="JH24" s="218"/>
      <c r="JI24" s="214" t="s">
        <v>143</v>
      </c>
      <c r="JJ24" s="214" t="s">
        <v>143</v>
      </c>
      <c r="JK24" s="214" t="s">
        <v>143</v>
      </c>
      <c r="JL24" s="218"/>
      <c r="JM24" s="3"/>
      <c r="JN24" s="3"/>
      <c r="JO24" s="218"/>
      <c r="JP24" s="218" t="s">
        <v>141</v>
      </c>
      <c r="JQ24" s="214" t="s">
        <v>143</v>
      </c>
      <c r="JR24" s="214" t="s">
        <v>143</v>
      </c>
      <c r="JS24" s="218"/>
      <c r="JT24" s="3"/>
      <c r="JU24" s="3"/>
      <c r="JV24" s="218"/>
      <c r="JW24" s="214" t="s">
        <v>143</v>
      </c>
      <c r="JX24" s="214" t="s">
        <v>143</v>
      </c>
      <c r="JY24" s="214" t="s">
        <v>143</v>
      </c>
      <c r="JZ24" s="218"/>
      <c r="KA24" s="3"/>
      <c r="KB24" s="3"/>
      <c r="KC24" s="218"/>
      <c r="KD24" s="214" t="s">
        <v>143</v>
      </c>
      <c r="KE24" s="214" t="s">
        <v>143</v>
      </c>
      <c r="KF24" s="214" t="s">
        <v>143</v>
      </c>
      <c r="KG24" s="218"/>
      <c r="KH24" s="3"/>
      <c r="KI24" s="3"/>
      <c r="KJ24" s="218"/>
      <c r="KK24" s="214" t="s">
        <v>143</v>
      </c>
      <c r="KL24" s="214" t="s">
        <v>143</v>
      </c>
      <c r="KM24" s="214" t="s">
        <v>143</v>
      </c>
      <c r="KN24" s="218"/>
      <c r="KO24" s="3"/>
      <c r="KP24" s="3"/>
      <c r="KQ24" s="214" t="s">
        <v>143</v>
      </c>
      <c r="KR24" s="218" t="s">
        <v>141</v>
      </c>
      <c r="KS24" s="218"/>
      <c r="KT24" s="218"/>
      <c r="KU24" s="214" t="s">
        <v>143</v>
      </c>
      <c r="KV24" s="3"/>
      <c r="KW24" s="3"/>
      <c r="KX24" s="214" t="s">
        <v>143</v>
      </c>
      <c r="KY24" s="214" t="s">
        <v>143</v>
      </c>
      <c r="KZ24" s="218"/>
      <c r="LA24" s="218"/>
      <c r="LB24" s="214" t="s">
        <v>143</v>
      </c>
      <c r="LC24" s="3"/>
      <c r="LD24" s="3"/>
      <c r="LE24" s="214" t="s">
        <v>143</v>
      </c>
      <c r="LF24" s="214" t="s">
        <v>143</v>
      </c>
      <c r="LG24" s="218"/>
      <c r="LH24" s="218"/>
      <c r="LI24" s="214" t="s">
        <v>143</v>
      </c>
      <c r="LJ24" s="3"/>
      <c r="LK24" s="3"/>
      <c r="LL24" s="214" t="s">
        <v>143</v>
      </c>
      <c r="LM24" s="214" t="s">
        <v>143</v>
      </c>
      <c r="LN24" s="218"/>
      <c r="LO24" s="218"/>
      <c r="LP24" s="214" t="s">
        <v>143</v>
      </c>
      <c r="LQ24" s="3"/>
      <c r="LR24" s="3"/>
      <c r="LS24" s="214" t="s">
        <v>143</v>
      </c>
      <c r="LT24" s="214" t="s">
        <v>143</v>
      </c>
      <c r="LU24" s="218"/>
      <c r="LV24" s="218"/>
      <c r="LW24" s="214" t="s">
        <v>143</v>
      </c>
      <c r="LX24" s="3"/>
      <c r="LY24" s="3"/>
      <c r="LZ24" s="214" t="s">
        <v>143</v>
      </c>
      <c r="MA24" s="214" t="s">
        <v>143</v>
      </c>
      <c r="MB24" s="218"/>
      <c r="MC24" s="218"/>
      <c r="MD24" s="214" t="s">
        <v>143</v>
      </c>
      <c r="ME24" s="3"/>
      <c r="MF24" s="3"/>
      <c r="MG24" s="214" t="s">
        <v>143</v>
      </c>
      <c r="MH24" s="219" t="s">
        <v>141</v>
      </c>
      <c r="MI24" s="218"/>
      <c r="MJ24" s="218"/>
      <c r="MK24" s="214" t="s">
        <v>143</v>
      </c>
      <c r="ML24" s="3"/>
      <c r="MM24" s="3"/>
      <c r="MN24" s="214" t="s">
        <v>143</v>
      </c>
      <c r="MO24" s="214" t="s">
        <v>143</v>
      </c>
      <c r="MP24" s="218"/>
      <c r="MQ24" s="218"/>
      <c r="MR24" s="219" t="s">
        <v>141</v>
      </c>
      <c r="MS24" s="3"/>
      <c r="MT24" s="3"/>
      <c r="MU24" s="214" t="s">
        <v>143</v>
      </c>
      <c r="MV24" s="219" t="s">
        <v>141</v>
      </c>
      <c r="MW24" s="218"/>
      <c r="MX24" s="3"/>
      <c r="MY24" s="3"/>
      <c r="MZ24" s="3"/>
      <c r="NA24" s="3"/>
      <c r="NB24" s="219" t="s">
        <v>141</v>
      </c>
      <c r="NC24" s="219" t="s">
        <v>141</v>
      </c>
      <c r="ND24" s="218"/>
      <c r="NE24" s="3"/>
      <c r="NF24" s="214" t="s">
        <v>143</v>
      </c>
    </row>
    <row r="25" spans="1:370" hidden="1">
      <c r="A25" s="112" t="s">
        <v>200</v>
      </c>
      <c r="B25" s="50" t="s">
        <v>15</v>
      </c>
      <c r="C25" s="113" t="s">
        <v>15</v>
      </c>
      <c r="D25" s="3"/>
      <c r="E25" s="10" t="s">
        <v>141</v>
      </c>
      <c r="F25" s="10" t="s">
        <v>141</v>
      </c>
      <c r="G25" s="3"/>
      <c r="H25" s="3"/>
      <c r="I25" s="2" t="s">
        <v>143</v>
      </c>
      <c r="J25" s="2" t="s">
        <v>143</v>
      </c>
      <c r="K25" s="2" t="s">
        <v>143</v>
      </c>
      <c r="L25" s="2" t="s">
        <v>143</v>
      </c>
      <c r="M25" s="2" t="s">
        <v>143</v>
      </c>
      <c r="N25" s="3"/>
      <c r="O25" s="3"/>
      <c r="P25" s="2" t="s">
        <v>143</v>
      </c>
      <c r="Q25" s="2" t="s">
        <v>143</v>
      </c>
      <c r="R25" s="2" t="s">
        <v>143</v>
      </c>
      <c r="S25" s="2" t="s">
        <v>143</v>
      </c>
      <c r="T25" s="2" t="s">
        <v>143</v>
      </c>
      <c r="U25" s="3"/>
      <c r="V25" s="3"/>
      <c r="W25" s="2" t="s">
        <v>143</v>
      </c>
      <c r="X25" s="2" t="s">
        <v>143</v>
      </c>
      <c r="Y25" s="2" t="s">
        <v>143</v>
      </c>
      <c r="Z25" s="2" t="s">
        <v>143</v>
      </c>
      <c r="AA25" s="2" t="s">
        <v>143</v>
      </c>
      <c r="AB25" s="3"/>
      <c r="AC25" s="3"/>
      <c r="AD25" s="2" t="s">
        <v>143</v>
      </c>
      <c r="AE25" s="2" t="s">
        <v>143</v>
      </c>
      <c r="AF25" s="2" t="s">
        <v>143</v>
      </c>
      <c r="AG25" s="2" t="s">
        <v>143</v>
      </c>
      <c r="AH25" s="2" t="s">
        <v>143</v>
      </c>
      <c r="AI25" s="3"/>
      <c r="AJ25" s="3"/>
      <c r="AK25" s="2" t="s">
        <v>143</v>
      </c>
      <c r="AL25" s="2" t="s">
        <v>143</v>
      </c>
      <c r="AM25" s="2" t="s">
        <v>143</v>
      </c>
      <c r="AN25" s="2" t="s">
        <v>143</v>
      </c>
      <c r="AO25" s="2" t="s">
        <v>143</v>
      </c>
      <c r="AP25" s="3"/>
      <c r="AQ25" s="3"/>
      <c r="AR25" s="2" t="s">
        <v>143</v>
      </c>
      <c r="AS25" s="2" t="s">
        <v>143</v>
      </c>
      <c r="AT25" s="2" t="s">
        <v>143</v>
      </c>
      <c r="AU25" s="2" t="s">
        <v>143</v>
      </c>
      <c r="AV25" s="2" t="s">
        <v>143</v>
      </c>
      <c r="AW25" s="3"/>
      <c r="AX25" s="3"/>
      <c r="AY25" s="2" t="s">
        <v>143</v>
      </c>
      <c r="AZ25" s="11" t="s">
        <v>141</v>
      </c>
      <c r="BA25" s="11" t="s">
        <v>141</v>
      </c>
      <c r="BB25" s="11" t="s">
        <v>141</v>
      </c>
      <c r="BC25" s="11" t="s">
        <v>141</v>
      </c>
      <c r="BD25" s="3"/>
      <c r="BE25" s="3"/>
      <c r="BF25" s="2" t="s">
        <v>143</v>
      </c>
      <c r="BG25" s="2" t="s">
        <v>143</v>
      </c>
      <c r="BH25" s="2" t="s">
        <v>143</v>
      </c>
      <c r="BI25" s="2" t="s">
        <v>143</v>
      </c>
      <c r="BJ25" s="2" t="s">
        <v>143</v>
      </c>
      <c r="BK25" s="3"/>
      <c r="BL25" s="3"/>
      <c r="BM25" s="2" t="s">
        <v>143</v>
      </c>
      <c r="BN25" s="2" t="s">
        <v>143</v>
      </c>
      <c r="BO25" s="2" t="s">
        <v>143</v>
      </c>
      <c r="BP25" s="2" t="s">
        <v>143</v>
      </c>
      <c r="BQ25" s="2" t="s">
        <v>143</v>
      </c>
      <c r="BR25" s="3"/>
      <c r="BS25" s="3"/>
      <c r="BT25" s="2" t="s">
        <v>143</v>
      </c>
      <c r="BU25" s="2" t="s">
        <v>143</v>
      </c>
      <c r="BV25" s="2" t="s">
        <v>143</v>
      </c>
      <c r="BW25" s="2" t="s">
        <v>143</v>
      </c>
      <c r="BX25" s="2" t="s">
        <v>143</v>
      </c>
      <c r="BY25" s="3"/>
      <c r="BZ25" s="3"/>
      <c r="CA25" s="2" t="s">
        <v>143</v>
      </c>
      <c r="CB25" s="2" t="s">
        <v>143</v>
      </c>
      <c r="CC25" s="2" t="s">
        <v>143</v>
      </c>
      <c r="CD25" s="2" t="s">
        <v>143</v>
      </c>
      <c r="CE25" s="2" t="s">
        <v>143</v>
      </c>
      <c r="CF25" s="3"/>
      <c r="CG25" s="3"/>
      <c r="CH25" s="2" t="s">
        <v>143</v>
      </c>
      <c r="CI25" s="2" t="s">
        <v>143</v>
      </c>
      <c r="CJ25" s="2" t="s">
        <v>143</v>
      </c>
      <c r="CK25" s="2" t="s">
        <v>143</v>
      </c>
      <c r="CL25" s="2" t="s">
        <v>143</v>
      </c>
      <c r="CM25" s="3"/>
      <c r="CN25" s="3"/>
      <c r="CO25" s="2" t="s">
        <v>143</v>
      </c>
      <c r="CP25" s="2" t="s">
        <v>143</v>
      </c>
      <c r="CQ25" s="2" t="s">
        <v>143</v>
      </c>
      <c r="CR25" s="2" t="s">
        <v>143</v>
      </c>
      <c r="CS25" s="2" t="s">
        <v>143</v>
      </c>
      <c r="CT25" s="3"/>
      <c r="CU25" s="3"/>
      <c r="CV25" s="2" t="s">
        <v>143</v>
      </c>
      <c r="CW25" s="2" t="s">
        <v>143</v>
      </c>
      <c r="CX25" s="2" t="s">
        <v>143</v>
      </c>
      <c r="CY25" s="2" t="s">
        <v>143</v>
      </c>
      <c r="CZ25" s="2" t="s">
        <v>143</v>
      </c>
      <c r="DA25" s="3"/>
      <c r="DB25" s="3"/>
      <c r="DC25" s="2" t="s">
        <v>143</v>
      </c>
      <c r="DD25" s="2" t="s">
        <v>143</v>
      </c>
      <c r="DE25" s="2" t="s">
        <v>143</v>
      </c>
      <c r="DF25" s="2" t="s">
        <v>143</v>
      </c>
      <c r="DG25" s="3"/>
      <c r="DH25" s="3"/>
      <c r="DI25" s="3"/>
      <c r="DJ25" s="3"/>
      <c r="DK25" s="81" t="s">
        <v>141</v>
      </c>
      <c r="DL25" s="81" t="s">
        <v>141</v>
      </c>
      <c r="DM25" s="81" t="s">
        <v>141</v>
      </c>
      <c r="DN25" s="81" t="s">
        <v>141</v>
      </c>
      <c r="DO25" s="3"/>
      <c r="DP25" s="3"/>
      <c r="DQ25" s="2" t="s">
        <v>143</v>
      </c>
      <c r="DR25" s="2" t="s">
        <v>143</v>
      </c>
      <c r="DS25" s="2" t="s">
        <v>143</v>
      </c>
      <c r="DT25" s="2" t="s">
        <v>143</v>
      </c>
      <c r="DU25" s="2" t="s">
        <v>143</v>
      </c>
      <c r="DV25" s="3"/>
      <c r="DW25" s="3"/>
      <c r="DX25" s="3"/>
      <c r="DY25" s="2" t="s">
        <v>143</v>
      </c>
      <c r="DZ25" s="2" t="s">
        <v>143</v>
      </c>
      <c r="EA25" s="2" t="s">
        <v>143</v>
      </c>
      <c r="EB25" s="2" t="s">
        <v>143</v>
      </c>
      <c r="EC25" s="3"/>
      <c r="ED25" s="3"/>
      <c r="EE25" s="2" t="s">
        <v>143</v>
      </c>
      <c r="EF25" s="2" t="s">
        <v>143</v>
      </c>
      <c r="EG25" s="2" t="s">
        <v>143</v>
      </c>
      <c r="EH25" s="2" t="s">
        <v>143</v>
      </c>
      <c r="EI25" s="2" t="s">
        <v>143</v>
      </c>
      <c r="EJ25" s="3"/>
      <c r="EK25" s="3"/>
      <c r="EL25" s="2" t="s">
        <v>143</v>
      </c>
      <c r="EM25" s="2" t="s">
        <v>143</v>
      </c>
      <c r="EN25" s="2" t="s">
        <v>143</v>
      </c>
      <c r="EO25" s="2" t="s">
        <v>143</v>
      </c>
      <c r="EP25" s="2" t="s">
        <v>143</v>
      </c>
      <c r="EQ25" s="3"/>
      <c r="ER25" s="3"/>
      <c r="ES25" s="3"/>
      <c r="ET25" s="2" t="s">
        <v>143</v>
      </c>
      <c r="EU25" s="2" t="s">
        <v>143</v>
      </c>
      <c r="EV25" s="2" t="s">
        <v>143</v>
      </c>
      <c r="EW25" s="2" t="s">
        <v>143</v>
      </c>
      <c r="EX25" s="3"/>
      <c r="EY25" s="3"/>
      <c r="EZ25" s="2" t="s">
        <v>143</v>
      </c>
      <c r="FA25" s="2" t="s">
        <v>143</v>
      </c>
      <c r="FB25" s="2" t="s">
        <v>143</v>
      </c>
      <c r="FC25" s="2" t="s">
        <v>143</v>
      </c>
      <c r="FD25" s="81" t="s">
        <v>141</v>
      </c>
      <c r="FE25" s="3"/>
      <c r="FF25" s="3"/>
      <c r="FG25" s="81" t="s">
        <v>141</v>
      </c>
      <c r="FH25" s="2" t="s">
        <v>143</v>
      </c>
      <c r="FI25" s="2" t="s">
        <v>143</v>
      </c>
      <c r="FJ25" s="2" t="s">
        <v>143</v>
      </c>
      <c r="FK25" s="2" t="s">
        <v>143</v>
      </c>
      <c r="FL25" s="3"/>
      <c r="FM25" s="3"/>
      <c r="FN25" s="2" t="s">
        <v>143</v>
      </c>
      <c r="FO25" s="2" t="s">
        <v>143</v>
      </c>
      <c r="FP25" s="2" t="s">
        <v>143</v>
      </c>
      <c r="FQ25" s="2" t="s">
        <v>143</v>
      </c>
      <c r="FR25" s="2" t="s">
        <v>143</v>
      </c>
      <c r="FS25" s="3"/>
      <c r="FT25" s="3"/>
      <c r="FU25" s="2" t="s">
        <v>143</v>
      </c>
      <c r="FV25" s="2" t="s">
        <v>143</v>
      </c>
      <c r="FW25" s="2" t="s">
        <v>143</v>
      </c>
      <c r="FX25" s="2" t="s">
        <v>143</v>
      </c>
      <c r="FY25" s="2" t="s">
        <v>143</v>
      </c>
      <c r="FZ25" s="3"/>
      <c r="GA25" s="3"/>
      <c r="GB25" s="2" t="s">
        <v>143</v>
      </c>
      <c r="GC25" s="2" t="s">
        <v>143</v>
      </c>
      <c r="GD25" s="2" t="s">
        <v>143</v>
      </c>
      <c r="GE25" s="2" t="s">
        <v>143</v>
      </c>
      <c r="GF25" s="2" t="s">
        <v>143</v>
      </c>
      <c r="GG25" s="3"/>
      <c r="GH25" s="3"/>
      <c r="GI25" s="2" t="s">
        <v>143</v>
      </c>
      <c r="GJ25" s="2" t="s">
        <v>143</v>
      </c>
      <c r="GK25" s="2" t="s">
        <v>143</v>
      </c>
      <c r="GL25" s="2" t="s">
        <v>143</v>
      </c>
      <c r="GM25" s="2" t="s">
        <v>143</v>
      </c>
      <c r="GN25" s="3"/>
      <c r="GO25" s="3"/>
      <c r="GP25" s="2" t="s">
        <v>143</v>
      </c>
      <c r="GQ25" s="2" t="s">
        <v>143</v>
      </c>
      <c r="GR25" s="2" t="s">
        <v>143</v>
      </c>
      <c r="GS25" s="2" t="s">
        <v>143</v>
      </c>
      <c r="GT25" s="2" t="s">
        <v>143</v>
      </c>
      <c r="GU25" s="3"/>
      <c r="GV25" s="3"/>
      <c r="GW25" s="201" t="s">
        <v>582</v>
      </c>
      <c r="GX25" s="2" t="s">
        <v>143</v>
      </c>
      <c r="GY25" s="2" t="s">
        <v>143</v>
      </c>
      <c r="GZ25" s="2" t="s">
        <v>143</v>
      </c>
      <c r="HA25" s="2" t="s">
        <v>143</v>
      </c>
      <c r="HB25" s="3"/>
      <c r="HC25" s="3"/>
      <c r="HD25" s="2" t="s">
        <v>143</v>
      </c>
      <c r="HE25" s="2" t="s">
        <v>143</v>
      </c>
      <c r="HF25" s="2" t="s">
        <v>143</v>
      </c>
      <c r="HG25" s="2" t="s">
        <v>143</v>
      </c>
      <c r="HH25" s="2" t="s">
        <v>143</v>
      </c>
      <c r="HI25" s="3"/>
      <c r="HJ25" s="3"/>
      <c r="HK25" s="2" t="s">
        <v>143</v>
      </c>
      <c r="HL25" s="2" t="s">
        <v>143</v>
      </c>
      <c r="HM25" s="2" t="s">
        <v>143</v>
      </c>
      <c r="HN25" s="2" t="s">
        <v>143</v>
      </c>
      <c r="HO25" s="2" t="s">
        <v>143</v>
      </c>
      <c r="HP25" s="3"/>
      <c r="HQ25" s="3"/>
      <c r="HR25" s="2" t="s">
        <v>143</v>
      </c>
      <c r="HS25" s="2" t="s">
        <v>143</v>
      </c>
      <c r="HT25" s="2" t="s">
        <v>143</v>
      </c>
      <c r="HU25" s="2" t="s">
        <v>143</v>
      </c>
      <c r="HV25" s="2" t="s">
        <v>143</v>
      </c>
      <c r="HW25" s="3"/>
      <c r="HX25" s="3"/>
      <c r="HY25" s="2" t="s">
        <v>143</v>
      </c>
      <c r="HZ25" s="2" t="s">
        <v>143</v>
      </c>
      <c r="IA25" s="2" t="s">
        <v>143</v>
      </c>
      <c r="IB25" s="2" t="s">
        <v>143</v>
      </c>
      <c r="IC25" s="81" t="s">
        <v>141</v>
      </c>
      <c r="ID25" s="3"/>
      <c r="IE25" s="3"/>
      <c r="IF25" s="201" t="s">
        <v>386</v>
      </c>
      <c r="IG25" s="81" t="s">
        <v>141</v>
      </c>
      <c r="IH25" s="81" t="s">
        <v>141</v>
      </c>
      <c r="II25" s="81" t="s">
        <v>141</v>
      </c>
      <c r="IJ25" s="81" t="s">
        <v>141</v>
      </c>
      <c r="IK25" s="3"/>
      <c r="IL25" s="3"/>
      <c r="IM25" s="214" t="s">
        <v>143</v>
      </c>
      <c r="IN25" s="214" t="s">
        <v>143</v>
      </c>
      <c r="IO25" s="214" t="s">
        <v>143</v>
      </c>
      <c r="IP25" s="214" t="s">
        <v>143</v>
      </c>
      <c r="IQ25" s="214" t="s">
        <v>143</v>
      </c>
      <c r="IR25" s="3"/>
      <c r="IS25" s="3"/>
      <c r="IT25" s="214" t="s">
        <v>143</v>
      </c>
      <c r="IU25" s="214" t="s">
        <v>143</v>
      </c>
      <c r="IV25" s="214" t="s">
        <v>143</v>
      </c>
      <c r="IW25" s="214" t="s">
        <v>363</v>
      </c>
      <c r="IX25" s="214" t="s">
        <v>143</v>
      </c>
      <c r="IY25" s="3"/>
      <c r="IZ25" s="3"/>
      <c r="JA25" s="214" t="s">
        <v>143</v>
      </c>
      <c r="JB25" s="214" t="s">
        <v>143</v>
      </c>
      <c r="JC25" s="214" t="s">
        <v>143</v>
      </c>
      <c r="JD25" s="214" t="s">
        <v>143</v>
      </c>
      <c r="JE25" s="214" t="s">
        <v>143</v>
      </c>
      <c r="JF25" s="3"/>
      <c r="JG25" s="3"/>
      <c r="JH25" s="214" t="s">
        <v>143</v>
      </c>
      <c r="JI25" s="214" t="s">
        <v>143</v>
      </c>
      <c r="JJ25" s="214" t="s">
        <v>143</v>
      </c>
      <c r="JK25" s="214" t="s">
        <v>143</v>
      </c>
      <c r="JL25" s="214" t="s">
        <v>143</v>
      </c>
      <c r="JM25" s="3"/>
      <c r="JN25" s="3"/>
      <c r="JO25" s="82" t="s">
        <v>329</v>
      </c>
      <c r="JP25" s="214" t="s">
        <v>143</v>
      </c>
      <c r="JQ25" s="218"/>
      <c r="JR25" s="218"/>
      <c r="JS25" s="218"/>
      <c r="JT25" s="3"/>
      <c r="JU25" s="3"/>
      <c r="JV25" s="218"/>
      <c r="JW25" s="218"/>
      <c r="JX25" s="218"/>
      <c r="JY25" s="218"/>
      <c r="JZ25" s="218"/>
      <c r="KA25" s="3"/>
      <c r="KB25" s="3"/>
      <c r="KC25" s="218"/>
      <c r="KD25" s="218"/>
      <c r="KE25" s="218"/>
      <c r="KF25" s="218"/>
      <c r="KG25" s="218"/>
      <c r="KH25" s="3"/>
      <c r="KI25" s="3"/>
      <c r="KJ25" s="218"/>
      <c r="KK25" s="218"/>
      <c r="KL25" s="218"/>
      <c r="KM25" s="218"/>
      <c r="KN25" s="218"/>
      <c r="KO25" s="3"/>
      <c r="KP25" s="3"/>
      <c r="KQ25" s="218"/>
      <c r="KR25" s="218"/>
      <c r="KS25" s="218"/>
      <c r="KT25" s="218"/>
      <c r="KU25" s="218"/>
      <c r="KV25" s="3"/>
      <c r="KW25" s="3"/>
      <c r="LC25" s="3"/>
      <c r="LD25" s="3"/>
      <c r="LJ25" s="3"/>
      <c r="LK25" s="3"/>
      <c r="LL25" s="214" t="s">
        <v>143</v>
      </c>
      <c r="LM25" s="214" t="s">
        <v>143</v>
      </c>
      <c r="LN25" s="214" t="s">
        <v>143</v>
      </c>
      <c r="LO25" s="214" t="s">
        <v>143</v>
      </c>
      <c r="LP25" s="214" t="s">
        <v>143</v>
      </c>
      <c r="LQ25" s="3"/>
      <c r="LR25" s="3"/>
      <c r="LX25" s="3"/>
      <c r="LY25" s="3"/>
      <c r="ME25" s="3"/>
      <c r="MF25" s="3"/>
      <c r="ML25" s="3"/>
      <c r="MM25" s="3"/>
      <c r="MS25" s="3"/>
      <c r="MT25" s="3"/>
      <c r="MX25" s="3"/>
      <c r="MY25" s="3"/>
      <c r="MZ25" s="3"/>
      <c r="NA25" s="3"/>
      <c r="NE25" s="3"/>
      <c r="NF25" s="224"/>
    </row>
    <row r="26" spans="1:370">
      <c r="A26" s="112" t="s">
        <v>358</v>
      </c>
      <c r="B26" s="50" t="s">
        <v>359</v>
      </c>
      <c r="C26" s="113"/>
      <c r="D26" s="3"/>
      <c r="E26" s="10"/>
      <c r="F26" s="10"/>
      <c r="G26" s="3"/>
      <c r="H26" s="3"/>
      <c r="I26" s="2"/>
      <c r="J26" s="2"/>
      <c r="K26" s="2"/>
      <c r="L26" s="2"/>
      <c r="M26" s="2"/>
      <c r="N26" s="3"/>
      <c r="O26" s="3"/>
      <c r="P26" s="2"/>
      <c r="Q26" s="2"/>
      <c r="R26" s="2"/>
      <c r="S26" s="2"/>
      <c r="T26" s="2"/>
      <c r="U26" s="3"/>
      <c r="V26" s="3"/>
      <c r="W26" s="2"/>
      <c r="X26" s="2"/>
      <c r="Y26" s="2"/>
      <c r="Z26" s="2"/>
      <c r="AA26" s="2"/>
      <c r="AB26" s="3"/>
      <c r="AC26" s="3"/>
      <c r="AD26" s="2"/>
      <c r="AE26" s="2"/>
      <c r="AF26" s="2"/>
      <c r="AG26" s="2"/>
      <c r="AH26" s="2"/>
      <c r="AI26" s="3"/>
      <c r="AJ26" s="3"/>
      <c r="AK26" s="2"/>
      <c r="AL26" s="2"/>
      <c r="AM26" s="2"/>
      <c r="AN26" s="2"/>
      <c r="AO26" s="2"/>
      <c r="AP26" s="3"/>
      <c r="AQ26" s="3"/>
      <c r="AR26" s="2"/>
      <c r="AS26" s="2"/>
      <c r="AT26" s="2"/>
      <c r="AU26" s="2"/>
      <c r="AV26" s="2"/>
      <c r="AW26" s="3"/>
      <c r="AX26" s="3"/>
      <c r="AY26" s="2"/>
      <c r="AZ26" s="11"/>
      <c r="BA26" s="11"/>
      <c r="BB26" s="11"/>
      <c r="BC26" s="11"/>
      <c r="BD26" s="3"/>
      <c r="BE26" s="3"/>
      <c r="BF26" s="2"/>
      <c r="BG26" s="2"/>
      <c r="BH26" s="2"/>
      <c r="BI26" s="2"/>
      <c r="BJ26" s="2"/>
      <c r="BK26" s="3"/>
      <c r="BL26" s="3"/>
      <c r="BM26" s="2"/>
      <c r="BN26" s="2"/>
      <c r="BO26" s="2"/>
      <c r="BP26" s="2"/>
      <c r="BQ26" s="2"/>
      <c r="BR26" s="3"/>
      <c r="BS26" s="3"/>
      <c r="BT26" s="2"/>
      <c r="BU26" s="2"/>
      <c r="BV26" s="2"/>
      <c r="BW26" s="2"/>
      <c r="BX26" s="2"/>
      <c r="BY26" s="3"/>
      <c r="BZ26" s="3"/>
      <c r="CA26" s="2"/>
      <c r="CB26" s="2"/>
      <c r="CC26" s="2"/>
      <c r="CD26" s="2"/>
      <c r="CE26" s="2"/>
      <c r="CF26" s="3"/>
      <c r="CG26" s="3"/>
      <c r="CH26" s="2"/>
      <c r="CI26" s="2"/>
      <c r="CJ26" s="2"/>
      <c r="CK26" s="2"/>
      <c r="CL26" s="2"/>
      <c r="CM26" s="3"/>
      <c r="CN26" s="3"/>
      <c r="CO26" s="2"/>
      <c r="CP26" s="2"/>
      <c r="CQ26" s="2"/>
      <c r="CR26" s="2"/>
      <c r="CS26" s="2"/>
      <c r="CT26" s="3"/>
      <c r="CU26" s="3"/>
      <c r="CV26" s="2"/>
      <c r="CW26" s="2"/>
      <c r="CX26" s="2"/>
      <c r="CY26" s="2"/>
      <c r="CZ26" s="2"/>
      <c r="DA26" s="3"/>
      <c r="DB26" s="3"/>
      <c r="DC26" s="2"/>
      <c r="DD26" s="2"/>
      <c r="DE26" s="2"/>
      <c r="DF26" s="2"/>
      <c r="DG26" s="3"/>
      <c r="DH26" s="3"/>
      <c r="DI26" s="3"/>
      <c r="DJ26" s="3"/>
      <c r="DK26" s="81"/>
      <c r="DL26" s="81"/>
      <c r="DM26" s="81"/>
      <c r="DN26" s="81"/>
      <c r="DO26" s="3"/>
      <c r="DP26" s="3"/>
      <c r="DQ26" s="2"/>
      <c r="DR26" s="2"/>
      <c r="DS26" s="2"/>
      <c r="DT26" s="2" t="s">
        <v>143</v>
      </c>
      <c r="DU26" s="2" t="s">
        <v>143</v>
      </c>
      <c r="DV26" s="3"/>
      <c r="DW26" s="3"/>
      <c r="DX26" s="3"/>
      <c r="DY26" s="2" t="s">
        <v>143</v>
      </c>
      <c r="DZ26" s="2" t="s">
        <v>143</v>
      </c>
      <c r="EA26" s="2" t="s">
        <v>143</v>
      </c>
      <c r="EB26" s="2" t="s">
        <v>143</v>
      </c>
      <c r="EC26" s="3"/>
      <c r="ED26" s="3"/>
      <c r="EE26" s="2" t="s">
        <v>143</v>
      </c>
      <c r="EF26" s="2" t="s">
        <v>143</v>
      </c>
      <c r="EG26" s="2" t="s">
        <v>143</v>
      </c>
      <c r="EH26" s="2" t="s">
        <v>143</v>
      </c>
      <c r="EI26" s="2" t="s">
        <v>143</v>
      </c>
      <c r="EJ26" s="3"/>
      <c r="EK26" s="3"/>
      <c r="EL26" s="2" t="s">
        <v>143</v>
      </c>
      <c r="EM26" s="2" t="s">
        <v>143</v>
      </c>
      <c r="EN26" s="2" t="s">
        <v>143</v>
      </c>
      <c r="EO26" s="2" t="s">
        <v>143</v>
      </c>
      <c r="EP26" s="2" t="s">
        <v>143</v>
      </c>
      <c r="EQ26" s="3"/>
      <c r="ER26" s="3"/>
      <c r="ES26" s="3"/>
      <c r="ET26" s="2" t="s">
        <v>143</v>
      </c>
      <c r="EU26" s="2" t="s">
        <v>143</v>
      </c>
      <c r="EV26" s="2" t="s">
        <v>143</v>
      </c>
      <c r="EW26" s="2" t="s">
        <v>143</v>
      </c>
      <c r="EX26" s="3"/>
      <c r="EY26" s="3"/>
      <c r="EZ26" s="2" t="s">
        <v>143</v>
      </c>
      <c r="FA26" s="2" t="s">
        <v>143</v>
      </c>
      <c r="FB26" s="2" t="s">
        <v>143</v>
      </c>
      <c r="FC26" s="2" t="s">
        <v>143</v>
      </c>
      <c r="FD26" s="2" t="s">
        <v>143</v>
      </c>
      <c r="FE26" s="3"/>
      <c r="FF26" s="3"/>
      <c r="FG26" s="2" t="s">
        <v>143</v>
      </c>
      <c r="FH26" s="2" t="s">
        <v>143</v>
      </c>
      <c r="FI26" s="2" t="s">
        <v>143</v>
      </c>
      <c r="FJ26" s="2" t="s">
        <v>143</v>
      </c>
      <c r="FK26" s="2" t="s">
        <v>143</v>
      </c>
      <c r="FL26" s="3"/>
      <c r="FM26" s="3"/>
      <c r="FN26" s="2" t="s">
        <v>143</v>
      </c>
      <c r="FO26" s="2" t="s">
        <v>143</v>
      </c>
      <c r="FP26" s="2" t="s">
        <v>143</v>
      </c>
      <c r="FQ26" s="2" t="s">
        <v>143</v>
      </c>
      <c r="FR26" s="2" t="s">
        <v>143</v>
      </c>
      <c r="FS26" s="3"/>
      <c r="FT26" s="3"/>
      <c r="FU26" s="2" t="s">
        <v>143</v>
      </c>
      <c r="FV26" s="2" t="s">
        <v>143</v>
      </c>
      <c r="FW26" s="2" t="s">
        <v>143</v>
      </c>
      <c r="FX26" s="2" t="s">
        <v>143</v>
      </c>
      <c r="FY26" s="2" t="s">
        <v>143</v>
      </c>
      <c r="FZ26" s="3"/>
      <c r="GA26" s="3"/>
      <c r="GB26" s="2" t="s">
        <v>143</v>
      </c>
      <c r="GC26" s="2" t="s">
        <v>143</v>
      </c>
      <c r="GD26" s="2" t="s">
        <v>143</v>
      </c>
      <c r="GE26" s="2" t="s">
        <v>143</v>
      </c>
      <c r="GF26" s="2" t="s">
        <v>143</v>
      </c>
      <c r="GG26" s="3"/>
      <c r="GH26" s="3"/>
      <c r="GI26" s="2" t="s">
        <v>143</v>
      </c>
      <c r="GJ26" s="2" t="s">
        <v>143</v>
      </c>
      <c r="GK26" s="2" t="s">
        <v>143</v>
      </c>
      <c r="GL26" s="2" t="s">
        <v>143</v>
      </c>
      <c r="GM26" s="81" t="s">
        <v>141</v>
      </c>
      <c r="GN26" s="3"/>
      <c r="GO26" s="3"/>
      <c r="GP26" s="81" t="s">
        <v>141</v>
      </c>
      <c r="GQ26" s="2" t="s">
        <v>143</v>
      </c>
      <c r="GR26" s="2" t="s">
        <v>143</v>
      </c>
      <c r="GS26" s="2" t="s">
        <v>143</v>
      </c>
      <c r="GT26" s="2" t="s">
        <v>143</v>
      </c>
      <c r="GU26" s="3"/>
      <c r="GV26" s="3"/>
      <c r="GW26" s="2" t="s">
        <v>143</v>
      </c>
      <c r="GX26" s="2" t="s">
        <v>143</v>
      </c>
      <c r="GY26" s="2" t="s">
        <v>143</v>
      </c>
      <c r="GZ26" s="2" t="s">
        <v>143</v>
      </c>
      <c r="HA26" s="2" t="s">
        <v>143</v>
      </c>
      <c r="HB26" s="3"/>
      <c r="HC26" s="3"/>
      <c r="HD26" s="2" t="s">
        <v>143</v>
      </c>
      <c r="HE26" s="2" t="s">
        <v>143</v>
      </c>
      <c r="HF26" s="2" t="s">
        <v>143</v>
      </c>
      <c r="HG26" s="2" t="s">
        <v>143</v>
      </c>
      <c r="HH26" s="2" t="s">
        <v>143</v>
      </c>
      <c r="HI26" s="3"/>
      <c r="HJ26" s="3"/>
      <c r="HK26" s="2" t="s">
        <v>143</v>
      </c>
      <c r="HL26" s="2" t="s">
        <v>143</v>
      </c>
      <c r="HM26" s="2" t="s">
        <v>143</v>
      </c>
      <c r="HN26" s="2" t="s">
        <v>143</v>
      </c>
      <c r="HO26" s="2" t="s">
        <v>143</v>
      </c>
      <c r="HP26" s="3"/>
      <c r="HQ26" s="3"/>
      <c r="HR26" s="2" t="s">
        <v>143</v>
      </c>
      <c r="HS26" s="2" t="s">
        <v>143</v>
      </c>
      <c r="HT26" s="2" t="s">
        <v>143</v>
      </c>
      <c r="HU26" s="2" t="s">
        <v>143</v>
      </c>
      <c r="HV26" s="2" t="s">
        <v>143</v>
      </c>
      <c r="HW26" s="3"/>
      <c r="HX26" s="3"/>
      <c r="HY26" s="2" t="s">
        <v>143</v>
      </c>
      <c r="HZ26" s="2" t="s">
        <v>143</v>
      </c>
      <c r="IA26" s="2" t="s">
        <v>143</v>
      </c>
      <c r="IB26" s="2" t="s">
        <v>143</v>
      </c>
      <c r="IC26" s="2" t="s">
        <v>143</v>
      </c>
      <c r="ID26" s="3"/>
      <c r="IE26" s="3"/>
      <c r="IF26" s="201" t="s">
        <v>386</v>
      </c>
      <c r="IG26" s="2" t="s">
        <v>143</v>
      </c>
      <c r="IH26" s="2" t="s">
        <v>143</v>
      </c>
      <c r="II26" s="2" t="s">
        <v>143</v>
      </c>
      <c r="IJ26" s="2" t="s">
        <v>143</v>
      </c>
      <c r="IK26" s="3"/>
      <c r="IL26" s="3"/>
      <c r="IM26" s="214" t="s">
        <v>143</v>
      </c>
      <c r="IN26" s="214" t="s">
        <v>143</v>
      </c>
      <c r="IO26" s="214" t="s">
        <v>143</v>
      </c>
      <c r="IP26" s="214" t="s">
        <v>143</v>
      </c>
      <c r="IQ26" s="218" t="s">
        <v>141</v>
      </c>
      <c r="IR26" s="3"/>
      <c r="IS26" s="3"/>
      <c r="IT26" s="82" t="s">
        <v>583</v>
      </c>
      <c r="IU26" s="214" t="s">
        <v>143</v>
      </c>
      <c r="IV26" s="214" t="s">
        <v>237</v>
      </c>
      <c r="IW26" s="214" t="s">
        <v>143</v>
      </c>
      <c r="IX26" s="214" t="s">
        <v>143</v>
      </c>
      <c r="IY26" s="3"/>
      <c r="IZ26" s="3"/>
      <c r="JA26" s="214" t="s">
        <v>143</v>
      </c>
      <c r="JB26" s="214" t="s">
        <v>143</v>
      </c>
      <c r="JC26" s="214" t="s">
        <v>143</v>
      </c>
      <c r="JD26" s="214" t="s">
        <v>143</v>
      </c>
      <c r="JE26" s="214" t="s">
        <v>143</v>
      </c>
      <c r="JF26" s="3"/>
      <c r="JG26" s="3"/>
      <c r="JH26" s="218" t="s">
        <v>141</v>
      </c>
      <c r="JI26" s="218" t="s">
        <v>141</v>
      </c>
      <c r="JJ26" s="218" t="s">
        <v>141</v>
      </c>
      <c r="JK26" s="218" t="s">
        <v>141</v>
      </c>
      <c r="JL26" s="218" t="s">
        <v>141</v>
      </c>
      <c r="JM26" s="3"/>
      <c r="JN26" s="3"/>
      <c r="JO26" s="214" t="s">
        <v>143</v>
      </c>
      <c r="JP26" s="214" t="s">
        <v>143</v>
      </c>
      <c r="JQ26" s="214" t="s">
        <v>143</v>
      </c>
      <c r="JR26" s="214" t="s">
        <v>143</v>
      </c>
      <c r="JS26" s="214" t="s">
        <v>143</v>
      </c>
      <c r="JT26" s="3"/>
      <c r="JU26" s="3"/>
      <c r="JV26" s="214" t="s">
        <v>143</v>
      </c>
      <c r="JW26" s="214" t="s">
        <v>143</v>
      </c>
      <c r="JX26" s="214" t="s">
        <v>143</v>
      </c>
      <c r="JY26" s="214" t="s">
        <v>283</v>
      </c>
      <c r="JZ26" s="214" t="s">
        <v>237</v>
      </c>
      <c r="KA26" s="3"/>
      <c r="KB26" s="3"/>
      <c r="KC26" s="214" t="s">
        <v>143</v>
      </c>
      <c r="KD26" s="214" t="s">
        <v>143</v>
      </c>
      <c r="KE26" s="214" t="s">
        <v>143</v>
      </c>
      <c r="KF26" s="214" t="s">
        <v>143</v>
      </c>
      <c r="KG26" s="214" t="s">
        <v>143</v>
      </c>
      <c r="KH26" s="3"/>
      <c r="KI26" s="3"/>
      <c r="KJ26" s="214" t="s">
        <v>143</v>
      </c>
      <c r="KK26" s="214" t="s">
        <v>584</v>
      </c>
      <c r="KL26" s="214" t="s">
        <v>143</v>
      </c>
      <c r="KM26" s="214" t="s">
        <v>143</v>
      </c>
      <c r="KN26" s="214" t="s">
        <v>143</v>
      </c>
      <c r="KO26" s="3"/>
      <c r="KP26" s="3"/>
      <c r="KQ26" s="214" t="s">
        <v>143</v>
      </c>
      <c r="KR26" s="214" t="s">
        <v>143</v>
      </c>
      <c r="KS26" s="214" t="s">
        <v>143</v>
      </c>
      <c r="KT26" s="214" t="s">
        <v>143</v>
      </c>
      <c r="KU26" s="214" t="s">
        <v>143</v>
      </c>
      <c r="KV26" s="3"/>
      <c r="KW26" s="3"/>
      <c r="KX26" s="214" t="s">
        <v>143</v>
      </c>
      <c r="KY26" s="214" t="s">
        <v>143</v>
      </c>
      <c r="KZ26" s="214" t="s">
        <v>143</v>
      </c>
      <c r="LA26" s="214" t="s">
        <v>143</v>
      </c>
      <c r="LB26" s="214" t="s">
        <v>143</v>
      </c>
      <c r="LC26" s="3"/>
      <c r="LD26" s="3"/>
      <c r="LE26" s="82"/>
      <c r="LF26" s="82" t="s">
        <v>585</v>
      </c>
      <c r="LG26" s="82"/>
      <c r="LH26" s="214" t="s">
        <v>143</v>
      </c>
      <c r="LI26" s="214" t="s">
        <v>143</v>
      </c>
      <c r="LJ26" s="3"/>
      <c r="LK26" s="3"/>
      <c r="LL26" s="214" t="s">
        <v>143</v>
      </c>
      <c r="LM26" s="214" t="s">
        <v>143</v>
      </c>
      <c r="LN26" s="214" t="s">
        <v>143</v>
      </c>
      <c r="LO26" s="214" t="s">
        <v>143</v>
      </c>
      <c r="LP26" s="214" t="s">
        <v>143</v>
      </c>
      <c r="LQ26" s="3"/>
      <c r="LR26" s="3"/>
      <c r="LS26" s="218" t="s">
        <v>141</v>
      </c>
      <c r="LT26" s="218" t="s">
        <v>141</v>
      </c>
      <c r="LU26" s="218" t="s">
        <v>141</v>
      </c>
      <c r="LV26" s="218" t="s">
        <v>141</v>
      </c>
      <c r="LW26" s="218" t="s">
        <v>141</v>
      </c>
      <c r="LX26" s="3"/>
      <c r="LY26" s="3"/>
      <c r="LZ26" s="214" t="s">
        <v>143</v>
      </c>
      <c r="MA26" s="214" t="s">
        <v>143</v>
      </c>
      <c r="MB26" s="214" t="s">
        <v>143</v>
      </c>
      <c r="MC26" s="214" t="s">
        <v>143</v>
      </c>
      <c r="MD26" s="214" t="s">
        <v>143</v>
      </c>
      <c r="ME26" s="3"/>
      <c r="MF26" s="3"/>
      <c r="MG26" s="214" t="s">
        <v>237</v>
      </c>
      <c r="MH26" s="214" t="s">
        <v>143</v>
      </c>
      <c r="MI26" s="214" t="s">
        <v>143</v>
      </c>
      <c r="MJ26" s="214" t="s">
        <v>143</v>
      </c>
      <c r="MK26" s="214" t="s">
        <v>143</v>
      </c>
      <c r="ML26" s="3"/>
      <c r="MM26" s="3"/>
      <c r="MN26" s="214" t="s">
        <v>143</v>
      </c>
      <c r="MO26" s="214" t="s">
        <v>143</v>
      </c>
      <c r="MP26" s="214" t="s">
        <v>143</v>
      </c>
      <c r="MQ26" s="214" t="s">
        <v>143</v>
      </c>
      <c r="MR26" s="214" t="s">
        <v>143</v>
      </c>
      <c r="MS26" s="3"/>
      <c r="MT26" s="3"/>
      <c r="MU26" s="214" t="s">
        <v>143</v>
      </c>
      <c r="MV26" s="214" t="s">
        <v>143</v>
      </c>
      <c r="MW26" s="214" t="s">
        <v>143</v>
      </c>
      <c r="MX26" s="3"/>
      <c r="MY26" s="3"/>
      <c r="MZ26" s="3"/>
      <c r="NA26" s="3"/>
      <c r="NB26" s="219" t="s">
        <v>141</v>
      </c>
      <c r="NC26" s="219" t="s">
        <v>141</v>
      </c>
      <c r="ND26" s="219" t="s">
        <v>141</v>
      </c>
      <c r="NE26" s="3"/>
      <c r="NF26" s="219" t="s">
        <v>141</v>
      </c>
    </row>
    <row r="27" spans="1:370">
      <c r="A27" s="112" t="s">
        <v>361</v>
      </c>
      <c r="B27" s="50" t="s">
        <v>15</v>
      </c>
      <c r="C27" s="113"/>
      <c r="D27" s="3"/>
      <c r="E27" s="10"/>
      <c r="F27" s="10"/>
      <c r="G27" s="3"/>
      <c r="H27" s="3"/>
      <c r="I27" s="2"/>
      <c r="J27" s="2"/>
      <c r="K27" s="2"/>
      <c r="L27" s="2"/>
      <c r="M27" s="2"/>
      <c r="N27" s="3"/>
      <c r="O27" s="3"/>
      <c r="P27" s="2"/>
      <c r="Q27" s="2"/>
      <c r="R27" s="2"/>
      <c r="S27" s="2"/>
      <c r="T27" s="2"/>
      <c r="U27" s="3"/>
      <c r="V27" s="3"/>
      <c r="W27" s="2"/>
      <c r="X27" s="2"/>
      <c r="Y27" s="2"/>
      <c r="Z27" s="2"/>
      <c r="AA27" s="2"/>
      <c r="AB27" s="3"/>
      <c r="AC27" s="3"/>
      <c r="AD27" s="2"/>
      <c r="AE27" s="2"/>
      <c r="AF27" s="2"/>
      <c r="AG27" s="2"/>
      <c r="AH27" s="2"/>
      <c r="AI27" s="3"/>
      <c r="AJ27" s="3"/>
      <c r="AK27" s="2"/>
      <c r="AL27" s="2"/>
      <c r="AM27" s="2"/>
      <c r="AN27" s="2"/>
      <c r="AO27" s="2"/>
      <c r="AP27" s="3"/>
      <c r="AQ27" s="3"/>
      <c r="AR27" s="2"/>
      <c r="AS27" s="2"/>
      <c r="AT27" s="2"/>
      <c r="AU27" s="2"/>
      <c r="AV27" s="2"/>
      <c r="AW27" s="3"/>
      <c r="AX27" s="3"/>
      <c r="AY27" s="2"/>
      <c r="AZ27" s="11"/>
      <c r="BA27" s="11"/>
      <c r="BB27" s="11"/>
      <c r="BC27" s="11"/>
      <c r="BD27" s="3"/>
      <c r="BE27" s="3"/>
      <c r="BF27" s="2"/>
      <c r="BG27" s="2"/>
      <c r="BH27" s="2"/>
      <c r="BI27" s="2"/>
      <c r="BJ27" s="2"/>
      <c r="BK27" s="3"/>
      <c r="BL27" s="3"/>
      <c r="BM27" s="2"/>
      <c r="BN27" s="2"/>
      <c r="BO27" s="2"/>
      <c r="BP27" s="2"/>
      <c r="BQ27" s="2"/>
      <c r="BR27" s="3"/>
      <c r="BS27" s="3"/>
      <c r="BT27" s="2"/>
      <c r="BU27" s="2"/>
      <c r="BV27" s="2"/>
      <c r="BW27" s="2"/>
      <c r="BX27" s="2"/>
      <c r="BY27" s="3"/>
      <c r="BZ27" s="3"/>
      <c r="CA27" s="2"/>
      <c r="CB27" s="2"/>
      <c r="CC27" s="2"/>
      <c r="CD27" s="2"/>
      <c r="CE27" s="2"/>
      <c r="CF27" s="3"/>
      <c r="CG27" s="3"/>
      <c r="CH27" s="2"/>
      <c r="CI27" s="2"/>
      <c r="CJ27" s="2"/>
      <c r="CK27" s="2"/>
      <c r="CL27" s="2"/>
      <c r="CM27" s="3"/>
      <c r="CN27" s="3"/>
      <c r="CO27" s="2"/>
      <c r="CP27" s="2"/>
      <c r="CQ27" s="2"/>
      <c r="CR27" s="2"/>
      <c r="CS27" s="2"/>
      <c r="CT27" s="3"/>
      <c r="CU27" s="3"/>
      <c r="CV27" s="2"/>
      <c r="CW27" s="2"/>
      <c r="CX27" s="2"/>
      <c r="CY27" s="2"/>
      <c r="CZ27" s="2"/>
      <c r="DA27" s="3"/>
      <c r="DB27" s="3"/>
      <c r="DC27" s="2"/>
      <c r="DD27" s="2"/>
      <c r="DE27" s="2"/>
      <c r="DF27" s="2"/>
      <c r="DG27" s="3"/>
      <c r="DH27" s="3"/>
      <c r="DI27" s="3"/>
      <c r="DJ27" s="3"/>
      <c r="DK27" s="81"/>
      <c r="DL27" s="81"/>
      <c r="DM27" s="81"/>
      <c r="DN27" s="81"/>
      <c r="DO27" s="3"/>
      <c r="DP27" s="3"/>
      <c r="DQ27" s="2"/>
      <c r="DR27" s="2"/>
      <c r="DS27" s="2"/>
      <c r="DT27" s="2"/>
      <c r="DU27" s="2"/>
      <c r="DV27" s="3"/>
      <c r="DW27" s="3"/>
      <c r="DX27" s="3"/>
      <c r="DY27" s="2"/>
      <c r="DZ27" s="2"/>
      <c r="EA27" s="2"/>
      <c r="EB27" s="2"/>
      <c r="EC27" s="3"/>
      <c r="ED27" s="3"/>
      <c r="EE27" s="2"/>
      <c r="EF27" s="2"/>
      <c r="EG27" s="2"/>
      <c r="EH27" s="2"/>
      <c r="EI27" s="2"/>
      <c r="EJ27" s="3"/>
      <c r="EK27" s="3"/>
      <c r="EL27" s="2"/>
      <c r="EM27" s="2"/>
      <c r="EN27" s="2"/>
      <c r="EO27" s="2"/>
      <c r="EP27" s="2"/>
      <c r="EQ27" s="3"/>
      <c r="ER27" s="3"/>
      <c r="ES27" s="3"/>
      <c r="EX27" s="3"/>
      <c r="EY27" s="3"/>
      <c r="EZ27" s="2" t="s">
        <v>143</v>
      </c>
      <c r="FA27" s="2" t="s">
        <v>143</v>
      </c>
      <c r="FB27" s="2" t="s">
        <v>143</v>
      </c>
      <c r="FC27" s="2" t="s">
        <v>143</v>
      </c>
      <c r="FD27" s="81" t="s">
        <v>141</v>
      </c>
      <c r="FE27" s="3"/>
      <c r="FF27" s="3"/>
      <c r="FG27" s="2" t="s">
        <v>143</v>
      </c>
      <c r="FH27" s="81" t="s">
        <v>158</v>
      </c>
      <c r="FI27" s="2" t="s">
        <v>143</v>
      </c>
      <c r="FJ27" s="2" t="s">
        <v>143</v>
      </c>
      <c r="FK27" s="2" t="s">
        <v>143</v>
      </c>
      <c r="FL27" s="3"/>
      <c r="FM27" s="3"/>
      <c r="FN27" s="2" t="s">
        <v>143</v>
      </c>
      <c r="FO27" s="2" t="s">
        <v>143</v>
      </c>
      <c r="FP27" s="2" t="s">
        <v>143</v>
      </c>
      <c r="FQ27" s="2" t="s">
        <v>143</v>
      </c>
      <c r="FR27" s="2" t="s">
        <v>143</v>
      </c>
      <c r="FS27" s="3"/>
      <c r="FT27" s="3"/>
      <c r="FU27" s="2" t="s">
        <v>143</v>
      </c>
      <c r="FV27" s="2" t="s">
        <v>143</v>
      </c>
      <c r="FW27" s="2" t="s">
        <v>143</v>
      </c>
      <c r="FX27" s="2" t="s">
        <v>143</v>
      </c>
      <c r="FY27" s="81" t="s">
        <v>141</v>
      </c>
      <c r="FZ27" s="3"/>
      <c r="GA27" s="3"/>
      <c r="GB27" s="81" t="s">
        <v>141</v>
      </c>
      <c r="GC27" s="81" t="s">
        <v>141</v>
      </c>
      <c r="GD27" s="81" t="s">
        <v>141</v>
      </c>
      <c r="GE27" s="81" t="s">
        <v>141</v>
      </c>
      <c r="GF27" s="81" t="s">
        <v>141</v>
      </c>
      <c r="GG27" s="3"/>
      <c r="GH27" s="3"/>
      <c r="GI27" s="201" t="s">
        <v>149</v>
      </c>
      <c r="GJ27" s="201" t="s">
        <v>149</v>
      </c>
      <c r="GK27" s="201" t="s">
        <v>149</v>
      </c>
      <c r="GL27" s="2" t="s">
        <v>143</v>
      </c>
      <c r="GM27" s="2" t="s">
        <v>143</v>
      </c>
      <c r="GN27" s="3"/>
      <c r="GO27" s="3"/>
      <c r="GP27" s="2" t="s">
        <v>143</v>
      </c>
      <c r="GQ27" s="2" t="s">
        <v>143</v>
      </c>
      <c r="GR27" s="2" t="s">
        <v>143</v>
      </c>
      <c r="GS27" s="2" t="s">
        <v>143</v>
      </c>
      <c r="GT27" s="2" t="s">
        <v>143</v>
      </c>
      <c r="GU27" s="3"/>
      <c r="GV27" s="3"/>
      <c r="GW27" s="2" t="s">
        <v>143</v>
      </c>
      <c r="GX27" s="2" t="s">
        <v>143</v>
      </c>
      <c r="GY27" s="2" t="s">
        <v>143</v>
      </c>
      <c r="GZ27" s="2" t="s">
        <v>143</v>
      </c>
      <c r="HA27" s="2" t="s">
        <v>143</v>
      </c>
      <c r="HB27" s="3"/>
      <c r="HC27" s="3"/>
      <c r="HD27" s="2" t="s">
        <v>143</v>
      </c>
      <c r="HE27" s="2" t="s">
        <v>143</v>
      </c>
      <c r="HF27" s="79" t="s">
        <v>586</v>
      </c>
      <c r="HG27" s="79" t="s">
        <v>586</v>
      </c>
      <c r="HH27" s="79" t="s">
        <v>586</v>
      </c>
      <c r="HI27" s="3"/>
      <c r="HJ27" s="3"/>
      <c r="HK27" s="2" t="s">
        <v>143</v>
      </c>
      <c r="HL27" s="2" t="s">
        <v>143</v>
      </c>
      <c r="HM27" s="2" t="s">
        <v>143</v>
      </c>
      <c r="HN27" s="2" t="s">
        <v>143</v>
      </c>
      <c r="HO27" s="2" t="s">
        <v>143</v>
      </c>
      <c r="HP27" s="3"/>
      <c r="HQ27" s="3"/>
      <c r="HR27" s="2" t="s">
        <v>143</v>
      </c>
      <c r="HS27" s="2" t="s">
        <v>143</v>
      </c>
      <c r="HT27" s="2" t="s">
        <v>143</v>
      </c>
      <c r="HU27" s="2" t="s">
        <v>143</v>
      </c>
      <c r="HV27" s="2" t="s">
        <v>143</v>
      </c>
      <c r="HW27" s="3"/>
      <c r="HX27" s="3"/>
      <c r="HY27" s="2" t="s">
        <v>143</v>
      </c>
      <c r="HZ27" s="2" t="s">
        <v>143</v>
      </c>
      <c r="IA27" s="2" t="s">
        <v>143</v>
      </c>
      <c r="IB27" s="2" t="s">
        <v>143</v>
      </c>
      <c r="IC27" s="81" t="s">
        <v>141</v>
      </c>
      <c r="ID27" s="3"/>
      <c r="IE27" s="3"/>
      <c r="IF27" s="201" t="s">
        <v>386</v>
      </c>
      <c r="IG27" s="2" t="s">
        <v>143</v>
      </c>
      <c r="IH27" s="2" t="s">
        <v>143</v>
      </c>
      <c r="II27" s="2" t="s">
        <v>143</v>
      </c>
      <c r="IJ27" s="2" t="s">
        <v>143</v>
      </c>
      <c r="IK27" s="3"/>
      <c r="IL27" s="3"/>
      <c r="IM27" s="219" t="s">
        <v>582</v>
      </c>
      <c r="IN27" s="214" t="s">
        <v>143</v>
      </c>
      <c r="IO27" s="214" t="s">
        <v>143</v>
      </c>
      <c r="IP27" s="214" t="s">
        <v>143</v>
      </c>
      <c r="IQ27" s="214" t="s">
        <v>143</v>
      </c>
      <c r="IR27" s="3"/>
      <c r="IS27" s="3"/>
      <c r="IT27" s="214" t="s">
        <v>143</v>
      </c>
      <c r="IU27" s="214" t="s">
        <v>143</v>
      </c>
      <c r="IV27" s="214" t="s">
        <v>237</v>
      </c>
      <c r="IW27" s="214" t="s">
        <v>143</v>
      </c>
      <c r="IX27" s="214" t="s">
        <v>143</v>
      </c>
      <c r="IY27" s="3"/>
      <c r="IZ27" s="3"/>
      <c r="JA27" s="214" t="s">
        <v>143</v>
      </c>
      <c r="JB27" s="214" t="s">
        <v>143</v>
      </c>
      <c r="JC27" s="214" t="s">
        <v>143</v>
      </c>
      <c r="JD27" s="214" t="s">
        <v>237</v>
      </c>
      <c r="JE27" s="218" t="s">
        <v>141</v>
      </c>
      <c r="JF27" s="3"/>
      <c r="JG27" s="3"/>
      <c r="JH27" s="218" t="s">
        <v>141</v>
      </c>
      <c r="JI27" s="218" t="s">
        <v>141</v>
      </c>
      <c r="JJ27" s="218" t="s">
        <v>141</v>
      </c>
      <c r="JK27" s="218" t="s">
        <v>141</v>
      </c>
      <c r="JL27" s="218" t="s">
        <v>141</v>
      </c>
      <c r="JM27" s="3"/>
      <c r="JN27" s="3"/>
      <c r="JO27" s="214" t="s">
        <v>143</v>
      </c>
      <c r="JP27" s="214" t="s">
        <v>143</v>
      </c>
      <c r="JQ27" s="214" t="s">
        <v>143</v>
      </c>
      <c r="JR27" s="214" t="s">
        <v>237</v>
      </c>
      <c r="JS27" s="214" t="s">
        <v>237</v>
      </c>
      <c r="JT27" s="3"/>
      <c r="JU27" s="3"/>
      <c r="JV27" s="214" t="s">
        <v>143</v>
      </c>
      <c r="JW27" s="214" t="s">
        <v>143</v>
      </c>
      <c r="JX27" s="214" t="s">
        <v>237</v>
      </c>
      <c r="JY27" s="214" t="s">
        <v>283</v>
      </c>
      <c r="JZ27" s="214" t="s">
        <v>143</v>
      </c>
      <c r="KA27" s="3"/>
      <c r="KB27" s="3"/>
      <c r="KC27" s="214" t="s">
        <v>237</v>
      </c>
      <c r="KD27" s="214" t="s">
        <v>237</v>
      </c>
      <c r="KE27" s="214" t="s">
        <v>237</v>
      </c>
      <c r="KF27" s="214" t="s">
        <v>143</v>
      </c>
      <c r="KG27" s="214" t="s">
        <v>143</v>
      </c>
      <c r="KH27" s="3"/>
      <c r="KI27" s="3"/>
      <c r="KJ27" s="214" t="s">
        <v>143</v>
      </c>
      <c r="KK27" s="214" t="s">
        <v>143</v>
      </c>
      <c r="KL27" s="214" t="s">
        <v>237</v>
      </c>
      <c r="KM27" s="214" t="s">
        <v>143</v>
      </c>
      <c r="KN27" s="214" t="s">
        <v>143</v>
      </c>
      <c r="KO27" s="3"/>
      <c r="KP27" s="3"/>
      <c r="KQ27" s="213" t="s">
        <v>587</v>
      </c>
      <c r="KR27" s="213" t="s">
        <v>587</v>
      </c>
      <c r="KS27" s="213" t="s">
        <v>587</v>
      </c>
      <c r="KT27" s="214" t="s">
        <v>143</v>
      </c>
      <c r="KU27" s="214" t="s">
        <v>143</v>
      </c>
      <c r="KV27" s="3"/>
      <c r="KW27" s="3"/>
      <c r="KX27" s="214" t="s">
        <v>143</v>
      </c>
      <c r="KY27" s="214" t="s">
        <v>143</v>
      </c>
      <c r="KZ27" s="214" t="s">
        <v>143</v>
      </c>
      <c r="LA27" s="214" t="s">
        <v>237</v>
      </c>
      <c r="LB27" s="214" t="s">
        <v>143</v>
      </c>
      <c r="LC27" s="3"/>
      <c r="LD27" s="3"/>
      <c r="LE27" s="82"/>
      <c r="LF27" s="82" t="s">
        <v>585</v>
      </c>
      <c r="LG27" s="82"/>
      <c r="LH27" s="214" t="s">
        <v>143</v>
      </c>
      <c r="LI27" s="218"/>
      <c r="LJ27" s="3"/>
      <c r="LK27" s="3"/>
      <c r="LL27" s="214" t="s">
        <v>143</v>
      </c>
      <c r="LM27" s="214" t="s">
        <v>143</v>
      </c>
      <c r="LN27" s="214" t="s">
        <v>143</v>
      </c>
      <c r="LO27" s="214" t="s">
        <v>322</v>
      </c>
      <c r="LP27" s="214" t="s">
        <v>143</v>
      </c>
      <c r="LQ27" s="3"/>
      <c r="LR27" s="3"/>
      <c r="LS27" s="214" t="s">
        <v>143</v>
      </c>
      <c r="LT27" s="214" t="s">
        <v>143</v>
      </c>
      <c r="LU27" s="214" t="s">
        <v>143</v>
      </c>
      <c r="LV27" s="214" t="s">
        <v>322</v>
      </c>
      <c r="LW27" s="214" t="s">
        <v>143</v>
      </c>
      <c r="LX27" s="3"/>
      <c r="LY27" s="3"/>
      <c r="LZ27" s="214" t="s">
        <v>143</v>
      </c>
      <c r="MA27" s="214" t="s">
        <v>143</v>
      </c>
      <c r="MB27" s="219" t="s">
        <v>149</v>
      </c>
      <c r="MC27" s="219" t="s">
        <v>149</v>
      </c>
      <c r="MD27" s="214" t="s">
        <v>143</v>
      </c>
      <c r="ME27" s="3"/>
      <c r="MF27" s="3"/>
      <c r="MG27" s="214" t="s">
        <v>143</v>
      </c>
      <c r="MH27" s="214" t="s">
        <v>143</v>
      </c>
      <c r="MI27" s="214" t="s">
        <v>588</v>
      </c>
      <c r="MJ27" s="214" t="s">
        <v>143</v>
      </c>
      <c r="MK27" s="214" t="s">
        <v>143</v>
      </c>
      <c r="ML27" s="3"/>
      <c r="MM27" s="3"/>
      <c r="MN27" s="214" t="s">
        <v>143</v>
      </c>
      <c r="MO27" s="214" t="s">
        <v>143</v>
      </c>
      <c r="MP27" s="214" t="s">
        <v>143</v>
      </c>
      <c r="MQ27" s="214" t="s">
        <v>143</v>
      </c>
      <c r="MR27" s="214" t="s">
        <v>143</v>
      </c>
      <c r="MS27" s="3"/>
      <c r="MT27" s="3"/>
      <c r="MU27" s="214" t="s">
        <v>143</v>
      </c>
      <c r="MV27" s="219" t="s">
        <v>141</v>
      </c>
      <c r="MW27" s="214" t="s">
        <v>143</v>
      </c>
      <c r="MX27" s="3"/>
      <c r="MY27" s="3"/>
      <c r="MZ27" s="3"/>
      <c r="NA27" s="3"/>
      <c r="NB27" s="214" t="s">
        <v>143</v>
      </c>
      <c r="NC27" s="214" t="s">
        <v>143</v>
      </c>
      <c r="ND27" s="214" t="s">
        <v>143</v>
      </c>
      <c r="NE27" s="3"/>
      <c r="NF27" s="214" t="s">
        <v>143</v>
      </c>
    </row>
    <row r="28" spans="1:370" hidden="1">
      <c r="A28" s="112" t="s">
        <v>201</v>
      </c>
      <c r="B28" s="50" t="s">
        <v>15</v>
      </c>
      <c r="C28" s="113" t="s">
        <v>15</v>
      </c>
      <c r="D28" s="3"/>
      <c r="E28" s="11" t="s">
        <v>141</v>
      </c>
      <c r="F28" s="11" t="s">
        <v>141</v>
      </c>
      <c r="G28" s="3"/>
      <c r="H28" s="3"/>
      <c r="I28" s="2" t="s">
        <v>143</v>
      </c>
      <c r="J28" s="2" t="s">
        <v>143</v>
      </c>
      <c r="K28" s="2" t="s">
        <v>143</v>
      </c>
      <c r="L28" s="2" t="s">
        <v>143</v>
      </c>
      <c r="M28" s="2" t="s">
        <v>143</v>
      </c>
      <c r="N28" s="3"/>
      <c r="O28" s="3"/>
      <c r="P28" s="2" t="s">
        <v>143</v>
      </c>
      <c r="Q28" s="2" t="s">
        <v>143</v>
      </c>
      <c r="R28" s="2" t="s">
        <v>143</v>
      </c>
      <c r="S28" s="2" t="s">
        <v>143</v>
      </c>
      <c r="T28" s="2" t="s">
        <v>143</v>
      </c>
      <c r="U28" s="3"/>
      <c r="V28" s="3"/>
      <c r="W28" s="2" t="s">
        <v>143</v>
      </c>
      <c r="X28" s="2" t="s">
        <v>143</v>
      </c>
      <c r="Y28" s="2" t="s">
        <v>143</v>
      </c>
      <c r="Z28" s="11" t="s">
        <v>141</v>
      </c>
      <c r="AA28" s="2" t="s">
        <v>143</v>
      </c>
      <c r="AB28" s="3"/>
      <c r="AC28" s="3"/>
      <c r="AD28" s="2" t="s">
        <v>143</v>
      </c>
      <c r="AE28" s="2" t="s">
        <v>143</v>
      </c>
      <c r="AF28" s="2" t="s">
        <v>143</v>
      </c>
      <c r="AG28" s="11" t="s">
        <v>141</v>
      </c>
      <c r="AH28" s="2" t="s">
        <v>143</v>
      </c>
      <c r="AI28" s="3"/>
      <c r="AJ28" s="3"/>
      <c r="AK28" s="2" t="s">
        <v>143</v>
      </c>
      <c r="AL28" s="2" t="s">
        <v>143</v>
      </c>
      <c r="AM28" s="2" t="s">
        <v>143</v>
      </c>
      <c r="AN28" s="2" t="s">
        <v>143</v>
      </c>
      <c r="AO28" s="2" t="s">
        <v>143</v>
      </c>
      <c r="AP28" s="3"/>
      <c r="AQ28" s="3"/>
      <c r="AR28" s="2" t="s">
        <v>143</v>
      </c>
      <c r="AS28" s="2" t="s">
        <v>143</v>
      </c>
      <c r="AT28" s="2" t="s">
        <v>143</v>
      </c>
      <c r="AU28" s="2" t="s">
        <v>143</v>
      </c>
      <c r="AV28" s="2" t="s">
        <v>143</v>
      </c>
      <c r="AW28" s="3"/>
      <c r="AX28" s="3"/>
      <c r="AY28" s="2" t="s">
        <v>143</v>
      </c>
      <c r="AZ28" s="2" t="s">
        <v>143</v>
      </c>
      <c r="BA28" s="2" t="s">
        <v>143</v>
      </c>
      <c r="BB28" s="2" t="s">
        <v>143</v>
      </c>
      <c r="BC28" s="11" t="s">
        <v>141</v>
      </c>
      <c r="BD28" s="3"/>
      <c r="BE28" s="3"/>
      <c r="BF28" s="10" t="s">
        <v>172</v>
      </c>
      <c r="BG28" s="10" t="s">
        <v>172</v>
      </c>
      <c r="BH28" s="2" t="s">
        <v>143</v>
      </c>
      <c r="BI28" s="2" t="s">
        <v>143</v>
      </c>
      <c r="BJ28" s="2" t="s">
        <v>143</v>
      </c>
      <c r="BK28" s="3"/>
      <c r="BL28" s="3"/>
      <c r="BM28" s="191" t="s">
        <v>589</v>
      </c>
      <c r="BN28" s="191" t="s">
        <v>589</v>
      </c>
      <c r="BO28" s="191" t="s">
        <v>589</v>
      </c>
      <c r="BP28" s="191" t="s">
        <v>589</v>
      </c>
      <c r="BQ28" s="191" t="s">
        <v>589</v>
      </c>
      <c r="BR28" s="191"/>
      <c r="BS28" s="191"/>
      <c r="BT28" s="191" t="s">
        <v>589</v>
      </c>
      <c r="BU28" s="191" t="s">
        <v>589</v>
      </c>
      <c r="BV28" s="191" t="s">
        <v>589</v>
      </c>
      <c r="BW28" s="191" t="s">
        <v>589</v>
      </c>
      <c r="BX28" s="191" t="s">
        <v>589</v>
      </c>
      <c r="BY28" s="191"/>
      <c r="BZ28" s="191"/>
      <c r="CA28" s="191" t="s">
        <v>589</v>
      </c>
      <c r="CB28" s="191" t="s">
        <v>589</v>
      </c>
      <c r="CC28" s="191" t="s">
        <v>589</v>
      </c>
      <c r="CD28" s="191" t="s">
        <v>589</v>
      </c>
      <c r="CE28" s="191" t="s">
        <v>589</v>
      </c>
      <c r="CF28" s="191"/>
      <c r="CG28" s="191"/>
      <c r="CH28" s="191" t="s">
        <v>589</v>
      </c>
      <c r="CI28" s="191" t="s">
        <v>589</v>
      </c>
      <c r="CJ28" s="191" t="s">
        <v>589</v>
      </c>
      <c r="CK28" s="191" t="s">
        <v>589</v>
      </c>
      <c r="CL28" s="191" t="s">
        <v>589</v>
      </c>
      <c r="CM28" s="191"/>
      <c r="CN28" s="191"/>
      <c r="CO28" s="191" t="s">
        <v>589</v>
      </c>
      <c r="CP28" s="191" t="s">
        <v>589</v>
      </c>
      <c r="CQ28" s="191" t="s">
        <v>589</v>
      </c>
      <c r="CR28" s="191" t="s">
        <v>589</v>
      </c>
      <c r="CS28" s="191" t="s">
        <v>589</v>
      </c>
      <c r="CT28" s="191"/>
      <c r="CU28" s="191"/>
      <c r="CV28" s="191"/>
      <c r="CW28" s="2" t="s">
        <v>143</v>
      </c>
      <c r="CX28" s="191"/>
      <c r="CY28" s="191"/>
      <c r="CZ28" s="191"/>
      <c r="DA28" s="191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1"/>
      <c r="DO28" s="191"/>
      <c r="DP28" s="191"/>
      <c r="DQ28" s="191"/>
      <c r="DR28" s="191"/>
      <c r="DS28" s="191"/>
      <c r="DT28" s="191"/>
      <c r="DU28" s="191"/>
      <c r="DV28" s="191"/>
      <c r="DW28" s="191"/>
      <c r="DX28" s="191"/>
      <c r="DY28" s="191"/>
      <c r="DZ28" s="191"/>
      <c r="EA28" s="191"/>
      <c r="EB28" s="191"/>
      <c r="EC28" s="191"/>
      <c r="ED28" s="191"/>
      <c r="EE28" s="191"/>
      <c r="EF28" s="191"/>
      <c r="EG28" s="191"/>
      <c r="EH28" s="191"/>
      <c r="EI28" s="191"/>
      <c r="EJ28" s="191"/>
      <c r="EK28" s="191"/>
      <c r="EL28" s="191"/>
      <c r="EM28" s="191"/>
      <c r="EN28" s="191"/>
      <c r="EO28" s="191"/>
      <c r="EP28" s="191"/>
      <c r="EQ28" s="191"/>
      <c r="ER28" s="191"/>
      <c r="ES28" s="191"/>
      <c r="ET28" s="191"/>
      <c r="EU28" s="191"/>
      <c r="EV28" s="191"/>
      <c r="EW28" s="191"/>
      <c r="EX28" s="191"/>
      <c r="EY28" s="191"/>
      <c r="EZ28" s="191"/>
      <c r="FA28" s="191"/>
      <c r="FB28" s="191"/>
      <c r="FC28" s="191"/>
      <c r="FD28" s="191"/>
      <c r="FE28" s="191"/>
      <c r="FF28" s="191"/>
      <c r="FG28" s="191"/>
      <c r="FH28" s="191"/>
      <c r="FI28" s="191"/>
      <c r="FJ28" s="191"/>
      <c r="FK28" s="191"/>
      <c r="FL28" s="191"/>
      <c r="FM28" s="191"/>
      <c r="FN28" s="191"/>
      <c r="FO28" s="191"/>
      <c r="FP28" s="191"/>
      <c r="FQ28" s="191"/>
      <c r="FR28" s="191"/>
      <c r="FS28" s="191"/>
      <c r="FT28" s="191"/>
      <c r="FU28" s="191"/>
      <c r="FV28" s="191"/>
      <c r="FW28" s="191"/>
      <c r="FX28" s="191"/>
      <c r="FY28" s="191"/>
      <c r="FZ28" s="191"/>
      <c r="GA28" s="191"/>
      <c r="GB28" s="191"/>
      <c r="GC28" s="191"/>
      <c r="GD28" s="191"/>
      <c r="GE28" s="191"/>
      <c r="GF28" s="191"/>
      <c r="GG28" s="191"/>
      <c r="GH28" s="191"/>
      <c r="GI28" s="191"/>
      <c r="GJ28" s="191"/>
      <c r="GK28" s="191"/>
      <c r="GL28" s="191"/>
      <c r="GM28" s="191"/>
      <c r="GN28" s="209"/>
      <c r="GO28" s="209"/>
      <c r="GP28" s="207"/>
      <c r="GQ28" s="207"/>
      <c r="GR28" s="207"/>
      <c r="GS28" s="207"/>
      <c r="GT28" s="207"/>
      <c r="GU28" s="209"/>
      <c r="GV28" s="209"/>
      <c r="GW28" s="207"/>
      <c r="GX28" s="207"/>
      <c r="GY28" s="207"/>
      <c r="GZ28" s="207"/>
      <c r="HA28" s="207"/>
      <c r="HB28" s="209"/>
      <c r="HC28" s="209"/>
      <c r="HD28" s="207"/>
      <c r="HE28" s="207"/>
      <c r="HF28" s="207"/>
      <c r="HG28" s="207"/>
      <c r="HH28" s="207"/>
      <c r="HI28" s="209"/>
      <c r="HJ28" s="209"/>
      <c r="HK28" s="207"/>
      <c r="HL28" s="207"/>
      <c r="HM28" s="207"/>
      <c r="HN28" s="207"/>
      <c r="HO28" s="207"/>
      <c r="HP28" s="209"/>
      <c r="HQ28" s="209"/>
      <c r="HW28" s="209"/>
      <c r="HX28" s="209"/>
      <c r="ID28" s="209"/>
      <c r="IE28" s="209"/>
      <c r="IF28" s="209"/>
      <c r="IK28" s="191"/>
      <c r="IL28" s="191"/>
      <c r="IR28" s="191"/>
      <c r="IS28" s="191"/>
      <c r="IY28" s="191"/>
      <c r="IZ28" s="191"/>
      <c r="JF28" s="191"/>
      <c r="JG28" s="191"/>
      <c r="JM28" s="191"/>
      <c r="JN28" s="191"/>
      <c r="JT28" s="191"/>
      <c r="JU28" s="191"/>
      <c r="KA28" s="191"/>
      <c r="KB28" s="191"/>
      <c r="KH28" s="191"/>
      <c r="KI28" s="191"/>
      <c r="KO28" s="191"/>
      <c r="KP28" s="191"/>
      <c r="KV28" s="191"/>
      <c r="KW28" s="191"/>
      <c r="LC28" s="191"/>
      <c r="LD28" s="191"/>
      <c r="LJ28" s="191"/>
      <c r="LK28" s="191"/>
      <c r="LQ28" s="191"/>
      <c r="LR28" s="191"/>
      <c r="LX28" s="191"/>
      <c r="LY28" s="191"/>
      <c r="ME28" s="191"/>
      <c r="MF28" s="191"/>
      <c r="ML28" s="191"/>
      <c r="MM28" s="191"/>
      <c r="MS28" s="191"/>
      <c r="MT28" s="191"/>
      <c r="MX28" s="191"/>
      <c r="MY28" s="191"/>
      <c r="MZ28" s="191"/>
      <c r="NA28" s="191"/>
      <c r="NE28" s="191"/>
      <c r="NF28" s="224"/>
    </row>
    <row r="29" spans="1:370">
      <c r="A29" s="114" t="s">
        <v>364</v>
      </c>
      <c r="B29" s="115"/>
      <c r="C29" s="116"/>
      <c r="D29" s="3"/>
      <c r="E29" s="42"/>
      <c r="F29" s="42"/>
      <c r="G29" s="3"/>
      <c r="H29" s="3"/>
      <c r="I29" s="42"/>
      <c r="J29" s="42"/>
      <c r="K29" s="42"/>
      <c r="L29" s="42"/>
      <c r="M29" s="42"/>
      <c r="N29" s="3"/>
      <c r="O29" s="3"/>
      <c r="P29" s="42"/>
      <c r="Q29" s="42"/>
      <c r="R29" s="42"/>
      <c r="S29" s="42"/>
      <c r="T29" s="42"/>
      <c r="U29" s="24"/>
      <c r="V29" s="24"/>
      <c r="W29" s="42"/>
      <c r="X29" s="42"/>
      <c r="Y29" s="42"/>
      <c r="Z29" s="42"/>
      <c r="AA29" s="42"/>
      <c r="AB29" s="24"/>
      <c r="AC29" s="24"/>
      <c r="AD29" s="42"/>
      <c r="AE29" s="42"/>
      <c r="AF29" s="42"/>
      <c r="AG29" s="42"/>
      <c r="AH29" s="42"/>
      <c r="AI29" s="24"/>
      <c r="AJ29" s="24"/>
      <c r="AK29" s="39"/>
      <c r="AL29" s="39"/>
      <c r="AM29" s="39"/>
      <c r="AN29" s="39"/>
      <c r="AO29" s="39"/>
      <c r="AP29" s="24"/>
      <c r="AQ29" s="24"/>
      <c r="AR29" s="39"/>
      <c r="AS29" s="39"/>
      <c r="AT29" s="39"/>
      <c r="AU29" s="39"/>
      <c r="AV29" s="39"/>
      <c r="AW29" s="24"/>
      <c r="AX29" s="24"/>
      <c r="AY29" s="39"/>
      <c r="AZ29" s="39"/>
      <c r="BA29" s="39"/>
      <c r="BB29" s="39"/>
      <c r="BC29" s="39"/>
      <c r="BD29" s="24"/>
      <c r="BE29" s="24"/>
      <c r="BF29" s="39"/>
      <c r="BG29" s="39"/>
      <c r="BH29" s="39"/>
      <c r="BI29" s="39"/>
      <c r="BJ29" s="39"/>
      <c r="BK29" s="24"/>
      <c r="BL29" s="24"/>
      <c r="BM29" s="39"/>
      <c r="BN29" s="39"/>
      <c r="BO29" s="39"/>
      <c r="BP29" s="39"/>
      <c r="BQ29" s="39"/>
      <c r="BR29" s="24"/>
      <c r="BS29" s="24"/>
      <c r="BT29" s="39"/>
      <c r="BU29" s="39"/>
      <c r="BV29" s="39"/>
      <c r="BW29" s="39"/>
      <c r="BX29" s="39"/>
      <c r="BY29" s="24"/>
      <c r="BZ29" s="24"/>
      <c r="CA29" s="39"/>
      <c r="CB29" s="39"/>
      <c r="CC29" s="39"/>
      <c r="CD29" s="39"/>
      <c r="CE29" s="39"/>
      <c r="CF29" s="24"/>
      <c r="CG29" s="24"/>
      <c r="CH29" s="39"/>
      <c r="CI29" s="39"/>
      <c r="CJ29" s="39"/>
      <c r="CK29" s="39"/>
      <c r="CL29" s="39"/>
      <c r="CM29" s="24"/>
      <c r="CN29" s="24"/>
      <c r="CO29" s="39"/>
      <c r="CP29" s="39"/>
      <c r="CQ29" s="39"/>
      <c r="CR29" s="39"/>
      <c r="CS29" s="39"/>
      <c r="CT29" s="24"/>
      <c r="CU29" s="24"/>
      <c r="CV29" s="199"/>
      <c r="CW29" s="199"/>
      <c r="CX29" s="199"/>
      <c r="CY29" s="199"/>
      <c r="CZ29" s="199"/>
      <c r="DA29" s="24"/>
      <c r="DB29" s="24"/>
      <c r="DC29" s="199"/>
      <c r="DD29" s="199"/>
      <c r="DE29" s="199"/>
      <c r="DF29" s="199"/>
      <c r="DG29" s="24"/>
      <c r="DH29" s="24"/>
      <c r="DI29" s="24"/>
      <c r="DJ29" s="24"/>
      <c r="DK29" s="199"/>
      <c r="DL29" s="199"/>
      <c r="DM29" s="199"/>
      <c r="DN29" s="199"/>
      <c r="DO29" s="24"/>
      <c r="DP29" s="24"/>
      <c r="DQ29" s="199"/>
      <c r="DR29" s="199"/>
      <c r="DS29" s="199"/>
      <c r="DT29" s="199"/>
      <c r="DU29" s="199"/>
      <c r="DV29" s="24"/>
      <c r="DW29" s="24"/>
      <c r="DX29" s="24"/>
      <c r="DY29" s="199"/>
      <c r="DZ29" s="199"/>
      <c r="EA29" s="199"/>
      <c r="EB29" s="199"/>
      <c r="EC29" s="24"/>
      <c r="ED29" s="24"/>
      <c r="EE29" s="199"/>
      <c r="EF29" s="199"/>
      <c r="EG29" s="199"/>
      <c r="EH29" s="199"/>
      <c r="EI29" s="199"/>
      <c r="EJ29" s="24"/>
      <c r="EK29" s="24"/>
      <c r="EL29" s="199"/>
      <c r="EM29" s="199"/>
      <c r="EN29" s="199"/>
      <c r="EO29" s="199"/>
      <c r="EP29" s="199"/>
      <c r="EQ29" s="24"/>
      <c r="ER29" s="24"/>
      <c r="ES29" s="24"/>
      <c r="ET29" s="199"/>
      <c r="EU29" s="199"/>
      <c r="EV29" s="199"/>
      <c r="EW29" s="199"/>
      <c r="EX29" s="24"/>
      <c r="EY29" s="24"/>
      <c r="EZ29" s="199"/>
      <c r="FA29" s="199"/>
      <c r="FB29" s="199"/>
      <c r="FC29" s="199"/>
      <c r="FD29" s="199"/>
      <c r="FE29" s="24"/>
      <c r="FF29" s="24"/>
      <c r="FG29" s="199"/>
      <c r="FH29" s="199"/>
      <c r="FI29" s="199"/>
      <c r="FJ29" s="199"/>
      <c r="FK29" s="199"/>
      <c r="FL29" s="24"/>
      <c r="FM29" s="24"/>
      <c r="FN29" s="199"/>
      <c r="FO29" s="199"/>
      <c r="FP29" s="199"/>
      <c r="FQ29" s="199"/>
      <c r="FR29" s="199"/>
      <c r="FS29" s="24"/>
      <c r="FT29" s="24"/>
      <c r="FU29" s="199"/>
      <c r="FV29" s="199"/>
      <c r="FW29" s="199"/>
      <c r="FX29" s="199"/>
      <c r="FY29" s="199"/>
      <c r="FZ29" s="24"/>
      <c r="GA29" s="24"/>
      <c r="GB29" s="199"/>
      <c r="GC29" s="199"/>
      <c r="GD29" s="199"/>
      <c r="GE29" s="199"/>
      <c r="GF29" s="199"/>
      <c r="GG29" s="24"/>
      <c r="GH29" s="24"/>
      <c r="GI29" s="199"/>
      <c r="GJ29" s="199"/>
      <c r="GK29" s="199"/>
      <c r="GL29" s="199"/>
      <c r="GM29" s="199"/>
      <c r="GN29" s="24"/>
      <c r="GO29" s="24"/>
      <c r="GP29" s="199"/>
      <c r="GQ29" s="199"/>
      <c r="GR29" s="199"/>
      <c r="GS29" s="199"/>
      <c r="GT29" s="199"/>
      <c r="GU29" s="199"/>
      <c r="GV29" s="199"/>
      <c r="GW29" s="199"/>
      <c r="GX29" s="199"/>
      <c r="GY29" s="199"/>
      <c r="GZ29" s="199"/>
      <c r="HA29" s="199"/>
      <c r="HB29" s="199"/>
      <c r="HC29" s="199"/>
      <c r="HD29" s="199"/>
      <c r="HE29" s="199"/>
      <c r="HF29" s="199"/>
      <c r="HG29" s="199"/>
      <c r="HH29" s="199"/>
      <c r="HI29" s="199"/>
      <c r="HJ29" s="199"/>
      <c r="HK29" s="199"/>
      <c r="HL29" s="199"/>
      <c r="HM29" s="199"/>
      <c r="HN29" s="199"/>
      <c r="HO29" s="199"/>
      <c r="HP29" s="24"/>
      <c r="HQ29" s="24"/>
      <c r="HR29" s="199"/>
      <c r="HS29" s="199"/>
      <c r="HT29" s="199"/>
      <c r="HU29" s="199"/>
      <c r="HV29" s="199"/>
      <c r="HW29" s="24"/>
      <c r="HX29" s="24"/>
      <c r="HY29" s="199"/>
      <c r="HZ29" s="199"/>
      <c r="IA29" s="199"/>
      <c r="IB29" s="199"/>
      <c r="IC29" s="199"/>
      <c r="ID29" s="24"/>
      <c r="IE29" s="24"/>
      <c r="IF29" s="199"/>
      <c r="IG29" s="199"/>
      <c r="IH29" s="199"/>
      <c r="II29" s="199"/>
      <c r="IJ29" s="199"/>
      <c r="IK29" s="199"/>
      <c r="IL29" s="24"/>
      <c r="IM29" s="199"/>
      <c r="IN29" s="199"/>
      <c r="IO29" s="199"/>
      <c r="IP29" s="199"/>
      <c r="IQ29" s="199"/>
      <c r="IR29" s="24"/>
      <c r="IS29" s="24"/>
      <c r="IT29" s="199"/>
      <c r="IU29" s="199"/>
      <c r="IV29" s="199"/>
      <c r="IW29" s="199"/>
      <c r="IX29" s="199"/>
      <c r="IY29" s="24"/>
      <c r="IZ29" s="24"/>
      <c r="JA29" s="199"/>
      <c r="JB29" s="199"/>
      <c r="JC29" s="199"/>
      <c r="JD29" s="199"/>
      <c r="JE29" s="199"/>
      <c r="JF29" s="24"/>
      <c r="JG29" s="24"/>
      <c r="JH29" s="199"/>
      <c r="JI29" s="199"/>
      <c r="JJ29" s="199"/>
      <c r="JK29" s="199"/>
      <c r="JL29" s="199"/>
      <c r="JM29" s="24"/>
      <c r="JN29" s="24"/>
      <c r="JO29" s="199"/>
      <c r="JP29" s="199"/>
      <c r="JQ29" s="199"/>
      <c r="JR29" s="199"/>
      <c r="JS29" s="199"/>
      <c r="JT29" s="24"/>
      <c r="JU29" s="24"/>
      <c r="JV29" s="199"/>
      <c r="JW29" s="199"/>
      <c r="JX29" s="199"/>
      <c r="JY29" s="199"/>
      <c r="JZ29" s="199"/>
      <c r="KA29" s="24"/>
      <c r="KB29" s="24"/>
      <c r="KC29" s="199"/>
      <c r="KD29" s="199"/>
      <c r="KE29" s="199"/>
      <c r="KF29" s="199"/>
      <c r="KG29" s="199"/>
      <c r="KH29" s="24"/>
      <c r="KI29" s="24"/>
      <c r="KJ29" s="199"/>
      <c r="KK29" s="199"/>
      <c r="KL29" s="199"/>
      <c r="KM29" s="199"/>
      <c r="KN29" s="199"/>
      <c r="KO29" s="24"/>
      <c r="KP29" s="24"/>
      <c r="KQ29" s="199"/>
      <c r="KR29" s="199"/>
      <c r="KS29" s="199"/>
      <c r="KT29" s="199"/>
      <c r="KU29" s="199"/>
      <c r="KV29" s="24"/>
      <c r="KW29" s="24"/>
      <c r="KX29" s="199"/>
      <c r="KY29" s="199"/>
      <c r="KZ29" s="199"/>
      <c r="LA29" s="199"/>
      <c r="LB29" s="199"/>
      <c r="LC29" s="24"/>
      <c r="LD29" s="24"/>
      <c r="LE29" s="199"/>
      <c r="LF29" s="199"/>
      <c r="LG29" s="199"/>
      <c r="LH29" s="199"/>
      <c r="LI29" s="199"/>
      <c r="LJ29" s="24"/>
      <c r="LK29" s="24"/>
      <c r="LL29" s="199"/>
      <c r="LM29" s="199"/>
      <c r="LN29" s="199"/>
      <c r="LO29" s="199"/>
      <c r="LP29" s="199"/>
      <c r="LQ29" s="24"/>
      <c r="LR29" s="24"/>
      <c r="LS29" s="199"/>
      <c r="LT29" s="199"/>
      <c r="LU29" s="199"/>
      <c r="LV29" s="199"/>
      <c r="LW29" s="199"/>
      <c r="LX29" s="24"/>
      <c r="LY29" s="24"/>
      <c r="LZ29" s="199"/>
      <c r="MA29" s="199"/>
      <c r="MB29" s="199"/>
      <c r="MC29" s="199"/>
      <c r="MD29" s="199"/>
      <c r="ME29" s="24"/>
      <c r="MF29" s="24"/>
      <c r="MG29" s="199"/>
      <c r="MH29" s="199"/>
      <c r="MI29" s="199"/>
      <c r="MJ29" s="199"/>
      <c r="MK29" s="199"/>
      <c r="ML29" s="24"/>
      <c r="MM29" s="24"/>
      <c r="MN29" s="199"/>
      <c r="MO29" s="199"/>
      <c r="MP29" s="199"/>
      <c r="MQ29" s="199"/>
      <c r="MR29" s="199"/>
      <c r="MS29" s="24"/>
      <c r="MT29" s="24"/>
      <c r="MU29" s="199"/>
      <c r="MV29" s="199"/>
      <c r="MW29" s="199"/>
      <c r="MX29" s="24"/>
      <c r="MY29" s="24"/>
      <c r="MZ29" s="24"/>
      <c r="NA29" s="24"/>
      <c r="NB29" s="199"/>
      <c r="NC29" s="199"/>
      <c r="ND29" s="199"/>
      <c r="NE29" s="24"/>
      <c r="NF29" s="199"/>
    </row>
    <row r="30" spans="1:370">
      <c r="A30" s="24"/>
      <c r="B30" s="24"/>
      <c r="C30" s="24"/>
      <c r="D30" s="26" t="s">
        <v>590</v>
      </c>
      <c r="E30" s="26" t="s">
        <v>591</v>
      </c>
      <c r="F30" s="26" t="s">
        <v>592</v>
      </c>
      <c r="G30" s="90">
        <v>45661</v>
      </c>
      <c r="H30" s="90">
        <v>45662</v>
      </c>
      <c r="I30" s="90">
        <v>45663</v>
      </c>
      <c r="J30" s="90">
        <v>45664</v>
      </c>
      <c r="K30" s="90">
        <v>45665</v>
      </c>
      <c r="L30" s="90">
        <v>45666</v>
      </c>
      <c r="M30" s="90">
        <v>45667</v>
      </c>
      <c r="N30" s="90">
        <v>45668</v>
      </c>
      <c r="O30" s="90">
        <v>45669</v>
      </c>
      <c r="P30" s="90">
        <v>45670</v>
      </c>
      <c r="Q30" s="90">
        <v>45671</v>
      </c>
      <c r="R30" s="90">
        <v>45672</v>
      </c>
      <c r="S30" s="90">
        <v>45673</v>
      </c>
      <c r="T30" s="90">
        <v>45674</v>
      </c>
      <c r="U30" s="90">
        <v>45675</v>
      </c>
      <c r="V30" s="90">
        <v>45676</v>
      </c>
      <c r="W30" s="90">
        <v>45677</v>
      </c>
      <c r="X30" s="90">
        <v>45678</v>
      </c>
      <c r="Y30" s="90">
        <v>45679</v>
      </c>
      <c r="Z30" s="90">
        <v>45680</v>
      </c>
      <c r="AA30" s="90">
        <v>45681</v>
      </c>
      <c r="AB30" s="90">
        <v>45682</v>
      </c>
      <c r="AC30" s="90">
        <v>45683</v>
      </c>
      <c r="AD30" s="90">
        <v>45684</v>
      </c>
      <c r="AE30" s="90">
        <v>45685</v>
      </c>
      <c r="AF30" s="90">
        <v>45686</v>
      </c>
      <c r="AG30" s="90">
        <v>45687</v>
      </c>
      <c r="AH30" s="90">
        <v>45688</v>
      </c>
      <c r="AI30" s="90">
        <v>45689</v>
      </c>
      <c r="AJ30" s="90">
        <v>45690</v>
      </c>
      <c r="AK30" s="90">
        <v>45691</v>
      </c>
      <c r="AL30" s="90">
        <v>45692</v>
      </c>
      <c r="AM30" s="90">
        <v>45693</v>
      </c>
      <c r="AN30" s="90">
        <v>45694</v>
      </c>
      <c r="AO30" s="90">
        <v>45695</v>
      </c>
      <c r="AP30" s="90">
        <v>45696</v>
      </c>
      <c r="AQ30" s="90">
        <v>45697</v>
      </c>
      <c r="AR30" s="90">
        <v>45698</v>
      </c>
      <c r="AS30" s="90">
        <v>45699</v>
      </c>
      <c r="AT30" s="90">
        <v>45700</v>
      </c>
      <c r="AU30" s="90">
        <v>45701</v>
      </c>
      <c r="AV30" s="90">
        <v>45702</v>
      </c>
      <c r="AW30" s="90">
        <v>45703</v>
      </c>
      <c r="AX30" s="90">
        <v>45704</v>
      </c>
      <c r="AY30" s="90">
        <v>45705</v>
      </c>
      <c r="AZ30" s="90">
        <v>45706</v>
      </c>
      <c r="BA30" s="90">
        <v>45707</v>
      </c>
      <c r="BB30" s="90">
        <v>45708</v>
      </c>
      <c r="BC30" s="90">
        <v>45709</v>
      </c>
      <c r="BD30" s="90">
        <v>45710</v>
      </c>
      <c r="BE30" s="90">
        <v>45711</v>
      </c>
      <c r="BF30" s="90">
        <v>45712</v>
      </c>
      <c r="BG30" s="90">
        <v>45713</v>
      </c>
      <c r="BH30" s="90">
        <v>45714</v>
      </c>
      <c r="BI30" s="90">
        <v>45715</v>
      </c>
      <c r="BJ30" s="90">
        <v>45716</v>
      </c>
      <c r="BK30" s="90">
        <v>45717</v>
      </c>
      <c r="BL30" s="90">
        <v>45718</v>
      </c>
      <c r="BM30" s="90">
        <v>45719</v>
      </c>
      <c r="BN30" s="90">
        <v>45720</v>
      </c>
      <c r="BO30" s="90">
        <v>45721</v>
      </c>
      <c r="BP30" s="90">
        <v>45722</v>
      </c>
      <c r="BQ30" s="90">
        <v>45723</v>
      </c>
      <c r="BR30" s="90">
        <v>45724</v>
      </c>
      <c r="BS30" s="90">
        <v>45725</v>
      </c>
      <c r="BT30" s="90">
        <v>45726</v>
      </c>
      <c r="BU30" s="90">
        <v>45727</v>
      </c>
      <c r="BV30" s="90">
        <v>45728</v>
      </c>
      <c r="BW30" s="90">
        <v>45729</v>
      </c>
      <c r="BX30" s="90">
        <v>45730</v>
      </c>
      <c r="BY30" s="90">
        <v>45731</v>
      </c>
      <c r="BZ30" s="90">
        <v>45732</v>
      </c>
      <c r="CA30" s="90">
        <v>45733</v>
      </c>
      <c r="CB30" s="90">
        <v>45734</v>
      </c>
      <c r="CC30" s="90">
        <v>45735</v>
      </c>
      <c r="CD30" s="90">
        <v>45736</v>
      </c>
      <c r="CE30" s="90">
        <v>45737</v>
      </c>
      <c r="CF30" s="90">
        <v>45738</v>
      </c>
      <c r="CG30" s="90">
        <v>45739</v>
      </c>
      <c r="CH30" s="90">
        <v>45740</v>
      </c>
      <c r="CI30" s="90">
        <v>45741</v>
      </c>
      <c r="CJ30" s="90">
        <v>45742</v>
      </c>
      <c r="CK30" s="90">
        <v>45743</v>
      </c>
      <c r="CL30" s="90">
        <v>45744</v>
      </c>
      <c r="CM30" s="90">
        <v>45745</v>
      </c>
      <c r="CN30" s="90">
        <v>45746</v>
      </c>
      <c r="CO30" s="90">
        <v>45747</v>
      </c>
      <c r="CP30" s="90">
        <v>45748</v>
      </c>
      <c r="CQ30" s="90">
        <v>45749</v>
      </c>
      <c r="CR30" s="90">
        <v>45750</v>
      </c>
      <c r="CS30" s="90">
        <v>45751</v>
      </c>
      <c r="CT30" s="90">
        <v>45752</v>
      </c>
      <c r="CU30" s="90">
        <v>45753</v>
      </c>
      <c r="CV30" s="90">
        <v>45754</v>
      </c>
      <c r="CW30" s="90">
        <v>45755</v>
      </c>
      <c r="CX30" s="90">
        <v>45756</v>
      </c>
      <c r="CY30" s="90">
        <v>45757</v>
      </c>
      <c r="CZ30" s="90">
        <v>45758</v>
      </c>
      <c r="DA30" s="90">
        <v>45759</v>
      </c>
      <c r="DB30" s="90">
        <v>45760</v>
      </c>
      <c r="DC30" s="90">
        <v>45761</v>
      </c>
      <c r="DD30" s="90">
        <v>45762</v>
      </c>
      <c r="DE30" s="90">
        <v>45763</v>
      </c>
      <c r="DF30" s="90">
        <v>45764</v>
      </c>
      <c r="DG30" s="90">
        <v>45765</v>
      </c>
      <c r="DH30" s="90">
        <v>45766</v>
      </c>
      <c r="DI30" s="90">
        <v>45767</v>
      </c>
      <c r="DJ30" s="90">
        <v>45768</v>
      </c>
      <c r="DK30" s="90">
        <v>45769</v>
      </c>
      <c r="DL30" s="90">
        <v>45770</v>
      </c>
      <c r="DM30" s="90">
        <v>45771</v>
      </c>
      <c r="DN30" s="90">
        <v>45772</v>
      </c>
      <c r="DO30" s="90">
        <v>45773</v>
      </c>
      <c r="DP30" s="90">
        <v>45774</v>
      </c>
      <c r="DQ30" s="90">
        <v>45775</v>
      </c>
      <c r="DR30" s="90">
        <v>45776</v>
      </c>
      <c r="DS30" s="90">
        <v>45777</v>
      </c>
      <c r="DT30" s="90">
        <v>45778</v>
      </c>
      <c r="DU30" s="90">
        <v>45779</v>
      </c>
      <c r="DV30" s="90">
        <v>45780</v>
      </c>
      <c r="DW30" s="90">
        <v>45781</v>
      </c>
      <c r="DX30" s="90">
        <v>45782</v>
      </c>
      <c r="DY30" s="90">
        <v>45783</v>
      </c>
      <c r="DZ30" s="90">
        <v>45784</v>
      </c>
      <c r="EA30" s="90">
        <v>45785</v>
      </c>
      <c r="EB30" s="90">
        <v>45786</v>
      </c>
      <c r="EC30" s="90">
        <v>45787</v>
      </c>
      <c r="ED30" s="90">
        <v>45788</v>
      </c>
      <c r="EE30" s="90">
        <v>45789</v>
      </c>
      <c r="EF30" s="90">
        <v>45790</v>
      </c>
      <c r="EG30" s="90">
        <v>45791</v>
      </c>
      <c r="EH30" s="90">
        <v>45792</v>
      </c>
      <c r="EI30" s="90">
        <v>45793</v>
      </c>
      <c r="EJ30" s="90">
        <v>45794</v>
      </c>
      <c r="EK30" s="90">
        <v>45795</v>
      </c>
      <c r="EL30" s="90">
        <v>45796</v>
      </c>
      <c r="EM30" s="90">
        <v>45797</v>
      </c>
      <c r="EN30" s="90">
        <v>45798</v>
      </c>
      <c r="EO30" s="90">
        <v>45799</v>
      </c>
      <c r="EP30" s="90">
        <v>45800</v>
      </c>
      <c r="EQ30" s="90">
        <v>45801</v>
      </c>
      <c r="ER30" s="90">
        <v>45802</v>
      </c>
      <c r="ES30" s="90">
        <v>45803</v>
      </c>
      <c r="ET30" s="90">
        <v>45804</v>
      </c>
      <c r="EU30" s="90">
        <v>45805</v>
      </c>
      <c r="EV30" s="90">
        <v>45806</v>
      </c>
      <c r="EW30" s="90">
        <v>45807</v>
      </c>
      <c r="EX30" s="90">
        <v>45808</v>
      </c>
      <c r="EY30" s="90">
        <v>45809</v>
      </c>
      <c r="EZ30" s="90">
        <v>45810</v>
      </c>
      <c r="FA30" s="90">
        <v>45811</v>
      </c>
      <c r="FB30" s="90">
        <v>45812</v>
      </c>
      <c r="FC30" s="90">
        <v>45813</v>
      </c>
      <c r="FD30" s="90">
        <v>45814</v>
      </c>
      <c r="FE30" s="90">
        <v>45815</v>
      </c>
      <c r="FF30" s="90">
        <v>45816</v>
      </c>
      <c r="FG30" s="90">
        <v>45817</v>
      </c>
      <c r="FH30" s="90">
        <v>45818</v>
      </c>
      <c r="FI30" s="90">
        <v>45819</v>
      </c>
      <c r="FJ30" s="90">
        <v>45820</v>
      </c>
      <c r="FK30" s="90">
        <v>45821</v>
      </c>
      <c r="FL30" s="90">
        <v>45822</v>
      </c>
      <c r="FM30" s="90">
        <v>45823</v>
      </c>
      <c r="FN30" s="90">
        <v>45824</v>
      </c>
      <c r="FO30" s="90">
        <v>45825</v>
      </c>
      <c r="FP30" s="90">
        <v>45826</v>
      </c>
      <c r="FQ30" s="90">
        <v>45827</v>
      </c>
      <c r="FR30" s="90">
        <v>45828</v>
      </c>
      <c r="FS30" s="90">
        <v>45829</v>
      </c>
      <c r="FT30" s="90">
        <v>45830</v>
      </c>
      <c r="FU30" s="90">
        <v>45831</v>
      </c>
      <c r="FV30" s="90">
        <v>45832</v>
      </c>
      <c r="FW30" s="90">
        <v>45833</v>
      </c>
      <c r="FX30" s="90">
        <v>45834</v>
      </c>
      <c r="FY30" s="90">
        <v>45835</v>
      </c>
      <c r="FZ30" s="90">
        <v>45836</v>
      </c>
      <c r="GA30" s="90">
        <v>45837</v>
      </c>
      <c r="GB30" s="90">
        <v>45838</v>
      </c>
      <c r="GC30" s="90">
        <v>45839</v>
      </c>
      <c r="GD30" s="90">
        <v>45840</v>
      </c>
      <c r="GE30" s="90">
        <v>45841</v>
      </c>
      <c r="GF30" s="90">
        <v>45842</v>
      </c>
      <c r="GG30" s="90">
        <v>45843</v>
      </c>
      <c r="GH30" s="90">
        <v>45844</v>
      </c>
      <c r="GI30" s="90">
        <v>45845</v>
      </c>
      <c r="GJ30" s="90">
        <v>45846</v>
      </c>
      <c r="GK30" s="90">
        <v>45847</v>
      </c>
      <c r="GL30" s="90">
        <v>45848</v>
      </c>
      <c r="GM30" s="90">
        <v>45849</v>
      </c>
      <c r="GN30" s="90">
        <v>45850</v>
      </c>
      <c r="GO30" s="90">
        <v>45851</v>
      </c>
      <c r="GP30" s="90">
        <v>45852</v>
      </c>
      <c r="GQ30" s="90">
        <v>45853</v>
      </c>
      <c r="GR30" s="90">
        <v>45854</v>
      </c>
      <c r="GS30" s="90">
        <v>45855</v>
      </c>
      <c r="GT30" s="90">
        <v>45856</v>
      </c>
      <c r="GU30" s="90">
        <v>45857</v>
      </c>
      <c r="GV30" s="90">
        <v>45858</v>
      </c>
      <c r="GW30" s="90">
        <v>45859</v>
      </c>
      <c r="GX30" s="90">
        <v>45860</v>
      </c>
      <c r="GY30" s="90">
        <v>45861</v>
      </c>
      <c r="GZ30" s="90">
        <v>45862</v>
      </c>
      <c r="HA30" s="90">
        <v>45863</v>
      </c>
      <c r="HB30" s="90">
        <v>45864</v>
      </c>
      <c r="HC30" s="90">
        <v>45865</v>
      </c>
      <c r="HD30" s="90">
        <v>45866</v>
      </c>
      <c r="HE30" s="90">
        <v>45867</v>
      </c>
      <c r="HF30" s="90">
        <v>45868</v>
      </c>
      <c r="HG30" s="90">
        <v>45869</v>
      </c>
      <c r="HH30" s="90">
        <v>45870</v>
      </c>
      <c r="HI30" s="90">
        <v>45871</v>
      </c>
      <c r="HJ30" s="90">
        <v>45872</v>
      </c>
      <c r="HK30" s="90">
        <v>45873</v>
      </c>
      <c r="HL30" s="90">
        <v>45874</v>
      </c>
      <c r="HM30" s="90">
        <v>45875</v>
      </c>
      <c r="HN30" s="90">
        <v>45876</v>
      </c>
      <c r="HO30" s="90">
        <v>45877</v>
      </c>
      <c r="HP30" s="90">
        <v>45878</v>
      </c>
      <c r="HQ30" s="90">
        <v>45879</v>
      </c>
      <c r="HR30" s="90">
        <v>45880</v>
      </c>
      <c r="HS30" s="90">
        <v>45881</v>
      </c>
      <c r="HT30" s="90">
        <v>45882</v>
      </c>
      <c r="HU30" s="90">
        <v>45883</v>
      </c>
      <c r="HV30" s="90">
        <v>45884</v>
      </c>
      <c r="HW30" s="90">
        <v>45885</v>
      </c>
      <c r="HX30" s="90">
        <v>45886</v>
      </c>
      <c r="HY30" s="90">
        <v>45887</v>
      </c>
      <c r="HZ30" s="90">
        <v>45888</v>
      </c>
      <c r="IA30" s="90">
        <v>45889</v>
      </c>
      <c r="IB30" s="90">
        <v>45890</v>
      </c>
      <c r="IC30" s="90">
        <v>45891</v>
      </c>
      <c r="ID30" s="90">
        <v>45892</v>
      </c>
      <c r="IE30" s="90">
        <v>45893</v>
      </c>
      <c r="IF30" s="90">
        <v>45894</v>
      </c>
      <c r="IG30" s="90">
        <v>45895</v>
      </c>
      <c r="IH30" s="90">
        <v>45896</v>
      </c>
      <c r="II30" s="90">
        <v>45897</v>
      </c>
      <c r="IJ30" s="90">
        <v>45898</v>
      </c>
      <c r="IK30" s="90">
        <v>45899</v>
      </c>
      <c r="IL30" s="90">
        <v>45900</v>
      </c>
      <c r="IM30" s="90">
        <v>45901</v>
      </c>
      <c r="IN30" s="90">
        <v>45902</v>
      </c>
      <c r="IO30" s="90">
        <v>45903</v>
      </c>
      <c r="IP30" s="90">
        <v>45904</v>
      </c>
      <c r="IQ30" s="90">
        <v>45905</v>
      </c>
      <c r="IR30" s="90">
        <v>45906</v>
      </c>
      <c r="IS30" s="90">
        <v>45907</v>
      </c>
      <c r="IT30" s="90">
        <v>45908</v>
      </c>
      <c r="IU30" s="90">
        <v>45909</v>
      </c>
      <c r="IV30" s="90">
        <v>45910</v>
      </c>
      <c r="IW30" s="90">
        <v>45911</v>
      </c>
      <c r="IX30" s="90">
        <v>45912</v>
      </c>
      <c r="IY30" s="90">
        <v>45913</v>
      </c>
      <c r="IZ30" s="90">
        <v>45914</v>
      </c>
      <c r="JA30" s="90">
        <v>45915</v>
      </c>
      <c r="JB30" s="90">
        <v>45916</v>
      </c>
      <c r="JC30" s="90">
        <v>45917</v>
      </c>
      <c r="JD30" s="90">
        <v>45918</v>
      </c>
      <c r="JE30" s="90">
        <v>45919</v>
      </c>
      <c r="JF30" s="90">
        <v>45920</v>
      </c>
      <c r="JG30" s="90">
        <v>45921</v>
      </c>
      <c r="JH30" s="90">
        <v>45922</v>
      </c>
      <c r="JI30" s="90">
        <v>45923</v>
      </c>
      <c r="JJ30" s="90">
        <v>45924</v>
      </c>
      <c r="JK30" s="90">
        <v>45925</v>
      </c>
      <c r="JL30" s="90">
        <v>45926</v>
      </c>
      <c r="JM30" s="90">
        <v>45927</v>
      </c>
      <c r="JN30" s="90">
        <v>45928</v>
      </c>
      <c r="JO30" s="90">
        <v>45929</v>
      </c>
      <c r="JP30" s="90">
        <v>45930</v>
      </c>
      <c r="JQ30" s="90">
        <v>45931</v>
      </c>
      <c r="JR30" s="90">
        <v>45932</v>
      </c>
      <c r="JS30" s="90">
        <v>45933</v>
      </c>
      <c r="JT30" s="90">
        <v>45934</v>
      </c>
      <c r="JU30" s="90">
        <v>45935</v>
      </c>
      <c r="JV30" s="90">
        <v>45936</v>
      </c>
      <c r="JW30" s="90">
        <v>45937</v>
      </c>
      <c r="JX30" s="90">
        <v>45938</v>
      </c>
      <c r="JY30" s="90">
        <v>45939</v>
      </c>
      <c r="JZ30" s="90">
        <v>45940</v>
      </c>
      <c r="KA30" s="90">
        <v>45941</v>
      </c>
      <c r="KB30" s="90">
        <v>45942</v>
      </c>
      <c r="KC30" s="90">
        <v>45943</v>
      </c>
      <c r="KD30" s="90">
        <v>45944</v>
      </c>
      <c r="KE30" s="90">
        <v>45945</v>
      </c>
      <c r="KF30" s="90">
        <v>45946</v>
      </c>
      <c r="KG30" s="90">
        <v>45947</v>
      </c>
      <c r="KH30" s="90">
        <v>45948</v>
      </c>
      <c r="KI30" s="90">
        <v>45949</v>
      </c>
      <c r="KJ30" s="90">
        <v>45950</v>
      </c>
      <c r="KK30" s="90">
        <v>45951</v>
      </c>
      <c r="KL30" s="90">
        <v>45952</v>
      </c>
      <c r="KM30" s="90">
        <v>45953</v>
      </c>
      <c r="KN30" s="90">
        <v>45954</v>
      </c>
      <c r="KO30" s="90">
        <v>45955</v>
      </c>
      <c r="KP30" s="90">
        <v>45956</v>
      </c>
      <c r="KQ30" s="90">
        <v>45957</v>
      </c>
      <c r="KR30" s="90">
        <v>45958</v>
      </c>
      <c r="KS30" s="90">
        <v>45959</v>
      </c>
      <c r="KT30" s="90">
        <v>45960</v>
      </c>
      <c r="KU30" s="90">
        <v>45961</v>
      </c>
      <c r="KV30" s="90">
        <v>45962</v>
      </c>
      <c r="KW30" s="90">
        <v>45963</v>
      </c>
      <c r="KX30" s="90">
        <v>45964</v>
      </c>
      <c r="KY30" s="90">
        <v>45965</v>
      </c>
      <c r="KZ30" s="90">
        <v>45966</v>
      </c>
      <c r="LA30" s="90">
        <v>45967</v>
      </c>
      <c r="LB30" s="90">
        <v>45968</v>
      </c>
      <c r="LC30" s="90">
        <v>45969</v>
      </c>
      <c r="LD30" s="90">
        <v>45970</v>
      </c>
      <c r="LE30" s="90">
        <v>45971</v>
      </c>
      <c r="LF30" s="90">
        <v>45972</v>
      </c>
      <c r="LG30" s="90">
        <v>45973</v>
      </c>
      <c r="LH30" s="90">
        <v>45974</v>
      </c>
      <c r="LI30" s="90">
        <v>45975</v>
      </c>
      <c r="LJ30" s="90">
        <v>45976</v>
      </c>
      <c r="LK30" s="90">
        <v>45977</v>
      </c>
      <c r="LL30" s="90">
        <v>45978</v>
      </c>
      <c r="LM30" s="90">
        <v>45979</v>
      </c>
      <c r="LN30" s="90">
        <v>45980</v>
      </c>
      <c r="LO30" s="90">
        <v>45981</v>
      </c>
      <c r="LP30" s="90">
        <v>45982</v>
      </c>
      <c r="LQ30" s="90">
        <v>45983</v>
      </c>
      <c r="LR30" s="90">
        <v>45984</v>
      </c>
      <c r="LS30" s="90">
        <v>45985</v>
      </c>
      <c r="LT30" s="90">
        <v>45986</v>
      </c>
      <c r="LU30" s="90">
        <v>45987</v>
      </c>
      <c r="LV30" s="90">
        <v>45988</v>
      </c>
      <c r="LW30" s="90">
        <v>45989</v>
      </c>
      <c r="LX30" s="90">
        <v>45990</v>
      </c>
      <c r="LY30" s="90">
        <v>45991</v>
      </c>
      <c r="LZ30" s="90">
        <v>45992</v>
      </c>
      <c r="MA30" s="90">
        <v>45993</v>
      </c>
      <c r="MB30" s="90">
        <v>45994</v>
      </c>
      <c r="MC30" s="90">
        <v>45995</v>
      </c>
      <c r="MD30" s="90">
        <v>45996</v>
      </c>
      <c r="ME30" s="90">
        <v>45997</v>
      </c>
      <c r="MF30" s="90">
        <v>45998</v>
      </c>
      <c r="MG30" s="90">
        <v>45999</v>
      </c>
      <c r="MH30" s="90">
        <v>46000</v>
      </c>
      <c r="MI30" s="90">
        <v>46001</v>
      </c>
      <c r="MJ30" s="90">
        <v>46002</v>
      </c>
      <c r="MK30" s="90">
        <v>46003</v>
      </c>
      <c r="ML30" s="90">
        <v>46004</v>
      </c>
      <c r="MM30" s="90">
        <v>46005</v>
      </c>
      <c r="MN30" s="90">
        <v>46006</v>
      </c>
      <c r="MO30" s="90">
        <v>46007</v>
      </c>
      <c r="MP30" s="90">
        <v>46008</v>
      </c>
      <c r="MQ30" s="90">
        <v>46009</v>
      </c>
      <c r="MR30" s="90">
        <v>46010</v>
      </c>
      <c r="MS30" s="90">
        <v>46011</v>
      </c>
      <c r="MT30" s="90">
        <v>46012</v>
      </c>
      <c r="MU30" s="90">
        <v>46013</v>
      </c>
      <c r="MV30" s="90">
        <v>46014</v>
      </c>
      <c r="MW30" s="90">
        <v>46015</v>
      </c>
      <c r="MX30" s="90">
        <v>46016</v>
      </c>
      <c r="MY30" s="90">
        <v>46017</v>
      </c>
      <c r="MZ30" s="90">
        <v>46018</v>
      </c>
      <c r="NA30" s="90">
        <v>46019</v>
      </c>
      <c r="NB30" s="90">
        <v>46020</v>
      </c>
      <c r="NC30" s="90">
        <v>46021</v>
      </c>
      <c r="ND30" s="90">
        <v>46022</v>
      </c>
      <c r="NE30" s="90">
        <v>45658</v>
      </c>
      <c r="NF30" s="90">
        <v>45659</v>
      </c>
    </row>
    <row r="31" spans="1:370">
      <c r="A31" s="30" t="s">
        <v>205</v>
      </c>
      <c r="B31" s="24"/>
      <c r="C31" s="24"/>
      <c r="D31" s="54" t="s">
        <v>208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192"/>
      <c r="CU31" s="192"/>
      <c r="CV31" s="53"/>
      <c r="CW31" s="53"/>
      <c r="CX31" s="53"/>
      <c r="CY31" s="53"/>
      <c r="CZ31" s="53"/>
      <c r="DC31" s="53"/>
      <c r="DD31" s="53"/>
      <c r="DE31" s="53"/>
      <c r="DF31" s="53"/>
      <c r="DK31" s="53"/>
      <c r="DL31" s="53"/>
      <c r="DM31" s="53"/>
      <c r="DN31" s="53"/>
      <c r="DO31" s="159"/>
      <c r="DP31" s="159"/>
      <c r="DQ31" s="58"/>
      <c r="DR31" s="58"/>
      <c r="DS31" s="58"/>
      <c r="DT31" s="58"/>
      <c r="DU31" s="58"/>
      <c r="DY31" s="58"/>
      <c r="DZ31" s="58"/>
      <c r="EA31" s="58"/>
      <c r="EB31" s="58"/>
      <c r="EE31" s="58"/>
      <c r="EF31" s="58"/>
      <c r="EG31" s="58"/>
      <c r="EH31" s="58"/>
      <c r="EI31" s="58"/>
      <c r="EL31" s="58"/>
      <c r="EM31" s="58"/>
      <c r="EN31" s="58"/>
      <c r="EO31" s="58"/>
      <c r="EP31" s="58"/>
      <c r="ET31" s="58"/>
      <c r="EU31" s="58"/>
      <c r="EV31" s="58"/>
      <c r="EW31" s="58"/>
      <c r="EZ31" s="58"/>
      <c r="FA31" s="58"/>
      <c r="FB31" s="58"/>
      <c r="FC31" s="58"/>
      <c r="FG31" s="58"/>
      <c r="FH31" s="58"/>
      <c r="FI31" s="58"/>
      <c r="FJ31" s="58"/>
      <c r="FK31" s="58"/>
      <c r="FN31" s="58"/>
      <c r="FO31" s="58"/>
      <c r="FP31" s="58"/>
      <c r="FQ31" s="58"/>
      <c r="FR31" s="58"/>
      <c r="FU31" s="58"/>
      <c r="FV31" s="58"/>
      <c r="FW31" s="58"/>
      <c r="FX31" s="58"/>
      <c r="FY31" s="58"/>
      <c r="GB31" s="58"/>
      <c r="GC31" s="58"/>
      <c r="GD31" s="58"/>
      <c r="GE31" s="58"/>
      <c r="GF31" s="58"/>
      <c r="GI31" s="58"/>
      <c r="GJ31" s="58"/>
      <c r="GK31" s="58"/>
      <c r="GL31" s="58"/>
      <c r="GM31" s="58"/>
      <c r="GP31" s="58"/>
      <c r="GQ31" s="58"/>
      <c r="GR31" s="58"/>
      <c r="GS31" s="58"/>
      <c r="GT31" s="58"/>
      <c r="GW31" s="58"/>
      <c r="GX31" s="58"/>
      <c r="GY31" s="58"/>
      <c r="GZ31" s="58"/>
      <c r="HA31" s="58"/>
      <c r="HD31" s="58"/>
      <c r="HE31" s="58"/>
      <c r="HF31" s="58"/>
      <c r="HG31" s="58"/>
      <c r="HH31" s="58"/>
      <c r="HK31" s="58"/>
      <c r="HL31" s="58"/>
      <c r="HM31" s="58"/>
      <c r="HN31" s="58"/>
      <c r="HO31" s="58"/>
      <c r="HR31" s="58"/>
      <c r="HS31" s="58"/>
      <c r="HT31" s="58"/>
      <c r="HU31" s="58"/>
      <c r="HV31" s="58"/>
      <c r="HY31" s="58"/>
      <c r="HZ31" s="58"/>
      <c r="IA31" s="58"/>
      <c r="IB31" s="58"/>
      <c r="IC31" s="58"/>
      <c r="IF31" s="199"/>
      <c r="IG31" s="58"/>
      <c r="IH31" s="58"/>
      <c r="II31" s="58"/>
      <c r="IJ31" s="58"/>
      <c r="IM31" s="58"/>
      <c r="IN31" s="58"/>
      <c r="IO31" s="58"/>
      <c r="IP31" s="58"/>
      <c r="IQ31" s="58"/>
      <c r="IT31" s="58"/>
      <c r="IU31" s="58"/>
      <c r="IV31" s="58"/>
      <c r="IW31" s="58"/>
      <c r="IX31" s="58"/>
      <c r="JA31" s="58"/>
      <c r="JB31" s="58"/>
      <c r="JC31" s="58"/>
      <c r="JD31" s="58"/>
      <c r="JE31" s="58"/>
      <c r="JH31" s="58"/>
      <c r="JI31" s="58"/>
      <c r="JJ31" s="58"/>
      <c r="JK31" s="58"/>
      <c r="JL31" s="58"/>
      <c r="JO31" s="58"/>
      <c r="JP31" s="58"/>
      <c r="JQ31" s="58"/>
      <c r="JR31" s="58"/>
      <c r="JS31" s="58"/>
      <c r="JV31" s="58"/>
      <c r="JW31" s="58"/>
      <c r="JX31" s="58"/>
      <c r="JY31" s="58"/>
      <c r="JZ31" s="58"/>
      <c r="KC31" s="58"/>
      <c r="KD31" s="58"/>
      <c r="KE31" s="58"/>
      <c r="KF31" s="58"/>
      <c r="KG31" s="58"/>
      <c r="KJ31" s="58"/>
      <c r="KK31" s="58"/>
      <c r="KL31" s="58"/>
      <c r="KM31" s="58"/>
      <c r="KN31" s="58"/>
      <c r="KQ31" s="58"/>
      <c r="KR31" s="58"/>
      <c r="KS31" s="58"/>
      <c r="KT31" s="58"/>
      <c r="KU31" s="58"/>
      <c r="KX31" s="58"/>
      <c r="KY31" s="58"/>
      <c r="KZ31" s="58"/>
      <c r="LA31" s="58"/>
      <c r="LB31" s="58"/>
      <c r="LE31" s="58"/>
      <c r="LF31" s="58"/>
      <c r="LG31" s="58"/>
      <c r="LH31" s="58"/>
      <c r="LI31" s="58"/>
      <c r="LL31" s="58"/>
      <c r="LM31" s="58"/>
      <c r="LN31" s="58"/>
      <c r="LO31" s="58"/>
      <c r="LP31" s="58"/>
      <c r="LS31" s="58"/>
      <c r="LT31" s="58"/>
      <c r="LU31" s="58"/>
      <c r="LV31" s="58"/>
      <c r="LW31" s="58"/>
      <c r="LZ31" s="58"/>
      <c r="MA31" s="58"/>
      <c r="MB31" s="58"/>
      <c r="MC31" s="58"/>
      <c r="MD31" s="58"/>
      <c r="MG31" s="58"/>
      <c r="MH31" s="58"/>
      <c r="MI31" s="58"/>
      <c r="MJ31" s="58"/>
      <c r="MK31" s="58"/>
      <c r="MN31" s="58"/>
      <c r="MO31" s="58"/>
      <c r="MP31" s="58"/>
      <c r="MQ31" s="58"/>
      <c r="MR31" s="58"/>
      <c r="MU31" s="58"/>
      <c r="MV31" s="58"/>
      <c r="MW31" s="58"/>
      <c r="NB31" s="58"/>
      <c r="NC31" s="58"/>
      <c r="ND31" s="58"/>
      <c r="NF31" s="58"/>
    </row>
    <row r="32" spans="1:370">
      <c r="A32" s="30" t="s">
        <v>365</v>
      </c>
      <c r="B32" s="24"/>
      <c r="C32" s="24"/>
      <c r="D32" s="56"/>
      <c r="E32" s="58">
        <v>47</v>
      </c>
      <c r="F32" s="58">
        <v>37</v>
      </c>
      <c r="G32" s="58"/>
      <c r="H32" s="58"/>
      <c r="I32" s="58">
        <v>36</v>
      </c>
      <c r="J32" s="58">
        <v>43</v>
      </c>
      <c r="K32" s="58">
        <v>47</v>
      </c>
      <c r="L32" s="58">
        <v>51</v>
      </c>
      <c r="M32" s="58">
        <v>54</v>
      </c>
      <c r="N32" s="58"/>
      <c r="O32" s="58"/>
      <c r="P32" s="58">
        <v>49</v>
      </c>
      <c r="Q32" s="58">
        <v>41</v>
      </c>
      <c r="R32" s="58">
        <v>36</v>
      </c>
      <c r="S32" s="58">
        <v>33</v>
      </c>
      <c r="T32" s="58">
        <v>33</v>
      </c>
      <c r="U32" s="58"/>
      <c r="V32" s="58"/>
      <c r="W32" s="58">
        <v>36</v>
      </c>
      <c r="X32" s="58">
        <v>59</v>
      </c>
      <c r="Y32" s="58">
        <v>49</v>
      </c>
      <c r="Z32" s="58">
        <v>47</v>
      </c>
      <c r="AA32" s="58">
        <v>51</v>
      </c>
      <c r="AB32" s="58"/>
      <c r="AC32" s="58"/>
      <c r="AD32" s="58">
        <v>48</v>
      </c>
      <c r="AE32" s="58">
        <v>59</v>
      </c>
      <c r="AF32" s="58">
        <v>44</v>
      </c>
      <c r="AG32" s="58">
        <v>60</v>
      </c>
      <c r="AH32" s="58">
        <v>33</v>
      </c>
      <c r="AI32" s="58"/>
      <c r="AJ32" s="58"/>
      <c r="AK32" s="58">
        <v>46</v>
      </c>
      <c r="AL32" s="58">
        <v>71</v>
      </c>
      <c r="AM32" s="58">
        <v>54</v>
      </c>
      <c r="AN32" s="58">
        <v>54</v>
      </c>
      <c r="AO32" s="58">
        <v>57</v>
      </c>
      <c r="AP32" s="58"/>
      <c r="AQ32" s="58"/>
      <c r="AR32" s="58">
        <v>40</v>
      </c>
      <c r="AS32" s="58">
        <v>61</v>
      </c>
      <c r="AT32" s="58">
        <v>69</v>
      </c>
      <c r="AU32" s="58">
        <v>47</v>
      </c>
      <c r="AV32" s="58">
        <v>44</v>
      </c>
      <c r="AW32" s="58"/>
      <c r="AX32" s="58"/>
      <c r="AY32" s="58">
        <v>41</v>
      </c>
      <c r="AZ32" s="58">
        <v>45</v>
      </c>
      <c r="BA32" s="58">
        <v>31</v>
      </c>
      <c r="BB32" s="58">
        <v>39</v>
      </c>
      <c r="BC32" s="58"/>
      <c r="BD32" s="58"/>
      <c r="BE32" s="58"/>
      <c r="BF32" s="58">
        <v>52</v>
      </c>
      <c r="BG32" s="58">
        <v>75</v>
      </c>
      <c r="BH32" s="58">
        <v>55</v>
      </c>
      <c r="BI32" s="58">
        <v>51</v>
      </c>
      <c r="BJ32" s="58">
        <v>32</v>
      </c>
      <c r="BK32" s="58"/>
      <c r="BL32" s="58"/>
      <c r="BM32" s="58">
        <v>42</v>
      </c>
      <c r="BN32" s="58">
        <v>47</v>
      </c>
      <c r="BO32" s="58">
        <v>49</v>
      </c>
      <c r="BP32" s="58">
        <v>32</v>
      </c>
      <c r="BQ32" s="58">
        <v>29</v>
      </c>
      <c r="BR32" s="58"/>
      <c r="BS32" s="58"/>
      <c r="BT32" s="58">
        <v>57</v>
      </c>
      <c r="BU32" s="58">
        <v>45</v>
      </c>
      <c r="BV32" s="58">
        <v>51</v>
      </c>
      <c r="BW32" s="58">
        <v>51</v>
      </c>
      <c r="BX32" s="58">
        <v>41</v>
      </c>
      <c r="BY32" s="58"/>
      <c r="BZ32" s="58"/>
      <c r="CA32" s="58">
        <v>25</v>
      </c>
      <c r="CB32" s="58">
        <v>48</v>
      </c>
      <c r="CC32" s="58">
        <v>28</v>
      </c>
      <c r="CD32" s="58">
        <v>45</v>
      </c>
      <c r="CE32" s="58">
        <v>27</v>
      </c>
      <c r="CF32" s="58"/>
      <c r="CG32" s="58"/>
      <c r="CH32" s="58">
        <v>24</v>
      </c>
      <c r="CI32" s="58">
        <v>43</v>
      </c>
      <c r="CJ32" s="58">
        <v>42</v>
      </c>
      <c r="CK32" s="58">
        <v>51</v>
      </c>
      <c r="CL32" s="58">
        <v>48</v>
      </c>
      <c r="CM32" s="58"/>
      <c r="CN32" s="58"/>
      <c r="CO32" s="58">
        <v>30</v>
      </c>
      <c r="CP32" s="58">
        <v>768</v>
      </c>
      <c r="CQ32" s="58">
        <v>58</v>
      </c>
      <c r="CR32" s="58">
        <v>49</v>
      </c>
      <c r="CS32" s="58">
        <v>42</v>
      </c>
      <c r="CT32" s="88"/>
      <c r="CU32" s="88"/>
      <c r="CV32" s="58">
        <v>32</v>
      </c>
      <c r="CW32" s="58">
        <v>58</v>
      </c>
      <c r="CX32" s="58">
        <v>41</v>
      </c>
      <c r="CY32" s="58">
        <v>57</v>
      </c>
      <c r="CZ32" s="58">
        <v>69</v>
      </c>
      <c r="DC32" s="58">
        <v>47</v>
      </c>
      <c r="DD32" s="58">
        <v>54</v>
      </c>
      <c r="DE32" s="58">
        <v>47</v>
      </c>
      <c r="DF32" s="58">
        <v>44</v>
      </c>
      <c r="DK32" s="58">
        <v>54</v>
      </c>
      <c r="DL32" s="58">
        <v>50</v>
      </c>
      <c r="DM32" s="58">
        <v>54</v>
      </c>
      <c r="DN32" s="58">
        <v>31</v>
      </c>
      <c r="DO32" s="159"/>
      <c r="DP32" s="159"/>
      <c r="DQ32" s="58">
        <v>44</v>
      </c>
      <c r="DR32" s="58">
        <v>38</v>
      </c>
      <c r="DS32" s="58">
        <v>40</v>
      </c>
      <c r="DT32" s="58">
        <v>54</v>
      </c>
      <c r="DU32" s="58">
        <v>29</v>
      </c>
      <c r="DY32" s="58">
        <v>61</v>
      </c>
      <c r="DZ32" s="58">
        <v>39</v>
      </c>
      <c r="EA32" s="58">
        <v>46</v>
      </c>
      <c r="EB32" s="58">
        <v>34</v>
      </c>
      <c r="EE32" s="58">
        <v>40</v>
      </c>
      <c r="EF32" s="58">
        <v>54</v>
      </c>
      <c r="EG32" s="58">
        <v>30</v>
      </c>
      <c r="EH32" s="58">
        <v>36</v>
      </c>
      <c r="EI32" s="58">
        <v>36</v>
      </c>
      <c r="EL32" s="58">
        <v>51</v>
      </c>
      <c r="EM32" s="58">
        <v>34</v>
      </c>
      <c r="EN32" s="58">
        <v>58</v>
      </c>
      <c r="EO32" s="58">
        <v>45</v>
      </c>
      <c r="EP32" s="58">
        <v>37</v>
      </c>
      <c r="ET32" s="58">
        <v>34</v>
      </c>
      <c r="EU32" s="58">
        <v>33</v>
      </c>
      <c r="EV32" s="58">
        <v>27</v>
      </c>
      <c r="EW32" s="58">
        <v>24</v>
      </c>
      <c r="EZ32" s="58">
        <v>50</v>
      </c>
      <c r="FA32" s="58">
        <v>37</v>
      </c>
      <c r="FB32" s="58">
        <v>43</v>
      </c>
      <c r="FC32" s="58">
        <v>43</v>
      </c>
      <c r="FD32" s="58">
        <v>28</v>
      </c>
      <c r="FG32" s="58">
        <v>44</v>
      </c>
      <c r="FH32" s="58">
        <v>34</v>
      </c>
      <c r="FI32" s="58">
        <v>40</v>
      </c>
      <c r="FJ32" s="58">
        <v>49</v>
      </c>
      <c r="FK32" s="58">
        <v>39</v>
      </c>
      <c r="FN32" s="58">
        <v>43</v>
      </c>
      <c r="FO32" s="58">
        <v>53</v>
      </c>
      <c r="FP32" s="58">
        <v>54</v>
      </c>
      <c r="FQ32" s="58">
        <v>58</v>
      </c>
      <c r="FR32" s="58">
        <v>47</v>
      </c>
      <c r="FU32" s="58">
        <v>52</v>
      </c>
      <c r="FV32" s="58">
        <v>53</v>
      </c>
      <c r="FW32" s="58">
        <v>54</v>
      </c>
      <c r="FX32" s="58">
        <v>44</v>
      </c>
      <c r="FY32" s="58">
        <v>38</v>
      </c>
      <c r="GB32" s="58">
        <v>63</v>
      </c>
      <c r="GC32" s="58">
        <v>48</v>
      </c>
      <c r="GD32" s="58">
        <v>52</v>
      </c>
      <c r="GE32" s="58">
        <v>29</v>
      </c>
      <c r="GF32" s="58">
        <v>29</v>
      </c>
      <c r="GI32" s="58">
        <v>44</v>
      </c>
      <c r="GJ32" s="58">
        <v>39</v>
      </c>
      <c r="GK32" s="58">
        <v>43</v>
      </c>
      <c r="GL32" s="58">
        <v>37</v>
      </c>
      <c r="GM32" s="58">
        <v>25</v>
      </c>
      <c r="GP32" s="58">
        <v>38</v>
      </c>
      <c r="GQ32" s="58">
        <v>43</v>
      </c>
      <c r="GR32" s="58">
        <v>54</v>
      </c>
      <c r="GS32" s="58">
        <v>54</v>
      </c>
      <c r="GT32" s="58">
        <v>39</v>
      </c>
      <c r="GW32" s="58">
        <v>97</v>
      </c>
      <c r="GX32" s="58">
        <v>41</v>
      </c>
      <c r="GY32" s="58">
        <v>19</v>
      </c>
      <c r="GZ32" s="58">
        <v>36</v>
      </c>
      <c r="HA32" s="58">
        <v>21</v>
      </c>
      <c r="HD32" s="58">
        <v>41</v>
      </c>
      <c r="HE32" s="58">
        <v>30</v>
      </c>
      <c r="HF32" s="58">
        <v>31</v>
      </c>
      <c r="HG32" s="58">
        <v>27</v>
      </c>
      <c r="HH32" s="58">
        <v>34</v>
      </c>
      <c r="HK32" s="58">
        <v>30</v>
      </c>
      <c r="HL32" s="58">
        <v>40</v>
      </c>
      <c r="HM32" s="58">
        <v>46</v>
      </c>
      <c r="HN32" s="58">
        <v>37</v>
      </c>
      <c r="HO32" s="58">
        <v>35</v>
      </c>
      <c r="HR32" s="58">
        <v>46</v>
      </c>
      <c r="HS32" s="58">
        <v>27</v>
      </c>
      <c r="HT32" s="58">
        <v>31</v>
      </c>
      <c r="HU32" s="58">
        <v>34</v>
      </c>
      <c r="HV32" s="58">
        <v>18</v>
      </c>
      <c r="HY32" s="58">
        <v>31</v>
      </c>
      <c r="HZ32" s="58">
        <v>28</v>
      </c>
      <c r="IA32" s="58">
        <v>39</v>
      </c>
      <c r="IB32" s="58">
        <v>31</v>
      </c>
      <c r="IC32" s="58">
        <v>36</v>
      </c>
      <c r="IF32" s="199"/>
      <c r="IG32" s="58">
        <v>36</v>
      </c>
      <c r="IH32" s="58">
        <v>55</v>
      </c>
      <c r="II32" s="58">
        <v>34</v>
      </c>
      <c r="IJ32" s="58">
        <v>26</v>
      </c>
      <c r="IM32" s="58">
        <v>58</v>
      </c>
      <c r="IN32" s="58">
        <v>54</v>
      </c>
      <c r="IO32" s="58">
        <v>50</v>
      </c>
      <c r="IP32" s="58">
        <v>65</v>
      </c>
      <c r="IQ32" s="58">
        <v>43</v>
      </c>
      <c r="IT32" s="58">
        <v>43</v>
      </c>
      <c r="IU32" s="58">
        <v>47</v>
      </c>
      <c r="IV32" s="58">
        <v>47</v>
      </c>
      <c r="IW32" s="58">
        <v>44</v>
      </c>
      <c r="IX32" s="58">
        <v>24</v>
      </c>
      <c r="JA32" s="58">
        <v>86</v>
      </c>
      <c r="JB32" s="58">
        <v>42</v>
      </c>
      <c r="JC32" s="58">
        <v>57</v>
      </c>
      <c r="JD32" s="58">
        <v>46</v>
      </c>
      <c r="JE32" s="58">
        <v>53</v>
      </c>
      <c r="JH32" s="58">
        <v>46</v>
      </c>
      <c r="JI32" s="58">
        <v>53</v>
      </c>
      <c r="JJ32" s="58">
        <v>45</v>
      </c>
      <c r="JK32" s="58">
        <v>42</v>
      </c>
      <c r="JL32" s="58">
        <v>37</v>
      </c>
      <c r="JO32" s="58">
        <v>41</v>
      </c>
      <c r="JP32" s="58">
        <v>60</v>
      </c>
      <c r="JQ32" s="58">
        <v>63</v>
      </c>
      <c r="JR32" s="58">
        <v>59</v>
      </c>
      <c r="JS32" s="58">
        <v>28</v>
      </c>
      <c r="JV32" s="58">
        <v>56</v>
      </c>
      <c r="JW32" s="58">
        <v>59</v>
      </c>
      <c r="JX32" s="58">
        <v>49</v>
      </c>
      <c r="JY32" s="58">
        <v>58</v>
      </c>
      <c r="JZ32" s="58">
        <v>50</v>
      </c>
      <c r="KC32" s="58">
        <v>51</v>
      </c>
      <c r="KD32" s="58">
        <v>54</v>
      </c>
      <c r="KE32" s="58">
        <v>46</v>
      </c>
      <c r="KF32" s="58">
        <v>39</v>
      </c>
      <c r="KG32" s="58">
        <v>44</v>
      </c>
      <c r="KJ32" s="58">
        <v>46</v>
      </c>
      <c r="KK32" s="58">
        <v>48</v>
      </c>
      <c r="KL32" s="58">
        <v>45</v>
      </c>
      <c r="KM32" s="58">
        <v>29</v>
      </c>
      <c r="KN32" s="58">
        <v>26</v>
      </c>
      <c r="KQ32" s="58">
        <v>29</v>
      </c>
      <c r="KR32" s="58">
        <v>40</v>
      </c>
      <c r="KS32" s="58">
        <v>45</v>
      </c>
      <c r="KT32" s="58">
        <v>36</v>
      </c>
      <c r="KU32" s="58">
        <v>28</v>
      </c>
      <c r="KX32" s="58">
        <v>50</v>
      </c>
      <c r="KY32" s="58">
        <v>46</v>
      </c>
      <c r="KZ32" s="58">
        <v>47</v>
      </c>
      <c r="LA32" s="58">
        <v>42</v>
      </c>
      <c r="LB32" s="58">
        <v>37</v>
      </c>
      <c r="LE32" s="58">
        <v>51</v>
      </c>
      <c r="LF32" s="58">
        <v>55</v>
      </c>
      <c r="LG32" s="58">
        <v>56</v>
      </c>
      <c r="LH32" s="58">
        <v>53</v>
      </c>
      <c r="LI32" s="58">
        <v>32</v>
      </c>
      <c r="LL32" s="58">
        <v>45</v>
      </c>
      <c r="LM32" s="58">
        <v>73</v>
      </c>
      <c r="LN32" s="58">
        <v>81</v>
      </c>
      <c r="LO32" s="58">
        <v>85</v>
      </c>
      <c r="LP32" s="58">
        <v>60</v>
      </c>
      <c r="LS32" s="58">
        <v>72</v>
      </c>
      <c r="LT32" s="58">
        <v>70</v>
      </c>
      <c r="LU32" s="58">
        <v>109</v>
      </c>
      <c r="LV32" s="58">
        <v>86</v>
      </c>
      <c r="LW32" s="58">
        <v>65</v>
      </c>
      <c r="LZ32" s="58">
        <v>71</v>
      </c>
      <c r="MA32" s="58">
        <v>72</v>
      </c>
      <c r="MB32" s="58">
        <v>55</v>
      </c>
      <c r="MC32" s="58">
        <v>69</v>
      </c>
      <c r="MD32" s="58">
        <v>67</v>
      </c>
      <c r="MG32" s="58">
        <v>51</v>
      </c>
      <c r="MH32" s="58">
        <v>67</v>
      </c>
      <c r="MI32" s="58">
        <v>81</v>
      </c>
      <c r="MJ32" s="58">
        <v>56</v>
      </c>
      <c r="MK32" s="58">
        <v>71</v>
      </c>
      <c r="MN32" s="58">
        <v>85</v>
      </c>
      <c r="MO32" s="58">
        <v>63</v>
      </c>
      <c r="MP32" s="58">
        <v>74</v>
      </c>
      <c r="MQ32" s="58">
        <v>58</v>
      </c>
      <c r="MR32" s="58">
        <v>48</v>
      </c>
      <c r="MU32" s="58">
        <v>48</v>
      </c>
      <c r="MV32" s="58">
        <v>50</v>
      </c>
      <c r="MW32" s="58"/>
      <c r="NB32" s="58">
        <v>37</v>
      </c>
      <c r="NC32" s="58">
        <v>39</v>
      </c>
      <c r="ND32" s="58">
        <v>22</v>
      </c>
      <c r="NF32" s="58">
        <v>38</v>
      </c>
    </row>
    <row r="33" spans="1:370">
      <c r="A33" s="30" t="s">
        <v>211</v>
      </c>
      <c r="B33" s="24"/>
      <c r="C33" s="24"/>
      <c r="D33" s="56"/>
      <c r="E33" s="58">
        <v>33</v>
      </c>
      <c r="F33" s="58">
        <v>31</v>
      </c>
      <c r="G33" s="58"/>
      <c r="H33" s="58"/>
      <c r="I33" s="58">
        <v>45</v>
      </c>
      <c r="J33" s="58">
        <v>45</v>
      </c>
      <c r="K33" s="58">
        <v>47</v>
      </c>
      <c r="L33" s="58">
        <v>52</v>
      </c>
      <c r="M33" s="58">
        <v>61</v>
      </c>
      <c r="N33" s="58"/>
      <c r="O33" s="58"/>
      <c r="P33" s="58">
        <v>49</v>
      </c>
      <c r="Q33" s="58">
        <v>42</v>
      </c>
      <c r="R33" s="58">
        <v>44</v>
      </c>
      <c r="S33" s="58">
        <v>31</v>
      </c>
      <c r="T33" s="58">
        <v>38</v>
      </c>
      <c r="U33" s="58"/>
      <c r="V33" s="58"/>
      <c r="W33" s="58">
        <v>41</v>
      </c>
      <c r="X33" s="58">
        <v>47</v>
      </c>
      <c r="Y33" s="58">
        <v>54</v>
      </c>
      <c r="Z33" s="58">
        <v>53</v>
      </c>
      <c r="AA33" s="58">
        <v>46</v>
      </c>
      <c r="AB33" s="58"/>
      <c r="AC33" s="58"/>
      <c r="AD33" s="58">
        <v>49</v>
      </c>
      <c r="AE33" s="58">
        <v>50</v>
      </c>
      <c r="AF33" s="58">
        <v>54</v>
      </c>
      <c r="AG33" s="58">
        <v>60</v>
      </c>
      <c r="AH33" s="58">
        <v>48</v>
      </c>
      <c r="AI33" s="58"/>
      <c r="AJ33" s="58"/>
      <c r="AK33" s="58">
        <v>53</v>
      </c>
      <c r="AL33" s="58">
        <v>76</v>
      </c>
      <c r="AM33" s="58">
        <v>51</v>
      </c>
      <c r="AN33" s="58">
        <v>51</v>
      </c>
      <c r="AO33" s="58">
        <v>62</v>
      </c>
      <c r="AP33" s="58"/>
      <c r="AQ33" s="58"/>
      <c r="AR33" s="58">
        <v>51</v>
      </c>
      <c r="AS33" s="58">
        <v>57</v>
      </c>
      <c r="AT33" s="58">
        <v>58</v>
      </c>
      <c r="AU33" s="58">
        <v>49</v>
      </c>
      <c r="AV33" s="58">
        <v>53</v>
      </c>
      <c r="AW33" s="58"/>
      <c r="AX33" s="58"/>
      <c r="AY33" s="58">
        <v>45</v>
      </c>
      <c r="AZ33" s="58">
        <v>47</v>
      </c>
      <c r="BA33" s="58">
        <v>28</v>
      </c>
      <c r="BB33" s="58">
        <v>35</v>
      </c>
      <c r="BC33" s="58"/>
      <c r="BD33" s="58"/>
      <c r="BE33" s="58"/>
      <c r="BF33" s="58">
        <v>59</v>
      </c>
      <c r="BG33" s="58">
        <v>64</v>
      </c>
      <c r="BH33" s="58">
        <v>62</v>
      </c>
      <c r="BI33" s="58">
        <v>52</v>
      </c>
      <c r="BJ33" s="58">
        <v>35</v>
      </c>
      <c r="BK33" s="58"/>
      <c r="BL33" s="58"/>
      <c r="BM33" s="58">
        <v>50</v>
      </c>
      <c r="BN33" s="58">
        <v>54</v>
      </c>
      <c r="BO33" s="58">
        <v>48</v>
      </c>
      <c r="BP33" s="58">
        <v>38</v>
      </c>
      <c r="BQ33" s="58">
        <v>34</v>
      </c>
      <c r="BR33" s="58"/>
      <c r="BS33" s="58"/>
      <c r="BT33" s="58">
        <v>61</v>
      </c>
      <c r="BU33" s="58">
        <v>52</v>
      </c>
      <c r="BV33" s="58">
        <v>60</v>
      </c>
      <c r="BW33" s="58">
        <v>48</v>
      </c>
      <c r="BX33" s="58">
        <v>41</v>
      </c>
      <c r="BY33" s="58"/>
      <c r="BZ33" s="58"/>
      <c r="CA33" s="58">
        <v>39</v>
      </c>
      <c r="CB33" s="58">
        <v>36</v>
      </c>
      <c r="CC33" s="58">
        <v>29</v>
      </c>
      <c r="CD33" s="58">
        <v>43</v>
      </c>
      <c r="CE33" s="58">
        <v>31</v>
      </c>
      <c r="CF33" s="58"/>
      <c r="CG33" s="58"/>
      <c r="CH33" s="58">
        <v>58</v>
      </c>
      <c r="CI33" s="58">
        <v>52</v>
      </c>
      <c r="CJ33" s="58">
        <v>47</v>
      </c>
      <c r="CK33" s="58">
        <v>48</v>
      </c>
      <c r="CL33" s="58">
        <v>61</v>
      </c>
      <c r="CM33" s="58"/>
      <c r="CN33" s="58"/>
      <c r="CO33" s="58">
        <v>32</v>
      </c>
      <c r="CP33" s="58">
        <v>803</v>
      </c>
      <c r="CQ33" s="58">
        <v>121</v>
      </c>
      <c r="CR33" s="58">
        <v>47</v>
      </c>
      <c r="CS33" s="58">
        <v>39</v>
      </c>
      <c r="CT33" s="88"/>
      <c r="CU33" s="88"/>
      <c r="CV33" s="58">
        <v>45</v>
      </c>
      <c r="CW33" s="58">
        <v>49</v>
      </c>
      <c r="CX33" s="58">
        <v>37</v>
      </c>
      <c r="CY33" s="58">
        <v>57</v>
      </c>
      <c r="CZ33" s="58">
        <v>42</v>
      </c>
      <c r="DC33" s="58">
        <v>50</v>
      </c>
      <c r="DD33" s="58">
        <v>51</v>
      </c>
      <c r="DE33" s="58">
        <v>58</v>
      </c>
      <c r="DF33" s="58">
        <v>46</v>
      </c>
      <c r="DK33" s="58">
        <v>95</v>
      </c>
      <c r="DL33" s="58">
        <v>63</v>
      </c>
      <c r="DM33" s="58">
        <v>58</v>
      </c>
      <c r="DN33" s="58">
        <v>35</v>
      </c>
      <c r="DO33" s="159"/>
      <c r="DP33" s="159"/>
      <c r="DQ33" s="58">
        <v>40</v>
      </c>
      <c r="DR33" s="58">
        <v>40</v>
      </c>
      <c r="DS33" s="58">
        <v>52</v>
      </c>
      <c r="DT33" s="58">
        <v>57</v>
      </c>
      <c r="DU33" s="58">
        <v>40</v>
      </c>
      <c r="DY33" s="58">
        <v>58</v>
      </c>
      <c r="DZ33" s="58">
        <v>48</v>
      </c>
      <c r="EA33" s="58">
        <v>44</v>
      </c>
      <c r="EB33" s="58">
        <v>37</v>
      </c>
      <c r="EE33" s="58">
        <v>56</v>
      </c>
      <c r="EF33" s="58">
        <v>44</v>
      </c>
      <c r="EG33" s="58">
        <v>39</v>
      </c>
      <c r="EH33" s="58">
        <v>45</v>
      </c>
      <c r="EI33" s="58">
        <v>39</v>
      </c>
      <c r="EL33" s="58">
        <v>51</v>
      </c>
      <c r="EM33" s="58">
        <v>38</v>
      </c>
      <c r="EN33" s="58">
        <v>49</v>
      </c>
      <c r="EO33" s="58">
        <v>40</v>
      </c>
      <c r="EP33" s="58">
        <v>43</v>
      </c>
      <c r="ET33" s="58">
        <v>49</v>
      </c>
      <c r="EU33" s="58">
        <v>28</v>
      </c>
      <c r="EV33" s="58">
        <v>30</v>
      </c>
      <c r="EW33" s="58">
        <v>26</v>
      </c>
      <c r="EZ33" s="58">
        <v>56</v>
      </c>
      <c r="FA33" s="58">
        <v>37</v>
      </c>
      <c r="FB33" s="58">
        <v>45</v>
      </c>
      <c r="FC33" s="58">
        <v>58</v>
      </c>
      <c r="FD33" s="58">
        <v>30</v>
      </c>
      <c r="FG33" s="58">
        <v>46</v>
      </c>
      <c r="FH33" s="58">
        <v>38</v>
      </c>
      <c r="FI33" s="58">
        <v>30</v>
      </c>
      <c r="FJ33" s="58">
        <v>48</v>
      </c>
      <c r="FK33" s="58">
        <v>42</v>
      </c>
      <c r="FN33" s="58">
        <v>53</v>
      </c>
      <c r="FO33" s="58">
        <v>52</v>
      </c>
      <c r="FP33" s="58">
        <v>43</v>
      </c>
      <c r="FQ33" s="58">
        <v>50</v>
      </c>
      <c r="FR33" s="58">
        <v>42</v>
      </c>
      <c r="FU33" s="58">
        <v>75</v>
      </c>
      <c r="FV33" s="58">
        <v>43</v>
      </c>
      <c r="FW33" s="58">
        <v>53</v>
      </c>
      <c r="FX33" s="58">
        <v>39</v>
      </c>
      <c r="FY33" s="58">
        <v>34</v>
      </c>
      <c r="GB33" s="58">
        <v>60</v>
      </c>
      <c r="GC33" s="58">
        <v>50</v>
      </c>
      <c r="GD33" s="58">
        <v>53</v>
      </c>
      <c r="GE33" s="58">
        <v>23</v>
      </c>
      <c r="GF33" s="58">
        <v>28</v>
      </c>
      <c r="GI33" s="58">
        <v>50</v>
      </c>
      <c r="GJ33" s="58">
        <v>44</v>
      </c>
      <c r="GK33" s="58">
        <v>61</v>
      </c>
      <c r="GL33" s="58">
        <v>40</v>
      </c>
      <c r="GM33" s="58">
        <v>34</v>
      </c>
      <c r="GP33" s="58">
        <v>39</v>
      </c>
      <c r="GQ33" s="58">
        <v>42</v>
      </c>
      <c r="GR33" s="58">
        <v>49</v>
      </c>
      <c r="GS33" s="58">
        <v>42</v>
      </c>
      <c r="GT33" s="58">
        <v>55</v>
      </c>
      <c r="GW33" s="58">
        <v>105</v>
      </c>
      <c r="GX33" s="58">
        <v>52</v>
      </c>
      <c r="GY33" s="58">
        <v>18</v>
      </c>
      <c r="GZ33" s="58">
        <v>32</v>
      </c>
      <c r="HA33" s="58">
        <v>23</v>
      </c>
      <c r="HD33" s="58">
        <v>42</v>
      </c>
      <c r="HE33" s="58">
        <v>34</v>
      </c>
      <c r="HF33" s="58">
        <v>26</v>
      </c>
      <c r="HG33" s="58">
        <v>26</v>
      </c>
      <c r="HH33" s="58">
        <v>42</v>
      </c>
      <c r="HK33" s="58">
        <v>40</v>
      </c>
      <c r="HL33" s="58">
        <v>55</v>
      </c>
      <c r="HM33" s="58">
        <v>43</v>
      </c>
      <c r="HN33" s="58">
        <v>37</v>
      </c>
      <c r="HO33" s="58">
        <v>27</v>
      </c>
      <c r="HR33" s="58">
        <v>57</v>
      </c>
      <c r="HS33" s="58">
        <v>33</v>
      </c>
      <c r="HT33" s="58">
        <v>27</v>
      </c>
      <c r="HU33" s="58">
        <v>39</v>
      </c>
      <c r="HV33" s="58">
        <v>19</v>
      </c>
      <c r="HY33" s="58">
        <v>28</v>
      </c>
      <c r="HZ33" s="58">
        <v>31</v>
      </c>
      <c r="IA33" s="58">
        <v>35</v>
      </c>
      <c r="IB33" s="58">
        <v>38</v>
      </c>
      <c r="IC33" s="58">
        <v>31</v>
      </c>
      <c r="IF33" s="199"/>
      <c r="IG33" s="58">
        <v>55</v>
      </c>
      <c r="IH33" s="58">
        <v>48</v>
      </c>
      <c r="II33" s="58">
        <v>33</v>
      </c>
      <c r="IJ33" s="58">
        <v>23</v>
      </c>
      <c r="IM33" s="58">
        <v>40</v>
      </c>
      <c r="IN33" s="58">
        <v>30</v>
      </c>
      <c r="IO33" s="58">
        <v>40</v>
      </c>
      <c r="IP33" s="58">
        <v>64</v>
      </c>
      <c r="IQ33" s="58">
        <v>76</v>
      </c>
      <c r="IT33" s="58">
        <v>53</v>
      </c>
      <c r="IU33" s="58">
        <v>51</v>
      </c>
      <c r="IV33" s="58">
        <v>62</v>
      </c>
      <c r="IW33" s="58">
        <v>33</v>
      </c>
      <c r="IX33" s="58">
        <v>45</v>
      </c>
      <c r="JA33" s="58">
        <v>94</v>
      </c>
      <c r="JB33" s="58">
        <v>51</v>
      </c>
      <c r="JC33" s="58">
        <v>56</v>
      </c>
      <c r="JD33" s="58">
        <v>46</v>
      </c>
      <c r="JE33" s="58">
        <v>61</v>
      </c>
      <c r="JH33" s="58">
        <v>38</v>
      </c>
      <c r="JI33" s="58">
        <v>38</v>
      </c>
      <c r="JJ33" s="58">
        <v>36</v>
      </c>
      <c r="JK33" s="58">
        <v>54</v>
      </c>
      <c r="JL33" s="58">
        <v>44</v>
      </c>
      <c r="JO33" s="58">
        <v>38</v>
      </c>
      <c r="JP33" s="58">
        <v>39</v>
      </c>
      <c r="JQ33" s="58">
        <v>56</v>
      </c>
      <c r="JR33" s="58">
        <v>68</v>
      </c>
      <c r="JS33" s="58">
        <v>50</v>
      </c>
      <c r="JV33" s="58">
        <v>79</v>
      </c>
      <c r="JW33" s="58">
        <v>58</v>
      </c>
      <c r="JX33" s="58">
        <v>46</v>
      </c>
      <c r="JY33" s="58">
        <v>43</v>
      </c>
      <c r="JZ33" s="58">
        <v>56</v>
      </c>
      <c r="KC33" s="58">
        <v>80</v>
      </c>
      <c r="KD33" s="58">
        <v>58</v>
      </c>
      <c r="KE33" s="58">
        <v>37</v>
      </c>
      <c r="KF33" s="58">
        <v>49</v>
      </c>
      <c r="KG33" s="58">
        <v>56</v>
      </c>
      <c r="KJ33" s="58">
        <v>51</v>
      </c>
      <c r="KK33" s="58">
        <v>43</v>
      </c>
      <c r="KL33" s="58">
        <v>49</v>
      </c>
      <c r="KM33" s="58">
        <v>42</v>
      </c>
      <c r="KN33" s="58">
        <v>29</v>
      </c>
      <c r="KQ33" s="58">
        <v>47</v>
      </c>
      <c r="KR33" s="58">
        <v>33</v>
      </c>
      <c r="KS33" s="58">
        <v>45</v>
      </c>
      <c r="KT33" s="58">
        <v>44</v>
      </c>
      <c r="KU33" s="58">
        <v>41</v>
      </c>
      <c r="KX33" s="58">
        <v>59</v>
      </c>
      <c r="KY33" s="58">
        <v>48</v>
      </c>
      <c r="KZ33" s="58">
        <v>49</v>
      </c>
      <c r="LA33" s="58">
        <v>38</v>
      </c>
      <c r="LB33" s="58">
        <v>48</v>
      </c>
      <c r="LE33" s="58">
        <v>59</v>
      </c>
      <c r="LF33" s="58">
        <v>53</v>
      </c>
      <c r="LG33" s="58">
        <v>53</v>
      </c>
      <c r="LH33" s="58">
        <v>61</v>
      </c>
      <c r="LI33" s="58">
        <v>32</v>
      </c>
      <c r="LL33" s="58">
        <v>53</v>
      </c>
      <c r="LM33" s="58">
        <v>63</v>
      </c>
      <c r="LN33" s="58">
        <v>45</v>
      </c>
      <c r="LO33" s="58">
        <v>51</v>
      </c>
      <c r="LP33" s="58">
        <v>61</v>
      </c>
      <c r="LS33" s="58">
        <v>65</v>
      </c>
      <c r="LT33" s="58">
        <v>86</v>
      </c>
      <c r="LU33" s="58">
        <v>75</v>
      </c>
      <c r="LV33" s="58">
        <v>98</v>
      </c>
      <c r="LW33" s="58">
        <v>63</v>
      </c>
      <c r="LZ33" s="58">
        <v>89</v>
      </c>
      <c r="MA33" s="58">
        <v>69</v>
      </c>
      <c r="MB33" s="58">
        <v>59</v>
      </c>
      <c r="MC33" s="58">
        <v>69</v>
      </c>
      <c r="MD33" s="58">
        <v>67</v>
      </c>
      <c r="MG33" s="58">
        <v>57</v>
      </c>
      <c r="MH33" s="58">
        <v>72</v>
      </c>
      <c r="MI33" s="58">
        <v>71</v>
      </c>
      <c r="MJ33" s="58">
        <v>54</v>
      </c>
      <c r="MK33" s="58">
        <v>76</v>
      </c>
      <c r="MN33" s="58">
        <v>88</v>
      </c>
      <c r="MO33" s="58">
        <v>75</v>
      </c>
      <c r="MP33" s="58">
        <v>73</v>
      </c>
      <c r="MQ33" s="58">
        <v>59</v>
      </c>
      <c r="MR33" s="58">
        <v>72</v>
      </c>
      <c r="MU33" s="58">
        <v>47</v>
      </c>
      <c r="MV33" s="58">
        <v>52</v>
      </c>
      <c r="MW33" s="58"/>
      <c r="NB33" s="58">
        <v>61</v>
      </c>
      <c r="NC33" s="58">
        <v>35</v>
      </c>
      <c r="ND33" s="58">
        <v>23</v>
      </c>
      <c r="NF33" s="58">
        <v>44</v>
      </c>
    </row>
    <row r="34" spans="1:370" s="88" customFormat="1">
      <c r="A34" s="67" t="s">
        <v>212</v>
      </c>
      <c r="B34" s="67"/>
      <c r="C34" s="67"/>
      <c r="D34" s="71">
        <f>D32-D33</f>
        <v>0</v>
      </c>
      <c r="E34" s="70">
        <f>E32-E33</f>
        <v>14</v>
      </c>
      <c r="F34" s="70">
        <f>F32-F33</f>
        <v>6</v>
      </c>
      <c r="G34" s="71"/>
      <c r="H34" s="71"/>
      <c r="I34" s="71">
        <f t="shared" ref="I34:AN34" si="0">I32-I33</f>
        <v>-9</v>
      </c>
      <c r="J34" s="71">
        <f t="shared" si="0"/>
        <v>-2</v>
      </c>
      <c r="K34" s="71">
        <f t="shared" si="0"/>
        <v>0</v>
      </c>
      <c r="L34" s="71">
        <f t="shared" si="0"/>
        <v>-1</v>
      </c>
      <c r="M34" s="71">
        <f t="shared" si="0"/>
        <v>-7</v>
      </c>
      <c r="N34" s="71">
        <f t="shared" si="0"/>
        <v>0</v>
      </c>
      <c r="O34" s="71">
        <f t="shared" si="0"/>
        <v>0</v>
      </c>
      <c r="P34" s="71">
        <f t="shared" si="0"/>
        <v>0</v>
      </c>
      <c r="Q34" s="71">
        <f t="shared" si="0"/>
        <v>-1</v>
      </c>
      <c r="R34" s="71">
        <f t="shared" si="0"/>
        <v>-8</v>
      </c>
      <c r="S34" s="70">
        <f t="shared" si="0"/>
        <v>2</v>
      </c>
      <c r="T34" s="71">
        <f t="shared" si="0"/>
        <v>-5</v>
      </c>
      <c r="U34" s="71">
        <f t="shared" si="0"/>
        <v>0</v>
      </c>
      <c r="V34" s="71">
        <f t="shared" si="0"/>
        <v>0</v>
      </c>
      <c r="W34" s="71">
        <f t="shared" si="0"/>
        <v>-5</v>
      </c>
      <c r="X34" s="70">
        <f t="shared" si="0"/>
        <v>12</v>
      </c>
      <c r="Y34" s="71">
        <f t="shared" si="0"/>
        <v>-5</v>
      </c>
      <c r="Z34" s="71">
        <f t="shared" si="0"/>
        <v>-6</v>
      </c>
      <c r="AA34" s="70">
        <f t="shared" si="0"/>
        <v>5</v>
      </c>
      <c r="AB34" s="71">
        <f t="shared" si="0"/>
        <v>0</v>
      </c>
      <c r="AC34" s="71">
        <f t="shared" si="0"/>
        <v>0</v>
      </c>
      <c r="AD34" s="71">
        <f t="shared" si="0"/>
        <v>-1</v>
      </c>
      <c r="AE34" s="70">
        <f t="shared" si="0"/>
        <v>9</v>
      </c>
      <c r="AF34" s="71">
        <f t="shared" si="0"/>
        <v>-10</v>
      </c>
      <c r="AG34" s="71">
        <f t="shared" si="0"/>
        <v>0</v>
      </c>
      <c r="AH34" s="71">
        <f t="shared" si="0"/>
        <v>-15</v>
      </c>
      <c r="AI34" s="71">
        <f t="shared" si="0"/>
        <v>0</v>
      </c>
      <c r="AJ34" s="71">
        <f t="shared" si="0"/>
        <v>0</v>
      </c>
      <c r="AK34" s="71">
        <f t="shared" si="0"/>
        <v>-7</v>
      </c>
      <c r="AL34" s="71">
        <f t="shared" si="0"/>
        <v>-5</v>
      </c>
      <c r="AM34" s="70">
        <f t="shared" si="0"/>
        <v>3</v>
      </c>
      <c r="AN34" s="70">
        <f t="shared" si="0"/>
        <v>3</v>
      </c>
      <c r="AO34" s="71">
        <f t="shared" ref="AO34:BJ34" si="1">AO32-AO33</f>
        <v>-5</v>
      </c>
      <c r="AP34" s="71">
        <f t="shared" si="1"/>
        <v>0</v>
      </c>
      <c r="AQ34" s="71">
        <f t="shared" si="1"/>
        <v>0</v>
      </c>
      <c r="AR34" s="71">
        <f t="shared" si="1"/>
        <v>-11</v>
      </c>
      <c r="AS34" s="70">
        <f t="shared" si="1"/>
        <v>4</v>
      </c>
      <c r="AT34" s="70">
        <f t="shared" si="1"/>
        <v>11</v>
      </c>
      <c r="AU34" s="71">
        <f t="shared" si="1"/>
        <v>-2</v>
      </c>
      <c r="AV34" s="71">
        <f t="shared" si="1"/>
        <v>-9</v>
      </c>
      <c r="AW34" s="71">
        <f t="shared" si="1"/>
        <v>0</v>
      </c>
      <c r="AX34" s="71">
        <f t="shared" si="1"/>
        <v>0</v>
      </c>
      <c r="AY34" s="71">
        <f t="shared" si="1"/>
        <v>-4</v>
      </c>
      <c r="AZ34" s="71">
        <f t="shared" si="1"/>
        <v>-2</v>
      </c>
      <c r="BA34" s="70">
        <f t="shared" si="1"/>
        <v>3</v>
      </c>
      <c r="BB34" s="70">
        <f t="shared" si="1"/>
        <v>4</v>
      </c>
      <c r="BC34" s="71">
        <f t="shared" si="1"/>
        <v>0</v>
      </c>
      <c r="BD34" s="71">
        <f t="shared" si="1"/>
        <v>0</v>
      </c>
      <c r="BE34" s="71">
        <f t="shared" si="1"/>
        <v>0</v>
      </c>
      <c r="BF34" s="71">
        <f t="shared" si="1"/>
        <v>-7</v>
      </c>
      <c r="BG34" s="70">
        <f t="shared" si="1"/>
        <v>11</v>
      </c>
      <c r="BH34" s="71">
        <f t="shared" si="1"/>
        <v>-7</v>
      </c>
      <c r="BI34" s="71">
        <f t="shared" si="1"/>
        <v>-1</v>
      </c>
      <c r="BJ34" s="71">
        <f t="shared" si="1"/>
        <v>-3</v>
      </c>
      <c r="BK34" s="71"/>
      <c r="BL34" s="71"/>
      <c r="BM34" s="71">
        <f>BM32-BM33</f>
        <v>-8</v>
      </c>
      <c r="BN34" s="71">
        <f>BN32-BN33</f>
        <v>-7</v>
      </c>
      <c r="BO34" s="70">
        <f>BO32-BO33</f>
        <v>1</v>
      </c>
      <c r="BP34" s="71">
        <f>BP32-BP33</f>
        <v>-6</v>
      </c>
      <c r="BQ34" s="71">
        <f>BQ32-BQ33</f>
        <v>-5</v>
      </c>
      <c r="BR34" s="71"/>
      <c r="BS34" s="71"/>
      <c r="BT34" s="71">
        <f>BT32-BT33</f>
        <v>-4</v>
      </c>
      <c r="BU34" s="71">
        <f>BU32-BU33</f>
        <v>-7</v>
      </c>
      <c r="BV34" s="71">
        <f>BV32-BV33</f>
        <v>-9</v>
      </c>
      <c r="BW34" s="70">
        <f>BW32-BW33</f>
        <v>3</v>
      </c>
      <c r="BX34" s="71">
        <f>BX32-BX33</f>
        <v>0</v>
      </c>
      <c r="BY34" s="71"/>
      <c r="BZ34" s="71"/>
      <c r="CA34" s="71">
        <f>CA32-CA33</f>
        <v>-14</v>
      </c>
      <c r="CB34" s="70">
        <f>CB32-CB33</f>
        <v>12</v>
      </c>
      <c r="CC34" s="71">
        <f>CC32-CC33</f>
        <v>-1</v>
      </c>
      <c r="CD34" s="70">
        <f>CD32-CD33</f>
        <v>2</v>
      </c>
      <c r="CE34" s="71">
        <f>CE32-CE33</f>
        <v>-4</v>
      </c>
      <c r="CF34" s="71"/>
      <c r="CG34" s="71"/>
      <c r="CH34" s="71">
        <f t="shared" ref="CH34:CS34" si="2">CH32-CH33</f>
        <v>-34</v>
      </c>
      <c r="CI34" s="71">
        <f t="shared" si="2"/>
        <v>-9</v>
      </c>
      <c r="CJ34" s="71">
        <f t="shared" si="2"/>
        <v>-5</v>
      </c>
      <c r="CK34" s="70">
        <f t="shared" si="2"/>
        <v>3</v>
      </c>
      <c r="CL34" s="71">
        <f t="shared" si="2"/>
        <v>-13</v>
      </c>
      <c r="CM34" s="71">
        <f t="shared" si="2"/>
        <v>0</v>
      </c>
      <c r="CN34" s="71">
        <f t="shared" si="2"/>
        <v>0</v>
      </c>
      <c r="CO34" s="71">
        <f t="shared" si="2"/>
        <v>-2</v>
      </c>
      <c r="CP34" s="71">
        <f t="shared" si="2"/>
        <v>-35</v>
      </c>
      <c r="CQ34" s="71">
        <f t="shared" si="2"/>
        <v>-63</v>
      </c>
      <c r="CR34" s="70">
        <f t="shared" si="2"/>
        <v>2</v>
      </c>
      <c r="CS34" s="70">
        <f t="shared" si="2"/>
        <v>3</v>
      </c>
      <c r="CT34" s="193"/>
      <c r="CU34" s="193"/>
      <c r="CV34" s="71">
        <f>CV32-CV33</f>
        <v>-13</v>
      </c>
      <c r="CW34" s="70">
        <f>CW32-CW33</f>
        <v>9</v>
      </c>
      <c r="CX34" s="70">
        <f>CX32-CX33</f>
        <v>4</v>
      </c>
      <c r="CY34" s="71">
        <f>CY32-CY33</f>
        <v>0</v>
      </c>
      <c r="CZ34" s="71">
        <f>CZ32-CZ33</f>
        <v>27</v>
      </c>
      <c r="DA34" s="77"/>
      <c r="DB34" s="77"/>
      <c r="DC34" s="71">
        <f>DC32-DC33</f>
        <v>-3</v>
      </c>
      <c r="DD34" s="70">
        <f>DD32-DD33</f>
        <v>3</v>
      </c>
      <c r="DE34" s="71">
        <f>DE32-DE33</f>
        <v>-11</v>
      </c>
      <c r="DF34" s="75">
        <f>DF32-DF33</f>
        <v>-2</v>
      </c>
      <c r="DG34" s="1"/>
      <c r="DJ34" s="1"/>
      <c r="DK34" s="75">
        <f>DK32-DK33</f>
        <v>-41</v>
      </c>
      <c r="DL34" s="75">
        <f>DL32-DL33</f>
        <v>-13</v>
      </c>
      <c r="DM34" s="75">
        <f>DM32-DM33</f>
        <v>-4</v>
      </c>
      <c r="DN34" s="75">
        <f>DN32-DN33</f>
        <v>-4</v>
      </c>
      <c r="DO34" s="159"/>
      <c r="DP34" s="159"/>
      <c r="DQ34" s="70">
        <f>DQ32-DQ33</f>
        <v>4</v>
      </c>
      <c r="DR34" s="75">
        <f>DR32-DR33</f>
        <v>-2</v>
      </c>
      <c r="DS34" s="75">
        <f>DS32-DS33</f>
        <v>-12</v>
      </c>
      <c r="DT34" s="75">
        <f>DT32-DT33</f>
        <v>-3</v>
      </c>
      <c r="DU34" s="75">
        <f>DU32-DU33</f>
        <v>-11</v>
      </c>
      <c r="DY34" s="70">
        <f>DY32-DY33</f>
        <v>3</v>
      </c>
      <c r="DZ34" s="75">
        <f>DZ32-DZ33</f>
        <v>-9</v>
      </c>
      <c r="EA34" s="70">
        <f>EA32-EA33</f>
        <v>2</v>
      </c>
      <c r="EB34" s="75">
        <f>EB32-EB33</f>
        <v>-3</v>
      </c>
      <c r="EE34" s="75">
        <f>EE32-EE33</f>
        <v>-16</v>
      </c>
      <c r="EF34" s="70">
        <f>EF32-EF33</f>
        <v>10</v>
      </c>
      <c r="EG34" s="75">
        <f>EG32-EG33</f>
        <v>-9</v>
      </c>
      <c r="EH34" s="75">
        <f>EH32-EH33</f>
        <v>-9</v>
      </c>
      <c r="EI34" s="75">
        <f>EI32-EI33</f>
        <v>-3</v>
      </c>
      <c r="EL34" s="75">
        <f>EL32-EL33</f>
        <v>0</v>
      </c>
      <c r="EM34" s="75">
        <f>EM32-EM33</f>
        <v>-4</v>
      </c>
      <c r="EN34" s="70">
        <f>EN32-EN33</f>
        <v>9</v>
      </c>
      <c r="EO34" s="70">
        <f>EO32-EO33</f>
        <v>5</v>
      </c>
      <c r="EP34" s="75">
        <f>EP32-EP33</f>
        <v>-6</v>
      </c>
      <c r="ET34" s="75">
        <f>ET32-ET33</f>
        <v>-15</v>
      </c>
      <c r="EU34" s="70">
        <f t="shared" ref="EU34:EW34" si="3">EU32-EU33</f>
        <v>5</v>
      </c>
      <c r="EV34" s="75">
        <f t="shared" si="3"/>
        <v>-3</v>
      </c>
      <c r="EW34" s="75">
        <f t="shared" si="3"/>
        <v>-2</v>
      </c>
      <c r="EZ34" s="75">
        <f>EZ32-EZ33</f>
        <v>-6</v>
      </c>
      <c r="FA34" s="70">
        <f t="shared" ref="FA34:FC34" si="4">FA32-FA33</f>
        <v>0</v>
      </c>
      <c r="FB34" s="75">
        <f t="shared" si="4"/>
        <v>-2</v>
      </c>
      <c r="FC34" s="75">
        <f t="shared" si="4"/>
        <v>-15</v>
      </c>
      <c r="FD34" s="75">
        <f t="shared" ref="FD34" si="5">FD32-FD33</f>
        <v>-2</v>
      </c>
      <c r="FG34" s="75">
        <f>FG32-FG33</f>
        <v>-2</v>
      </c>
      <c r="FH34" s="70">
        <f t="shared" ref="FH34:FJ34" si="6">FH32-FH33</f>
        <v>-4</v>
      </c>
      <c r="FI34" s="75">
        <f t="shared" si="6"/>
        <v>10</v>
      </c>
      <c r="FJ34" s="75">
        <f t="shared" si="6"/>
        <v>1</v>
      </c>
      <c r="FK34" s="75">
        <f t="shared" ref="FK34" si="7">FK32-FK33</f>
        <v>-3</v>
      </c>
      <c r="FN34" s="75">
        <f>FN32-FN33</f>
        <v>-10</v>
      </c>
      <c r="FO34" s="70">
        <f t="shared" ref="FO34:FR34" si="8">FO32-FO33</f>
        <v>1</v>
      </c>
      <c r="FP34" s="75">
        <f t="shared" si="8"/>
        <v>11</v>
      </c>
      <c r="FQ34" s="75">
        <f t="shared" si="8"/>
        <v>8</v>
      </c>
      <c r="FR34" s="75">
        <f t="shared" si="8"/>
        <v>5</v>
      </c>
      <c r="FU34" s="75">
        <f>FU32-FU33</f>
        <v>-23</v>
      </c>
      <c r="FV34" s="70">
        <f t="shared" ref="FV34:FY34" si="9">FV32-FV33</f>
        <v>10</v>
      </c>
      <c r="FW34" s="75">
        <f t="shared" si="9"/>
        <v>1</v>
      </c>
      <c r="FX34" s="75">
        <f t="shared" si="9"/>
        <v>5</v>
      </c>
      <c r="FY34" s="75">
        <f t="shared" si="9"/>
        <v>4</v>
      </c>
      <c r="GB34" s="75">
        <f>GB32-GB33</f>
        <v>3</v>
      </c>
      <c r="GC34" s="70">
        <f t="shared" ref="GC34:GF34" si="10">GC32-GC33</f>
        <v>-2</v>
      </c>
      <c r="GD34" s="75">
        <f t="shared" si="10"/>
        <v>-1</v>
      </c>
      <c r="GE34" s="75">
        <f t="shared" si="10"/>
        <v>6</v>
      </c>
      <c r="GF34" s="75">
        <f t="shared" si="10"/>
        <v>1</v>
      </c>
      <c r="GI34" s="75">
        <f>GI32-GI33</f>
        <v>-6</v>
      </c>
      <c r="GJ34" s="70">
        <f t="shared" ref="GJ34:GM34" si="11">GJ32-GJ33</f>
        <v>-5</v>
      </c>
      <c r="GK34" s="75">
        <f t="shared" si="11"/>
        <v>-18</v>
      </c>
      <c r="GL34" s="75">
        <f t="shared" si="11"/>
        <v>-3</v>
      </c>
      <c r="GM34" s="75">
        <f t="shared" si="11"/>
        <v>-9</v>
      </c>
      <c r="GP34" s="75">
        <f>GP32-GP33</f>
        <v>-1</v>
      </c>
      <c r="GQ34" s="70">
        <f t="shared" ref="GQ34:GT34" si="12">GQ32-GQ33</f>
        <v>1</v>
      </c>
      <c r="GR34" s="75">
        <f t="shared" si="12"/>
        <v>5</v>
      </c>
      <c r="GS34" s="75">
        <f t="shared" si="12"/>
        <v>12</v>
      </c>
      <c r="GT34" s="75">
        <f t="shared" si="12"/>
        <v>-16</v>
      </c>
      <c r="GW34" s="75">
        <f>GW32-GW33</f>
        <v>-8</v>
      </c>
      <c r="GX34" s="70">
        <f t="shared" ref="GX34:HA34" si="13">GX32-GX33</f>
        <v>-11</v>
      </c>
      <c r="GY34" s="75">
        <f t="shared" si="13"/>
        <v>1</v>
      </c>
      <c r="GZ34" s="75">
        <f t="shared" si="13"/>
        <v>4</v>
      </c>
      <c r="HA34" s="75">
        <f t="shared" si="13"/>
        <v>-2</v>
      </c>
      <c r="HD34" s="75">
        <f>HD32-HD33</f>
        <v>-1</v>
      </c>
      <c r="HE34" s="70">
        <f t="shared" ref="HE34:HH34" si="14">HE32-HE33</f>
        <v>-4</v>
      </c>
      <c r="HF34" s="75">
        <f t="shared" si="14"/>
        <v>5</v>
      </c>
      <c r="HG34" s="75">
        <f t="shared" si="14"/>
        <v>1</v>
      </c>
      <c r="HH34" s="75">
        <f t="shared" si="14"/>
        <v>-8</v>
      </c>
      <c r="HK34" s="75">
        <f>HK32-HK33</f>
        <v>-10</v>
      </c>
      <c r="HL34" s="70">
        <f t="shared" ref="HL34:HO34" si="15">HL32-HL33</f>
        <v>-15</v>
      </c>
      <c r="HM34" s="75">
        <f t="shared" si="15"/>
        <v>3</v>
      </c>
      <c r="HN34" s="75">
        <f t="shared" si="15"/>
        <v>0</v>
      </c>
      <c r="HO34" s="75">
        <f t="shared" si="15"/>
        <v>8</v>
      </c>
      <c r="HR34" s="75">
        <f>HR32-HR33</f>
        <v>-11</v>
      </c>
      <c r="HS34" s="70">
        <f t="shared" ref="HS34:HV34" si="16">HS32-HS33</f>
        <v>-6</v>
      </c>
      <c r="HT34" s="75">
        <f t="shared" si="16"/>
        <v>4</v>
      </c>
      <c r="HU34" s="75">
        <f t="shared" si="16"/>
        <v>-5</v>
      </c>
      <c r="HV34" s="75">
        <f t="shared" si="16"/>
        <v>-1</v>
      </c>
      <c r="HY34" s="75">
        <f>HY32-HY33</f>
        <v>3</v>
      </c>
      <c r="HZ34" s="70">
        <f t="shared" ref="HZ34:IC34" si="17">HZ32-HZ33</f>
        <v>-3</v>
      </c>
      <c r="IA34" s="75">
        <f t="shared" si="17"/>
        <v>4</v>
      </c>
      <c r="IB34" s="75">
        <f t="shared" si="17"/>
        <v>-7</v>
      </c>
      <c r="IC34" s="75">
        <f t="shared" si="17"/>
        <v>5</v>
      </c>
      <c r="IF34" s="199"/>
      <c r="IG34" s="75">
        <f>IG32-IG33</f>
        <v>-19</v>
      </c>
      <c r="IH34" s="70">
        <f t="shared" ref="IH34:IJ34" si="18">IH32-IH33</f>
        <v>7</v>
      </c>
      <c r="II34" s="75">
        <f t="shared" si="18"/>
        <v>1</v>
      </c>
      <c r="IJ34" s="75">
        <f t="shared" si="18"/>
        <v>3</v>
      </c>
      <c r="IM34" s="75">
        <f>IM32-IM33</f>
        <v>18</v>
      </c>
      <c r="IN34" s="70">
        <f t="shared" ref="IN34:IQ34" si="19">IN32-IN33</f>
        <v>24</v>
      </c>
      <c r="IO34" s="75">
        <f t="shared" si="19"/>
        <v>10</v>
      </c>
      <c r="IP34" s="75">
        <f t="shared" si="19"/>
        <v>1</v>
      </c>
      <c r="IQ34" s="75">
        <f t="shared" si="19"/>
        <v>-33</v>
      </c>
      <c r="IT34" s="75">
        <f>IT32-IT33</f>
        <v>-10</v>
      </c>
      <c r="IU34" s="70">
        <f t="shared" ref="IU34:IX34" si="20">IU32-IU33</f>
        <v>-4</v>
      </c>
      <c r="IV34" s="75">
        <f t="shared" si="20"/>
        <v>-15</v>
      </c>
      <c r="IW34" s="75">
        <f t="shared" si="20"/>
        <v>11</v>
      </c>
      <c r="IX34" s="75">
        <f t="shared" si="20"/>
        <v>-21</v>
      </c>
      <c r="JA34" s="75">
        <f>JA32-JA33</f>
        <v>-8</v>
      </c>
      <c r="JB34" s="70">
        <f t="shared" ref="JB34:JE34" si="21">JB32-JB33</f>
        <v>-9</v>
      </c>
      <c r="JC34" s="75">
        <f t="shared" si="21"/>
        <v>1</v>
      </c>
      <c r="JD34" s="75">
        <f t="shared" si="21"/>
        <v>0</v>
      </c>
      <c r="JE34" s="75">
        <f t="shared" si="21"/>
        <v>-8</v>
      </c>
      <c r="JH34" s="75">
        <f>JH32-JH33</f>
        <v>8</v>
      </c>
      <c r="JI34" s="70">
        <f t="shared" ref="JI34:JL34" si="22">JI32-JI33</f>
        <v>15</v>
      </c>
      <c r="JJ34" s="75">
        <f t="shared" si="22"/>
        <v>9</v>
      </c>
      <c r="JK34" s="75">
        <f t="shared" si="22"/>
        <v>-12</v>
      </c>
      <c r="JL34" s="75">
        <f t="shared" si="22"/>
        <v>-7</v>
      </c>
      <c r="JO34" s="75">
        <f>JO32-JO33</f>
        <v>3</v>
      </c>
      <c r="JP34" s="70">
        <f t="shared" ref="JP34:JS34" si="23">JP32-JP33</f>
        <v>21</v>
      </c>
      <c r="JQ34" s="75">
        <f t="shared" si="23"/>
        <v>7</v>
      </c>
      <c r="JR34" s="75">
        <f t="shared" si="23"/>
        <v>-9</v>
      </c>
      <c r="JS34" s="75">
        <f t="shared" si="23"/>
        <v>-22</v>
      </c>
      <c r="JV34" s="75">
        <f>JV32-JV33</f>
        <v>-23</v>
      </c>
      <c r="JW34" s="70">
        <f t="shared" ref="JW34:JZ34" si="24">JW32-JW33</f>
        <v>1</v>
      </c>
      <c r="JX34" s="75">
        <f t="shared" si="24"/>
        <v>3</v>
      </c>
      <c r="JY34" s="75">
        <f t="shared" si="24"/>
        <v>15</v>
      </c>
      <c r="JZ34" s="75">
        <f t="shared" si="24"/>
        <v>-6</v>
      </c>
      <c r="KC34" s="75">
        <f>KC32-KC33</f>
        <v>-29</v>
      </c>
      <c r="KD34" s="70">
        <f t="shared" ref="KD34:KG34" si="25">KD32-KD33</f>
        <v>-4</v>
      </c>
      <c r="KE34" s="75">
        <f t="shared" si="25"/>
        <v>9</v>
      </c>
      <c r="KF34" s="75">
        <f t="shared" si="25"/>
        <v>-10</v>
      </c>
      <c r="KG34" s="75">
        <f t="shared" si="25"/>
        <v>-12</v>
      </c>
      <c r="KJ34" s="75">
        <f>KJ32-KJ33</f>
        <v>-5</v>
      </c>
      <c r="KK34" s="70">
        <f t="shared" ref="KK34:KN34" si="26">KK32-KK33</f>
        <v>5</v>
      </c>
      <c r="KL34" s="75">
        <f t="shared" si="26"/>
        <v>-4</v>
      </c>
      <c r="KM34" s="75">
        <f t="shared" si="26"/>
        <v>-13</v>
      </c>
      <c r="KN34" s="75">
        <f t="shared" si="26"/>
        <v>-3</v>
      </c>
      <c r="KQ34" s="75">
        <f>KQ32-KQ33</f>
        <v>-18</v>
      </c>
      <c r="KR34" s="70">
        <f t="shared" ref="KR34:KU34" si="27">KR32-KR33</f>
        <v>7</v>
      </c>
      <c r="KS34" s="75">
        <f t="shared" si="27"/>
        <v>0</v>
      </c>
      <c r="KT34" s="75">
        <f t="shared" si="27"/>
        <v>-8</v>
      </c>
      <c r="KU34" s="75">
        <f t="shared" si="27"/>
        <v>-13</v>
      </c>
      <c r="KX34" s="75">
        <f>KX32-KX33</f>
        <v>-9</v>
      </c>
      <c r="KY34" s="70">
        <f t="shared" ref="KY34:LB34" si="28">KY32-KY33</f>
        <v>-2</v>
      </c>
      <c r="KZ34" s="75">
        <f t="shared" si="28"/>
        <v>-2</v>
      </c>
      <c r="LA34" s="75">
        <f t="shared" si="28"/>
        <v>4</v>
      </c>
      <c r="LB34" s="75">
        <f t="shared" si="28"/>
        <v>-11</v>
      </c>
      <c r="LE34" s="75">
        <f>LE32-LE33</f>
        <v>-8</v>
      </c>
      <c r="LF34" s="70">
        <f t="shared" ref="LF34:LI34" si="29">LF32-LF33</f>
        <v>2</v>
      </c>
      <c r="LG34" s="75">
        <f t="shared" si="29"/>
        <v>3</v>
      </c>
      <c r="LH34" s="75">
        <f t="shared" si="29"/>
        <v>-8</v>
      </c>
      <c r="LI34" s="75">
        <f t="shared" si="29"/>
        <v>0</v>
      </c>
      <c r="LL34" s="75">
        <f>LL32-LL33</f>
        <v>-8</v>
      </c>
      <c r="LM34" s="70">
        <f t="shared" ref="LM34:LP34" si="30">LM32-LM33</f>
        <v>10</v>
      </c>
      <c r="LN34" s="75">
        <f t="shared" si="30"/>
        <v>36</v>
      </c>
      <c r="LO34" s="75">
        <f t="shared" si="30"/>
        <v>34</v>
      </c>
      <c r="LP34" s="75">
        <f t="shared" si="30"/>
        <v>-1</v>
      </c>
      <c r="LS34" s="75">
        <f>LS32-LS33</f>
        <v>7</v>
      </c>
      <c r="LT34" s="70">
        <f t="shared" ref="LT34:LW34" si="31">LT32-LT33</f>
        <v>-16</v>
      </c>
      <c r="LU34" s="75">
        <f t="shared" si="31"/>
        <v>34</v>
      </c>
      <c r="LV34" s="75">
        <f t="shared" si="31"/>
        <v>-12</v>
      </c>
      <c r="LW34" s="75">
        <f t="shared" si="31"/>
        <v>2</v>
      </c>
      <c r="LZ34" s="75">
        <f>LZ32-LZ33</f>
        <v>-18</v>
      </c>
      <c r="MA34" s="70">
        <f t="shared" ref="MA34:MD34" si="32">MA32-MA33</f>
        <v>3</v>
      </c>
      <c r="MB34" s="75">
        <f t="shared" si="32"/>
        <v>-4</v>
      </c>
      <c r="MC34" s="75">
        <f t="shared" si="32"/>
        <v>0</v>
      </c>
      <c r="MD34" s="75">
        <f t="shared" si="32"/>
        <v>0</v>
      </c>
      <c r="MG34" s="75">
        <f>MG32-MG33</f>
        <v>-6</v>
      </c>
      <c r="MH34" s="70">
        <f t="shared" ref="MH34:MK34" si="33">MH32-MH33</f>
        <v>-5</v>
      </c>
      <c r="MI34" s="75">
        <f t="shared" si="33"/>
        <v>10</v>
      </c>
      <c r="MJ34" s="75">
        <f t="shared" si="33"/>
        <v>2</v>
      </c>
      <c r="MK34" s="75">
        <f t="shared" si="33"/>
        <v>-5</v>
      </c>
      <c r="MN34" s="75">
        <f>MN32-MN33</f>
        <v>-3</v>
      </c>
      <c r="MO34" s="70">
        <f t="shared" ref="MO34:MR34" si="34">MO32-MO33</f>
        <v>-12</v>
      </c>
      <c r="MP34" s="75">
        <f t="shared" si="34"/>
        <v>1</v>
      </c>
      <c r="MQ34" s="75">
        <f t="shared" si="34"/>
        <v>-1</v>
      </c>
      <c r="MR34" s="75">
        <f t="shared" si="34"/>
        <v>-24</v>
      </c>
      <c r="MU34" s="75">
        <f>MU32-MU33</f>
        <v>1</v>
      </c>
      <c r="MV34" s="70">
        <f t="shared" ref="MV34:MW34" si="35">MV32-MV33</f>
        <v>-2</v>
      </c>
      <c r="MW34" s="75">
        <f t="shared" si="35"/>
        <v>0</v>
      </c>
      <c r="NB34" s="75">
        <f>NB32-NB33</f>
        <v>-24</v>
      </c>
      <c r="NC34" s="70">
        <f t="shared" ref="NC34:ND34" si="36">NC32-NC33</f>
        <v>4</v>
      </c>
      <c r="ND34" s="75">
        <f t="shared" si="36"/>
        <v>-1</v>
      </c>
      <c r="NF34" s="75">
        <f t="shared" ref="NF34" si="37">NF32-NF33</f>
        <v>-6</v>
      </c>
    </row>
    <row r="35" spans="1:370">
      <c r="A35" s="30"/>
      <c r="B35" s="24" t="s">
        <v>15</v>
      </c>
      <c r="C35" s="24"/>
      <c r="D35" s="60"/>
      <c r="E35" s="60">
        <f>1/4</f>
        <v>0.25</v>
      </c>
      <c r="F35" s="60">
        <f>1/4</f>
        <v>0.25</v>
      </c>
      <c r="G35" s="60"/>
      <c r="H35" s="60"/>
      <c r="I35" s="60">
        <f>4/4</f>
        <v>1</v>
      </c>
      <c r="J35" s="60">
        <f>4/4</f>
        <v>1</v>
      </c>
      <c r="K35" s="60">
        <f t="shared" ref="K35:M35" si="38">4/4</f>
        <v>1</v>
      </c>
      <c r="L35" s="60">
        <f t="shared" si="38"/>
        <v>1</v>
      </c>
      <c r="M35" s="60">
        <f t="shared" si="38"/>
        <v>1</v>
      </c>
      <c r="N35" s="60"/>
      <c r="O35" s="60"/>
      <c r="P35" s="60">
        <f>4/4</f>
        <v>1</v>
      </c>
      <c r="Q35" s="60">
        <f>4/4</f>
        <v>1</v>
      </c>
      <c r="R35" s="60">
        <f t="shared" ref="R35:T35" si="39">4/4</f>
        <v>1</v>
      </c>
      <c r="S35" s="60">
        <f t="shared" si="39"/>
        <v>1</v>
      </c>
      <c r="T35" s="60">
        <f t="shared" si="39"/>
        <v>1</v>
      </c>
      <c r="U35" s="60"/>
      <c r="V35" s="60"/>
      <c r="W35" s="60">
        <f>4/4</f>
        <v>1</v>
      </c>
      <c r="X35" s="60">
        <f t="shared" ref="X35:AA35" si="40">4/4</f>
        <v>1</v>
      </c>
      <c r="Y35" s="60">
        <f t="shared" si="40"/>
        <v>1</v>
      </c>
      <c r="Z35" s="60">
        <f>3/4</f>
        <v>0.75</v>
      </c>
      <c r="AA35" s="60">
        <f t="shared" si="40"/>
        <v>1</v>
      </c>
      <c r="AB35" s="60"/>
      <c r="AC35" s="60"/>
      <c r="AD35" s="60">
        <f>4/4</f>
        <v>1</v>
      </c>
      <c r="AE35" s="60">
        <f t="shared" ref="AE35:AY35" si="41">4/4</f>
        <v>1</v>
      </c>
      <c r="AF35" s="60">
        <f t="shared" si="41"/>
        <v>1</v>
      </c>
      <c r="AG35" s="60">
        <f>3/4</f>
        <v>0.75</v>
      </c>
      <c r="AH35" s="60">
        <f t="shared" si="41"/>
        <v>1</v>
      </c>
      <c r="AI35" s="60"/>
      <c r="AJ35" s="60"/>
      <c r="AK35" s="60">
        <f t="shared" si="41"/>
        <v>1</v>
      </c>
      <c r="AL35" s="60">
        <f t="shared" si="41"/>
        <v>1</v>
      </c>
      <c r="AM35" s="60">
        <f t="shared" si="41"/>
        <v>1</v>
      </c>
      <c r="AN35" s="60">
        <f t="shared" si="41"/>
        <v>1</v>
      </c>
      <c r="AO35" s="60">
        <f t="shared" si="41"/>
        <v>1</v>
      </c>
      <c r="AP35" s="60"/>
      <c r="AQ35" s="60"/>
      <c r="AR35" s="60">
        <f t="shared" si="41"/>
        <v>1</v>
      </c>
      <c r="AS35" s="60">
        <f t="shared" si="41"/>
        <v>1</v>
      </c>
      <c r="AT35" s="60">
        <f t="shared" si="41"/>
        <v>1</v>
      </c>
      <c r="AU35" s="60">
        <f t="shared" si="41"/>
        <v>1</v>
      </c>
      <c r="AV35" s="60">
        <f t="shared" si="41"/>
        <v>1</v>
      </c>
      <c r="AW35" s="60"/>
      <c r="AX35" s="60"/>
      <c r="AY35" s="60">
        <f t="shared" si="41"/>
        <v>1</v>
      </c>
      <c r="AZ35" s="60">
        <f>3/4</f>
        <v>0.75</v>
      </c>
      <c r="BA35" s="60">
        <f t="shared" ref="BA35:BB35" si="42">3/4</f>
        <v>0.75</v>
      </c>
      <c r="BB35" s="60">
        <f t="shared" si="42"/>
        <v>0.75</v>
      </c>
      <c r="BC35" s="60">
        <f>2/4</f>
        <v>0.5</v>
      </c>
      <c r="BD35" s="60"/>
      <c r="BE35" s="60"/>
      <c r="BF35" s="60">
        <f>2/5</f>
        <v>0.4</v>
      </c>
      <c r="BG35" s="60">
        <f>2/5</f>
        <v>0.4</v>
      </c>
      <c r="BH35" s="60">
        <f>3/5</f>
        <v>0.6</v>
      </c>
      <c r="BI35" s="60">
        <f>3/5</f>
        <v>0.6</v>
      </c>
      <c r="BJ35" s="60">
        <f>2/4</f>
        <v>0.5</v>
      </c>
      <c r="BK35" s="30"/>
      <c r="BL35" s="30"/>
      <c r="BM35" s="60">
        <f>3/4</f>
        <v>0.75</v>
      </c>
      <c r="BN35" s="60">
        <f>3/4</f>
        <v>0.75</v>
      </c>
      <c r="BO35" s="60">
        <f t="shared" ref="BO35:BQ35" si="43">3/4</f>
        <v>0.75</v>
      </c>
      <c r="BP35" s="60">
        <f>3/4</f>
        <v>0.75</v>
      </c>
      <c r="BQ35" s="60">
        <f t="shared" si="43"/>
        <v>0.75</v>
      </c>
      <c r="BT35" s="60">
        <f>3/4</f>
        <v>0.75</v>
      </c>
      <c r="BU35" s="60">
        <f t="shared" ref="BU35:BX35" si="44">3/4</f>
        <v>0.75</v>
      </c>
      <c r="BV35" s="60">
        <f t="shared" si="44"/>
        <v>0.75</v>
      </c>
      <c r="BW35" s="60">
        <f t="shared" si="44"/>
        <v>0.75</v>
      </c>
      <c r="BX35" s="60">
        <f t="shared" si="44"/>
        <v>0.75</v>
      </c>
      <c r="CA35" s="60">
        <f>3/4</f>
        <v>0.75</v>
      </c>
      <c r="CB35" s="60">
        <f t="shared" ref="CB35:CC35" si="45">3/4</f>
        <v>0.75</v>
      </c>
      <c r="CC35" s="60">
        <f t="shared" si="45"/>
        <v>0.75</v>
      </c>
      <c r="CD35" s="60">
        <f>2/4</f>
        <v>0.5</v>
      </c>
      <c r="CE35" s="60">
        <f>2/4</f>
        <v>0.5</v>
      </c>
      <c r="CH35" s="60">
        <f>3/4</f>
        <v>0.75</v>
      </c>
      <c r="CI35" s="60">
        <f t="shared" ref="CI35:CJ35" si="46">3/4</f>
        <v>0.75</v>
      </c>
      <c r="CJ35" s="60">
        <f t="shared" si="46"/>
        <v>0.75</v>
      </c>
      <c r="CK35" s="60">
        <f>2/4</f>
        <v>0.5</v>
      </c>
      <c r="CL35" s="60">
        <f>2/4</f>
        <v>0.5</v>
      </c>
      <c r="CM35" s="60"/>
      <c r="CN35" s="60"/>
      <c r="CO35" s="60">
        <f>3/4</f>
        <v>0.75</v>
      </c>
      <c r="CP35" s="60">
        <f>3/4</f>
        <v>0.75</v>
      </c>
      <c r="CQ35" s="60">
        <f>3/4</f>
        <v>0.75</v>
      </c>
      <c r="CR35" s="60">
        <f t="shared" ref="CR35:CS35" si="47">3/4</f>
        <v>0.75</v>
      </c>
      <c r="CS35" s="60">
        <f t="shared" si="47"/>
        <v>0.75</v>
      </c>
      <c r="CT35" s="194"/>
      <c r="CU35" s="196"/>
      <c r="CV35" s="60">
        <f>2/4</f>
        <v>0.5</v>
      </c>
      <c r="CW35" s="60">
        <f>2/4</f>
        <v>0.5</v>
      </c>
      <c r="CX35" s="60">
        <f t="shared" ref="CX35:CY35" si="48">2/4</f>
        <v>0.5</v>
      </c>
      <c r="CY35" s="60">
        <f t="shared" si="48"/>
        <v>0.5</v>
      </c>
      <c r="CZ35" s="60">
        <f>2/4</f>
        <v>0.5</v>
      </c>
      <c r="DA35" s="159"/>
      <c r="DB35" s="159"/>
      <c r="DC35" s="60">
        <f>3/4</f>
        <v>0.75</v>
      </c>
      <c r="DD35" s="60">
        <f>3/4</f>
        <v>0.75</v>
      </c>
      <c r="DE35" s="60">
        <f>3/4</f>
        <v>0.75</v>
      </c>
      <c r="DF35" s="60">
        <f>2/4</f>
        <v>0.5</v>
      </c>
      <c r="DH35" s="159"/>
      <c r="DI35" s="159"/>
      <c r="DK35" s="60">
        <f>1/4</f>
        <v>0.25</v>
      </c>
      <c r="DL35" s="60">
        <f>2/4</f>
        <v>0.5</v>
      </c>
      <c r="DM35" s="60">
        <f>2/4</f>
        <v>0.5</v>
      </c>
      <c r="DN35" s="60">
        <f>2/4</f>
        <v>0.5</v>
      </c>
      <c r="DO35" s="159"/>
      <c r="DP35" s="159"/>
      <c r="DQ35" s="60">
        <f>3/4</f>
        <v>0.75</v>
      </c>
      <c r="DR35" s="60">
        <f>3/4</f>
        <v>0.75</v>
      </c>
      <c r="DS35" s="60">
        <f t="shared" ref="DS35" si="49">3/4</f>
        <v>0.75</v>
      </c>
      <c r="DT35" s="60">
        <f>4/5</f>
        <v>0.8</v>
      </c>
      <c r="DU35" s="60">
        <f>4/5</f>
        <v>0.8</v>
      </c>
      <c r="DY35" s="60">
        <f>4/5</f>
        <v>0.8</v>
      </c>
      <c r="DZ35" s="60">
        <f t="shared" ref="DZ35:EA35" si="50">4/5</f>
        <v>0.8</v>
      </c>
      <c r="EA35" s="60">
        <f t="shared" si="50"/>
        <v>0.8</v>
      </c>
      <c r="EB35" s="60">
        <f>4/5</f>
        <v>0.8</v>
      </c>
      <c r="EE35" s="60">
        <f>4/5</f>
        <v>0.8</v>
      </c>
      <c r="EF35" s="60">
        <f t="shared" ref="EF35:EI35" si="51">4/5</f>
        <v>0.8</v>
      </c>
      <c r="EG35" s="60">
        <f t="shared" si="51"/>
        <v>0.8</v>
      </c>
      <c r="EH35" s="60">
        <f t="shared" si="51"/>
        <v>0.8</v>
      </c>
      <c r="EI35" s="60">
        <f t="shared" si="51"/>
        <v>0.8</v>
      </c>
      <c r="EL35" s="60">
        <f>4/5</f>
        <v>0.8</v>
      </c>
      <c r="EM35" s="60">
        <f t="shared" ref="EM35:EO35" si="52">4/5</f>
        <v>0.8</v>
      </c>
      <c r="EN35" s="60">
        <f t="shared" si="52"/>
        <v>0.8</v>
      </c>
      <c r="EO35" s="60">
        <f t="shared" si="52"/>
        <v>0.8</v>
      </c>
      <c r="EP35" s="60">
        <f>4/5</f>
        <v>0.8</v>
      </c>
      <c r="ET35" s="60">
        <f>4/5</f>
        <v>0.8</v>
      </c>
      <c r="EU35" s="60">
        <f t="shared" ref="EU35:EW35" si="53">4/5</f>
        <v>0.8</v>
      </c>
      <c r="EV35" s="60">
        <f t="shared" si="53"/>
        <v>0.8</v>
      </c>
      <c r="EW35" s="60">
        <f t="shared" si="53"/>
        <v>0.8</v>
      </c>
      <c r="EZ35" s="60">
        <f>3/4</f>
        <v>0.75</v>
      </c>
      <c r="FA35" s="60">
        <f>3/4</f>
        <v>0.75</v>
      </c>
      <c r="FB35" s="60">
        <f>4/4</f>
        <v>1</v>
      </c>
      <c r="FC35" s="60">
        <f>0/4</f>
        <v>0</v>
      </c>
      <c r="FD35" s="60">
        <f>2/4</f>
        <v>0.5</v>
      </c>
      <c r="FG35" s="60">
        <f>3/4</f>
        <v>0.75</v>
      </c>
      <c r="FH35" s="60">
        <f>3/4</f>
        <v>0.75</v>
      </c>
      <c r="FI35" s="60">
        <f>4/4</f>
        <v>1</v>
      </c>
      <c r="FJ35" s="60">
        <f>4/4</f>
        <v>1</v>
      </c>
      <c r="FK35" s="60">
        <f>4/4</f>
        <v>1</v>
      </c>
      <c r="FN35" s="60">
        <f>3/4</f>
        <v>0.75</v>
      </c>
      <c r="FO35" s="60">
        <f>4/4</f>
        <v>1</v>
      </c>
      <c r="FP35" s="60">
        <f t="shared" ref="FP35:FR35" si="54">4/4</f>
        <v>1</v>
      </c>
      <c r="FQ35" s="60">
        <f t="shared" si="54"/>
        <v>1</v>
      </c>
      <c r="FR35" s="60">
        <f t="shared" si="54"/>
        <v>1</v>
      </c>
      <c r="FU35" s="60">
        <f>4/4</f>
        <v>1</v>
      </c>
      <c r="FV35" s="60">
        <f t="shared" ref="FV35:FX35" si="55">4/4</f>
        <v>1</v>
      </c>
      <c r="FW35" s="60">
        <f t="shared" si="55"/>
        <v>1</v>
      </c>
      <c r="FX35" s="60">
        <f t="shared" si="55"/>
        <v>1</v>
      </c>
      <c r="FY35" s="60">
        <f>3/4</f>
        <v>0.75</v>
      </c>
      <c r="GB35" s="60">
        <f t="shared" ref="GB35:GE35" si="56">2/5</f>
        <v>0.4</v>
      </c>
      <c r="GC35" s="60">
        <f t="shared" si="56"/>
        <v>0.4</v>
      </c>
      <c r="GD35" s="60">
        <f t="shared" si="56"/>
        <v>0.4</v>
      </c>
      <c r="GE35" s="60">
        <f t="shared" si="56"/>
        <v>0.4</v>
      </c>
      <c r="GF35" s="60">
        <f>2/5</f>
        <v>0.4</v>
      </c>
      <c r="GI35" s="60">
        <f>2/5</f>
        <v>0.4</v>
      </c>
      <c r="GJ35" s="60">
        <f>2/5</f>
        <v>0.4</v>
      </c>
      <c r="GK35" s="60">
        <f>2/5</f>
        <v>0.4</v>
      </c>
      <c r="GL35" s="60">
        <f>3/5</f>
        <v>0.6</v>
      </c>
      <c r="GM35" s="60">
        <f>2/5</f>
        <v>0.4</v>
      </c>
      <c r="GP35" s="60">
        <f>2/5</f>
        <v>0.4</v>
      </c>
      <c r="GQ35" s="60">
        <f t="shared" ref="GQ35:GT35" si="57">3/5</f>
        <v>0.6</v>
      </c>
      <c r="GR35" s="60">
        <f t="shared" si="57"/>
        <v>0.6</v>
      </c>
      <c r="GS35" s="60">
        <f t="shared" si="57"/>
        <v>0.6</v>
      </c>
      <c r="GT35" s="60">
        <f t="shared" si="57"/>
        <v>0.6</v>
      </c>
      <c r="GW35" s="60">
        <f>2/5</f>
        <v>0.4</v>
      </c>
      <c r="GX35" s="60">
        <f>3/5</f>
        <v>0.6</v>
      </c>
      <c r="GY35" s="60">
        <f>3/5</f>
        <v>0.6</v>
      </c>
      <c r="GZ35" s="60">
        <f>3/5</f>
        <v>0.6</v>
      </c>
      <c r="HA35" s="60">
        <f>3/5</f>
        <v>0.6</v>
      </c>
      <c r="HD35" s="60">
        <f>3/5</f>
        <v>0.6</v>
      </c>
      <c r="HE35" s="60">
        <f>3/5</f>
        <v>0.6</v>
      </c>
      <c r="HF35" s="60">
        <f>2/5</f>
        <v>0.4</v>
      </c>
      <c r="HG35" s="60">
        <f>2/5</f>
        <v>0.4</v>
      </c>
      <c r="HH35" s="60">
        <f>2/5</f>
        <v>0.4</v>
      </c>
      <c r="HK35" s="60">
        <f>3/5</f>
        <v>0.6</v>
      </c>
      <c r="HL35" s="60">
        <f t="shared" ref="HL35:HO35" si="58">3/5</f>
        <v>0.6</v>
      </c>
      <c r="HM35" s="60">
        <f t="shared" si="58"/>
        <v>0.6</v>
      </c>
      <c r="HN35" s="60">
        <f t="shared" si="58"/>
        <v>0.6</v>
      </c>
      <c r="HO35" s="60">
        <f t="shared" si="58"/>
        <v>0.6</v>
      </c>
      <c r="HR35" s="60">
        <f>3/5</f>
        <v>0.6</v>
      </c>
      <c r="HS35" s="60">
        <f>3/5</f>
        <v>0.6</v>
      </c>
      <c r="HT35" s="60">
        <f>3/5</f>
        <v>0.6</v>
      </c>
      <c r="HU35" s="60">
        <f>3/5</f>
        <v>0.6</v>
      </c>
      <c r="HV35" s="60">
        <f>3/5</f>
        <v>0.6</v>
      </c>
      <c r="HY35" s="60">
        <f t="shared" ref="HY35:IB35" si="59">3/5</f>
        <v>0.6</v>
      </c>
      <c r="HZ35" s="60">
        <f t="shared" si="59"/>
        <v>0.6</v>
      </c>
      <c r="IA35" s="60">
        <f t="shared" si="59"/>
        <v>0.6</v>
      </c>
      <c r="IB35" s="60">
        <f t="shared" si="59"/>
        <v>0.6</v>
      </c>
      <c r="IC35" s="60">
        <f>1/5</f>
        <v>0.2</v>
      </c>
      <c r="IF35" s="199"/>
      <c r="IG35" s="60">
        <f>2/5</f>
        <v>0.4</v>
      </c>
      <c r="IH35" s="60">
        <f t="shared" ref="IH35:IJ35" si="60">2/5</f>
        <v>0.4</v>
      </c>
      <c r="II35" s="60">
        <f t="shared" si="60"/>
        <v>0.4</v>
      </c>
      <c r="IJ35" s="60">
        <f t="shared" si="60"/>
        <v>0.4</v>
      </c>
      <c r="IM35" s="60">
        <f>4/5</f>
        <v>0.8</v>
      </c>
      <c r="IN35" s="60">
        <f t="shared" ref="IN35:IQ35" si="61">4/5</f>
        <v>0.8</v>
      </c>
      <c r="IO35" s="60">
        <f t="shared" si="61"/>
        <v>0.8</v>
      </c>
      <c r="IP35" s="60">
        <f t="shared" si="61"/>
        <v>0.8</v>
      </c>
      <c r="IQ35" s="60">
        <f t="shared" si="61"/>
        <v>0.8</v>
      </c>
      <c r="IT35" s="60">
        <f>3/5</f>
        <v>0.6</v>
      </c>
      <c r="IU35" s="60">
        <f>5/5</f>
        <v>1</v>
      </c>
      <c r="IV35" s="60">
        <f t="shared" ref="IV35:IW35" si="62">5/5</f>
        <v>1</v>
      </c>
      <c r="IW35" s="60">
        <f t="shared" si="62"/>
        <v>1</v>
      </c>
      <c r="IX35" s="60">
        <f>4/5</f>
        <v>0.8</v>
      </c>
      <c r="JA35" s="60">
        <f>4/5</f>
        <v>0.8</v>
      </c>
      <c r="JB35" s="60">
        <f>5/5</f>
        <v>1</v>
      </c>
      <c r="JC35" s="60">
        <f>5/5</f>
        <v>1</v>
      </c>
      <c r="JD35" s="60">
        <f>5/5</f>
        <v>1</v>
      </c>
      <c r="JE35" s="60">
        <f>3/5</f>
        <v>0.6</v>
      </c>
      <c r="JH35" s="60">
        <f>2/5</f>
        <v>0.4</v>
      </c>
      <c r="JI35" s="60">
        <f>3/5</f>
        <v>0.6</v>
      </c>
      <c r="JJ35" s="60">
        <f>3/5</f>
        <v>0.6</v>
      </c>
      <c r="JK35" s="60">
        <f>3/5</f>
        <v>0.6</v>
      </c>
      <c r="JL35" s="60">
        <f>2/5</f>
        <v>0.4</v>
      </c>
      <c r="JO35" s="60">
        <f>4/5</f>
        <v>0.8</v>
      </c>
      <c r="JP35" s="60">
        <f>4/5</f>
        <v>0.8</v>
      </c>
      <c r="JQ35" s="60">
        <f>4/5</f>
        <v>0.8</v>
      </c>
      <c r="JR35" s="60">
        <f>4/5</f>
        <v>0.8</v>
      </c>
      <c r="JS35" s="60">
        <f>3/5</f>
        <v>0.6</v>
      </c>
      <c r="JV35" s="60">
        <f>4/5</f>
        <v>0.8</v>
      </c>
      <c r="JW35" s="60">
        <f>4/5</f>
        <v>0.8</v>
      </c>
      <c r="JX35" s="60">
        <f>4/5</f>
        <v>0.8</v>
      </c>
      <c r="JY35" s="60">
        <f>4/5</f>
        <v>0.8</v>
      </c>
      <c r="JZ35" s="60">
        <f>3/5</f>
        <v>0.6</v>
      </c>
      <c r="KC35" s="60">
        <f>3/5</f>
        <v>0.6</v>
      </c>
      <c r="KD35" s="60">
        <f>4/5</f>
        <v>0.8</v>
      </c>
      <c r="KE35" s="60">
        <f>4/5</f>
        <v>0.8</v>
      </c>
      <c r="KF35" s="60">
        <f>4/5</f>
        <v>0.8</v>
      </c>
      <c r="KG35" s="60">
        <f>3/5</f>
        <v>0.6</v>
      </c>
      <c r="KJ35" s="60">
        <f>3/5</f>
        <v>0.6</v>
      </c>
      <c r="KK35" s="60">
        <f>4/5</f>
        <v>0.8</v>
      </c>
      <c r="KL35" s="60">
        <f>4/5</f>
        <v>0.8</v>
      </c>
      <c r="KM35" s="60">
        <f>3/4</f>
        <v>0.75</v>
      </c>
      <c r="KN35" s="60">
        <f>2/5</f>
        <v>0.4</v>
      </c>
      <c r="KQ35" s="60">
        <f>3/5</f>
        <v>0.6</v>
      </c>
      <c r="KR35" s="60">
        <f>1/5</f>
        <v>0.2</v>
      </c>
      <c r="KS35" s="60">
        <f>2/5</f>
        <v>0.4</v>
      </c>
      <c r="KT35" s="60">
        <f>3/5</f>
        <v>0.6</v>
      </c>
      <c r="KU35" s="60">
        <f>4/5</f>
        <v>0.8</v>
      </c>
      <c r="KX35" s="60">
        <f>4/5</f>
        <v>0.8</v>
      </c>
      <c r="KY35" s="60">
        <f>4/5</f>
        <v>0.8</v>
      </c>
      <c r="KZ35" s="60">
        <f>3/5</f>
        <v>0.6</v>
      </c>
      <c r="LA35" s="60">
        <f>3/5</f>
        <v>0.6</v>
      </c>
      <c r="LB35" s="60">
        <f>4/5</f>
        <v>0.8</v>
      </c>
      <c r="LE35" s="60">
        <f>4/5</f>
        <v>0.8</v>
      </c>
      <c r="LF35" s="60">
        <f>4/5</f>
        <v>0.8</v>
      </c>
      <c r="LG35" s="60">
        <f>3/5</f>
        <v>0.6</v>
      </c>
      <c r="LH35" s="60">
        <f>3/5</f>
        <v>0.6</v>
      </c>
      <c r="LI35" s="60">
        <f>3/5</f>
        <v>0.6</v>
      </c>
      <c r="LL35" s="60">
        <f>4/5</f>
        <v>0.8</v>
      </c>
      <c r="LM35" s="60">
        <f>4/5</f>
        <v>0.8</v>
      </c>
      <c r="LN35" s="60">
        <f>3/5</f>
        <v>0.6</v>
      </c>
      <c r="LO35" s="60">
        <f>2/5</f>
        <v>0.4</v>
      </c>
      <c r="LP35" s="60">
        <f>4/5</f>
        <v>0.8</v>
      </c>
      <c r="LS35" s="60">
        <f>3/5</f>
        <v>0.6</v>
      </c>
      <c r="LT35" s="60">
        <f>3/5</f>
        <v>0.6</v>
      </c>
      <c r="LU35" s="60">
        <f>2/5</f>
        <v>0.4</v>
      </c>
      <c r="LV35" s="60">
        <f>2/5</f>
        <v>0.4</v>
      </c>
      <c r="LW35" s="60">
        <f>2/5</f>
        <v>0.4</v>
      </c>
      <c r="LZ35" s="60">
        <f>4/5</f>
        <v>0.8</v>
      </c>
      <c r="MA35" s="60">
        <f>4/5</f>
        <v>0.8</v>
      </c>
      <c r="MB35" s="60">
        <f>2/5</f>
        <v>0.4</v>
      </c>
      <c r="MC35" s="60">
        <f>2/5</f>
        <v>0.4</v>
      </c>
      <c r="MD35" s="60">
        <f>4/5</f>
        <v>0.8</v>
      </c>
      <c r="MG35" s="60">
        <f>4/5</f>
        <v>0.8</v>
      </c>
      <c r="MH35" s="60">
        <f>3/5</f>
        <v>0.6</v>
      </c>
      <c r="MI35" s="60">
        <f>3/5</f>
        <v>0.6</v>
      </c>
      <c r="MJ35" s="60">
        <f>2/5</f>
        <v>0.4</v>
      </c>
      <c r="MK35" s="60">
        <f>4/5</f>
        <v>0.8</v>
      </c>
      <c r="MN35" s="60">
        <f>4/5</f>
        <v>0.8</v>
      </c>
      <c r="MO35" s="60">
        <f>4/5</f>
        <v>0.8</v>
      </c>
      <c r="MP35" s="60">
        <f>3/5</f>
        <v>0.6</v>
      </c>
      <c r="MQ35" s="60">
        <f>3/5</f>
        <v>0.6</v>
      </c>
      <c r="MR35" s="60">
        <f>3/5</f>
        <v>0.6</v>
      </c>
      <c r="MU35" s="60">
        <f>4/5</f>
        <v>0.8</v>
      </c>
      <c r="MV35" s="60">
        <f>2/5</f>
        <v>0.4</v>
      </c>
      <c r="MW35" s="60">
        <f>3/5</f>
        <v>0.6</v>
      </c>
      <c r="NB35" s="60">
        <f>2/5</f>
        <v>0.4</v>
      </c>
      <c r="NC35" s="60">
        <f t="shared" ref="NC35:ND35" si="63">2/5</f>
        <v>0.4</v>
      </c>
      <c r="ND35" s="60">
        <f t="shared" si="63"/>
        <v>0.4</v>
      </c>
      <c r="NF35" s="60">
        <f>2/5</f>
        <v>0.4</v>
      </c>
    </row>
    <row r="36" spans="1:370">
      <c r="A36" s="30"/>
      <c r="B36" s="24" t="s">
        <v>213</v>
      </c>
      <c r="C36" s="24"/>
      <c r="D36" s="60"/>
      <c r="E36" s="59">
        <f>4/7</f>
        <v>0.5714285714285714</v>
      </c>
      <c r="F36" s="59">
        <f>4/7</f>
        <v>0.5714285714285714</v>
      </c>
      <c r="G36" s="59"/>
      <c r="H36" s="59"/>
      <c r="I36" s="59">
        <f>5/7</f>
        <v>0.7142857142857143</v>
      </c>
      <c r="J36" s="59">
        <f>5/7</f>
        <v>0.7142857142857143</v>
      </c>
      <c r="K36" s="59">
        <f>5/7</f>
        <v>0.7142857142857143</v>
      </c>
      <c r="L36" s="59">
        <f>5/7</f>
        <v>0.7142857142857143</v>
      </c>
      <c r="M36" s="59">
        <f>5/7</f>
        <v>0.7142857142857143</v>
      </c>
      <c r="N36" s="59"/>
      <c r="O36" s="59"/>
      <c r="P36" s="59">
        <f>5/8</f>
        <v>0.625</v>
      </c>
      <c r="Q36" s="59">
        <f>6/8</f>
        <v>0.75</v>
      </c>
      <c r="R36" s="59">
        <f>5/8</f>
        <v>0.625</v>
      </c>
      <c r="S36" s="59">
        <f>5/8</f>
        <v>0.625</v>
      </c>
      <c r="T36" s="59">
        <f>5/8</f>
        <v>0.625</v>
      </c>
      <c r="U36" s="59"/>
      <c r="V36" s="59"/>
      <c r="W36" s="59">
        <f>5/8</f>
        <v>0.625</v>
      </c>
      <c r="X36" s="59">
        <f>5/8</f>
        <v>0.625</v>
      </c>
      <c r="Y36" s="59">
        <f>5/8</f>
        <v>0.625</v>
      </c>
      <c r="Z36" s="59">
        <f>5/8</f>
        <v>0.625</v>
      </c>
      <c r="AA36" s="59">
        <f>6/8</f>
        <v>0.75</v>
      </c>
      <c r="AB36" s="59"/>
      <c r="AC36" s="59"/>
      <c r="AD36" s="59">
        <f>6/8</f>
        <v>0.75</v>
      </c>
      <c r="AE36" s="59">
        <f>5/8</f>
        <v>0.625</v>
      </c>
      <c r="AF36" s="59">
        <f>5/8</f>
        <v>0.625</v>
      </c>
      <c r="AG36" s="59">
        <f>7/8</f>
        <v>0.875</v>
      </c>
      <c r="AH36" s="59">
        <f>6/8</f>
        <v>0.75</v>
      </c>
      <c r="AI36" s="59"/>
      <c r="AJ36" s="59"/>
      <c r="AK36" s="59">
        <f>8/8</f>
        <v>1</v>
      </c>
      <c r="AL36" s="59">
        <f t="shared" ref="AL36:AO36" si="64">8/8</f>
        <v>1</v>
      </c>
      <c r="AM36" s="59">
        <f t="shared" si="64"/>
        <v>1</v>
      </c>
      <c r="AN36" s="59">
        <f t="shared" si="64"/>
        <v>1</v>
      </c>
      <c r="AO36" s="59">
        <f t="shared" si="64"/>
        <v>1</v>
      </c>
      <c r="AP36" s="59"/>
      <c r="AQ36" s="59"/>
      <c r="AR36" s="59">
        <f>8/8</f>
        <v>1</v>
      </c>
      <c r="AS36" s="59">
        <f>7/8</f>
        <v>0.875</v>
      </c>
      <c r="AT36" s="59">
        <f t="shared" ref="AT36:AV36" si="65">8/8</f>
        <v>1</v>
      </c>
      <c r="AU36" s="59">
        <f>7/8</f>
        <v>0.875</v>
      </c>
      <c r="AV36" s="59">
        <f t="shared" si="65"/>
        <v>1</v>
      </c>
      <c r="AW36" s="59"/>
      <c r="AX36" s="59"/>
      <c r="AY36" s="59">
        <f>7/8</f>
        <v>0.875</v>
      </c>
      <c r="AZ36" s="59">
        <f>7/8</f>
        <v>0.875</v>
      </c>
      <c r="BA36" s="59">
        <f>6/8</f>
        <v>0.75</v>
      </c>
      <c r="BB36" s="59">
        <f>5/8</f>
        <v>0.625</v>
      </c>
      <c r="BC36" s="59">
        <f t="shared" ref="BC36" si="66">8/8</f>
        <v>1</v>
      </c>
      <c r="BD36" s="59"/>
      <c r="BE36" s="59"/>
      <c r="BF36" s="59">
        <f>8/8</f>
        <v>1</v>
      </c>
      <c r="BG36" s="59">
        <f t="shared" ref="BG36:BV36" si="67">8/8</f>
        <v>1</v>
      </c>
      <c r="BH36" s="59">
        <f t="shared" si="67"/>
        <v>1</v>
      </c>
      <c r="BI36" s="59">
        <f t="shared" si="67"/>
        <v>1</v>
      </c>
      <c r="BJ36" s="59">
        <f t="shared" si="67"/>
        <v>1</v>
      </c>
      <c r="BK36" s="30"/>
      <c r="BL36" s="30"/>
      <c r="BM36" s="59">
        <f>7/8</f>
        <v>0.875</v>
      </c>
      <c r="BN36" s="59">
        <f>8/8</f>
        <v>1</v>
      </c>
      <c r="BO36" s="59">
        <f>8/8</f>
        <v>1</v>
      </c>
      <c r="BP36" s="59">
        <f>8/8</f>
        <v>1</v>
      </c>
      <c r="BQ36" s="59">
        <f>6/8</f>
        <v>0.75</v>
      </c>
      <c r="BT36" s="59">
        <f>6/8</f>
        <v>0.75</v>
      </c>
      <c r="BU36" s="59">
        <f>7/8</f>
        <v>0.875</v>
      </c>
      <c r="BV36" s="59">
        <f t="shared" si="67"/>
        <v>1</v>
      </c>
      <c r="BW36" s="59">
        <f>6/8</f>
        <v>0.75</v>
      </c>
      <c r="BX36" s="59">
        <f>4/8</f>
        <v>0.5</v>
      </c>
      <c r="CA36" s="59">
        <f>6/8</f>
        <v>0.75</v>
      </c>
      <c r="CB36" s="59">
        <f>7/8</f>
        <v>0.875</v>
      </c>
      <c r="CC36" s="59">
        <f>7/8</f>
        <v>0.875</v>
      </c>
      <c r="CD36" s="59">
        <f>6/8</f>
        <v>0.75</v>
      </c>
      <c r="CE36" s="59">
        <f>4/8</f>
        <v>0.5</v>
      </c>
      <c r="CH36" s="59">
        <f>6/8</f>
        <v>0.75</v>
      </c>
      <c r="CI36" s="59">
        <f>6/8</f>
        <v>0.75</v>
      </c>
      <c r="CJ36" s="59">
        <f>6/8</f>
        <v>0.75</v>
      </c>
      <c r="CK36" s="59">
        <f>4/8</f>
        <v>0.5</v>
      </c>
      <c r="CL36" s="59">
        <f>6/8</f>
        <v>0.75</v>
      </c>
      <c r="CM36" s="59"/>
      <c r="CN36" s="59"/>
      <c r="CO36" s="59">
        <f>6/8</f>
        <v>0.75</v>
      </c>
      <c r="CP36" s="59">
        <f>8/8</f>
        <v>1</v>
      </c>
      <c r="CQ36" s="59">
        <f>8/8</f>
        <v>1</v>
      </c>
      <c r="CR36" s="59">
        <f>7/8</f>
        <v>0.875</v>
      </c>
      <c r="CS36" s="59">
        <f t="shared" ref="CS36" si="68">6/8</f>
        <v>0.75</v>
      </c>
      <c r="CT36" s="194"/>
      <c r="CU36" s="196"/>
      <c r="CV36" s="60">
        <f>7/8</f>
        <v>0.875</v>
      </c>
      <c r="CW36" s="60">
        <f>7/8</f>
        <v>0.875</v>
      </c>
      <c r="CX36" s="60">
        <f t="shared" ref="CX36:CY36" si="69">7/8</f>
        <v>0.875</v>
      </c>
      <c r="CY36" s="60">
        <f t="shared" si="69"/>
        <v>0.875</v>
      </c>
      <c r="CZ36" s="60">
        <f>6/8</f>
        <v>0.75</v>
      </c>
      <c r="DA36" s="159"/>
      <c r="DB36" s="159"/>
      <c r="DC36" s="60">
        <f>7/8</f>
        <v>0.875</v>
      </c>
      <c r="DD36" s="60">
        <f>7/8</f>
        <v>0.875</v>
      </c>
      <c r="DE36" s="60">
        <f>7/8</f>
        <v>0.875</v>
      </c>
      <c r="DF36" s="60">
        <f>7/8</f>
        <v>0.875</v>
      </c>
      <c r="DH36" s="159"/>
      <c r="DI36" s="159"/>
      <c r="DK36" s="60">
        <f>7/8</f>
        <v>0.875</v>
      </c>
      <c r="DL36" s="60">
        <f>5/8</f>
        <v>0.625</v>
      </c>
      <c r="DM36" s="60">
        <f>6/8</f>
        <v>0.75</v>
      </c>
      <c r="DN36" s="60">
        <f>7/8</f>
        <v>0.875</v>
      </c>
      <c r="DO36" s="159"/>
      <c r="DP36" s="159"/>
      <c r="DQ36" s="60">
        <f>8/8</f>
        <v>1</v>
      </c>
      <c r="DR36" s="60">
        <f>7/8</f>
        <v>0.875</v>
      </c>
      <c r="DS36" s="60">
        <f t="shared" ref="DS36:DU36" si="70">7/8</f>
        <v>0.875</v>
      </c>
      <c r="DT36" s="60">
        <f t="shared" si="70"/>
        <v>0.875</v>
      </c>
      <c r="DU36" s="60">
        <f t="shared" si="70"/>
        <v>0.875</v>
      </c>
      <c r="DY36" s="60">
        <f>7/8</f>
        <v>0.875</v>
      </c>
      <c r="DZ36" s="60">
        <f>6/8</f>
        <v>0.75</v>
      </c>
      <c r="EA36" s="60">
        <f>6/8</f>
        <v>0.75</v>
      </c>
      <c r="EB36" s="60">
        <f>7/8</f>
        <v>0.875</v>
      </c>
      <c r="EE36" s="60">
        <f>7/8</f>
        <v>0.875</v>
      </c>
      <c r="EF36" s="60">
        <f t="shared" ref="EF36:EI36" si="71">7/8</f>
        <v>0.875</v>
      </c>
      <c r="EG36" s="60">
        <f t="shared" si="71"/>
        <v>0.875</v>
      </c>
      <c r="EH36" s="60">
        <f t="shared" si="71"/>
        <v>0.875</v>
      </c>
      <c r="EI36" s="60">
        <f t="shared" si="71"/>
        <v>0.875</v>
      </c>
      <c r="EL36" s="60">
        <f>7/8</f>
        <v>0.875</v>
      </c>
      <c r="EM36" s="60">
        <f>8/8</f>
        <v>1</v>
      </c>
      <c r="EN36" s="60">
        <f>8/8</f>
        <v>1</v>
      </c>
      <c r="EO36" s="60">
        <f t="shared" ref="EO36" si="72">7/8</f>
        <v>0.875</v>
      </c>
      <c r="EP36" s="60">
        <f>8/8</f>
        <v>1</v>
      </c>
      <c r="ET36" s="60">
        <f>6/8</f>
        <v>0.75</v>
      </c>
      <c r="EU36" s="60">
        <f>7/8</f>
        <v>0.875</v>
      </c>
      <c r="EV36" s="60">
        <f t="shared" ref="EV36:EW36" si="73">8/8</f>
        <v>1</v>
      </c>
      <c r="EW36" s="60">
        <f t="shared" si="73"/>
        <v>1</v>
      </c>
      <c r="EZ36" s="60">
        <f>8/8</f>
        <v>1</v>
      </c>
      <c r="FA36" s="60">
        <f>8/8</f>
        <v>1</v>
      </c>
      <c r="FB36" s="60">
        <f>8/8</f>
        <v>1</v>
      </c>
      <c r="FC36" s="60">
        <f>0/8</f>
        <v>0</v>
      </c>
      <c r="FD36" s="60">
        <f>8/8</f>
        <v>1</v>
      </c>
      <c r="FG36" s="60">
        <f>8/8</f>
        <v>1</v>
      </c>
      <c r="FH36" s="60">
        <f>8/8</f>
        <v>1</v>
      </c>
      <c r="FI36" s="60">
        <f>7/8</f>
        <v>0.875</v>
      </c>
      <c r="FJ36" s="60">
        <f>8/8</f>
        <v>1</v>
      </c>
      <c r="FK36" s="60">
        <f>8/8</f>
        <v>1</v>
      </c>
      <c r="FN36" s="60">
        <f>7/8</f>
        <v>0.875</v>
      </c>
      <c r="FO36" s="60">
        <f>5/8</f>
        <v>0.625</v>
      </c>
      <c r="FP36" s="60">
        <f>6/8</f>
        <v>0.75</v>
      </c>
      <c r="FQ36" s="60">
        <f>7/8</f>
        <v>0.875</v>
      </c>
      <c r="FR36" s="60">
        <f>7/8</f>
        <v>0.875</v>
      </c>
      <c r="FU36" s="60">
        <f>8/8</f>
        <v>1</v>
      </c>
      <c r="FV36" s="60">
        <f t="shared" ref="FV36:FX36" si="74">8/8</f>
        <v>1</v>
      </c>
      <c r="FW36" s="60">
        <f t="shared" si="74"/>
        <v>1</v>
      </c>
      <c r="FX36" s="60">
        <f t="shared" si="74"/>
        <v>1</v>
      </c>
      <c r="FY36" s="60">
        <f>7/8</f>
        <v>0.875</v>
      </c>
      <c r="GB36" s="60">
        <f t="shared" ref="GB36:GF36" si="75">8/8</f>
        <v>1</v>
      </c>
      <c r="GC36" s="60">
        <f t="shared" si="75"/>
        <v>1</v>
      </c>
      <c r="GD36" s="60">
        <f t="shared" si="75"/>
        <v>1</v>
      </c>
      <c r="GE36" s="60">
        <f t="shared" si="75"/>
        <v>1</v>
      </c>
      <c r="GF36" s="60">
        <f t="shared" si="75"/>
        <v>1</v>
      </c>
      <c r="GI36" s="60">
        <f t="shared" ref="GI36:GM36" si="76">8/8</f>
        <v>1</v>
      </c>
      <c r="GJ36" s="60">
        <f t="shared" si="76"/>
        <v>1</v>
      </c>
      <c r="GK36" s="60">
        <f t="shared" si="76"/>
        <v>1</v>
      </c>
      <c r="GL36" s="60">
        <f t="shared" si="76"/>
        <v>1</v>
      </c>
      <c r="GM36" s="60">
        <f t="shared" si="76"/>
        <v>1</v>
      </c>
      <c r="GP36" s="60">
        <f>7/8</f>
        <v>0.875</v>
      </c>
      <c r="GQ36" s="60">
        <f t="shared" ref="GQ36:GS36" si="77">8/8</f>
        <v>1</v>
      </c>
      <c r="GR36" s="60">
        <f t="shared" si="77"/>
        <v>1</v>
      </c>
      <c r="GS36" s="60">
        <f t="shared" si="77"/>
        <v>1</v>
      </c>
      <c r="GT36" s="60">
        <f>5/8</f>
        <v>0.625</v>
      </c>
      <c r="GW36" s="60">
        <f>6/8</f>
        <v>0.75</v>
      </c>
      <c r="GX36" s="60">
        <f>6/8</f>
        <v>0.75</v>
      </c>
      <c r="GY36" s="60">
        <f>4/8</f>
        <v>0.5</v>
      </c>
      <c r="GZ36" s="60">
        <f>3/8</f>
        <v>0.375</v>
      </c>
      <c r="HA36" s="60">
        <f>3/8</f>
        <v>0.375</v>
      </c>
      <c r="HD36" s="60">
        <f>5/8</f>
        <v>0.625</v>
      </c>
      <c r="HE36" s="60">
        <f>5/8</f>
        <v>0.625</v>
      </c>
      <c r="HF36" s="60">
        <f t="shared" ref="HF36:HG36" si="78">6/8</f>
        <v>0.75</v>
      </c>
      <c r="HG36" s="60">
        <f t="shared" si="78"/>
        <v>0.75</v>
      </c>
      <c r="HH36" s="60">
        <f>5/8</f>
        <v>0.625</v>
      </c>
      <c r="HK36" s="60">
        <f>6/8</f>
        <v>0.75</v>
      </c>
      <c r="HL36" s="60">
        <f>7/8</f>
        <v>0.875</v>
      </c>
      <c r="HM36" s="60">
        <f>7/8</f>
        <v>0.875</v>
      </c>
      <c r="HN36" s="60">
        <f>8/8</f>
        <v>1</v>
      </c>
      <c r="HO36" s="60">
        <f>6/8</f>
        <v>0.75</v>
      </c>
      <c r="HR36" s="60">
        <f>5/8</f>
        <v>0.625</v>
      </c>
      <c r="HS36" s="60">
        <f>7/8</f>
        <v>0.875</v>
      </c>
      <c r="HT36" s="60">
        <f>7/8</f>
        <v>0.875</v>
      </c>
      <c r="HU36" s="60">
        <f>8/8</f>
        <v>1</v>
      </c>
      <c r="HV36" s="60">
        <f>6/8</f>
        <v>0.75</v>
      </c>
      <c r="HY36" s="60">
        <f>5/8</f>
        <v>0.625</v>
      </c>
      <c r="HZ36" s="60">
        <f>6/8</f>
        <v>0.75</v>
      </c>
      <c r="IA36" s="60">
        <f>7/8</f>
        <v>0.875</v>
      </c>
      <c r="IB36" s="60">
        <f>8/8</f>
        <v>1</v>
      </c>
      <c r="IC36" s="60">
        <f>7/8</f>
        <v>0.875</v>
      </c>
      <c r="IF36" s="199"/>
      <c r="IG36" s="60">
        <f>6/8</f>
        <v>0.75</v>
      </c>
      <c r="IH36" s="60">
        <f>6/8</f>
        <v>0.75</v>
      </c>
      <c r="II36" s="60">
        <f>8/8</f>
        <v>1</v>
      </c>
      <c r="IJ36" s="60">
        <f>6/8</f>
        <v>0.75</v>
      </c>
      <c r="IM36" s="60">
        <f>6/8</f>
        <v>0.75</v>
      </c>
      <c r="IN36" s="60">
        <f>5/8</f>
        <v>0.625</v>
      </c>
      <c r="IO36" s="60">
        <f>6/8</f>
        <v>0.75</v>
      </c>
      <c r="IP36" s="60">
        <f>4/8</f>
        <v>0.5</v>
      </c>
      <c r="IQ36" s="60">
        <f>6/8</f>
        <v>0.75</v>
      </c>
      <c r="IT36" s="60">
        <f>7/8</f>
        <v>0.875</v>
      </c>
      <c r="IU36" s="60">
        <f>4.5/8</f>
        <v>0.5625</v>
      </c>
      <c r="IV36" s="60">
        <f>6/8</f>
        <v>0.75</v>
      </c>
      <c r="IW36" s="60">
        <f>6/8</f>
        <v>0.75</v>
      </c>
      <c r="IX36" s="60">
        <f>7/8</f>
        <v>0.875</v>
      </c>
      <c r="JA36" s="60">
        <f>7/8</f>
        <v>0.875</v>
      </c>
      <c r="JB36" s="60">
        <f>6/8</f>
        <v>0.75</v>
      </c>
      <c r="JC36" s="60">
        <f>8/8</f>
        <v>1</v>
      </c>
      <c r="JD36" s="60">
        <f>6/8</f>
        <v>0.75</v>
      </c>
      <c r="JE36" s="60">
        <f>7/8</f>
        <v>0.875</v>
      </c>
      <c r="JH36" s="60">
        <f>6/8</f>
        <v>0.75</v>
      </c>
      <c r="JI36" s="60">
        <f>4/8</f>
        <v>0.5</v>
      </c>
      <c r="JJ36" s="60">
        <f>6/8</f>
        <v>0.75</v>
      </c>
      <c r="JK36" s="60">
        <f>5/8</f>
        <v>0.625</v>
      </c>
      <c r="JL36" s="60">
        <f>5/8</f>
        <v>0.625</v>
      </c>
      <c r="JO36" s="60">
        <f>7/8</f>
        <v>0.875</v>
      </c>
      <c r="JP36" s="60">
        <f>6/8</f>
        <v>0.75</v>
      </c>
      <c r="JQ36" s="60">
        <f>8/8</f>
        <v>1</v>
      </c>
      <c r="JR36" s="60">
        <f>8/8</f>
        <v>1</v>
      </c>
      <c r="JS36" s="60">
        <f>7/8</f>
        <v>0.875</v>
      </c>
      <c r="JV36" s="60">
        <f>7/8</f>
        <v>0.875</v>
      </c>
      <c r="JW36" s="60">
        <f>6.5/8</f>
        <v>0.8125</v>
      </c>
      <c r="JX36" s="60">
        <f>7/8</f>
        <v>0.875</v>
      </c>
      <c r="JY36" s="60">
        <f>6.5/8</f>
        <v>0.8125</v>
      </c>
      <c r="JZ36" s="60">
        <f>7/8</f>
        <v>0.875</v>
      </c>
      <c r="KC36" s="60">
        <f>5/8</f>
        <v>0.625</v>
      </c>
      <c r="KD36" s="60">
        <f>5/8</f>
        <v>0.625</v>
      </c>
      <c r="KE36" s="60">
        <f>7/8</f>
        <v>0.875</v>
      </c>
      <c r="KF36" s="60">
        <f>5/8</f>
        <v>0.625</v>
      </c>
      <c r="KG36" s="60">
        <f>5/8</f>
        <v>0.625</v>
      </c>
      <c r="KJ36" s="60">
        <f>4/8</f>
        <v>0.5</v>
      </c>
      <c r="KK36" s="60">
        <f>4/8</f>
        <v>0.5</v>
      </c>
      <c r="KL36" s="60">
        <f>6/8</f>
        <v>0.75</v>
      </c>
      <c r="KM36" s="60">
        <f>4.5/8</f>
        <v>0.5625</v>
      </c>
      <c r="KN36" s="60">
        <f>5/8</f>
        <v>0.625</v>
      </c>
      <c r="KQ36" s="60">
        <f>6/8</f>
        <v>0.75</v>
      </c>
      <c r="KR36" s="60">
        <f>7/8</f>
        <v>0.875</v>
      </c>
      <c r="KS36" s="60">
        <f>6/8</f>
        <v>0.75</v>
      </c>
      <c r="KT36" s="60">
        <f>7/8</f>
        <v>0.875</v>
      </c>
      <c r="KU36" s="60">
        <f>5/8</f>
        <v>0.625</v>
      </c>
      <c r="KX36" s="60">
        <f>8/8</f>
        <v>1</v>
      </c>
      <c r="KY36" s="60">
        <f>8/8</f>
        <v>1</v>
      </c>
      <c r="KZ36" s="60">
        <f>8/8</f>
        <v>1</v>
      </c>
      <c r="LA36" s="60">
        <f>6/8</f>
        <v>0.75</v>
      </c>
      <c r="LB36" s="60">
        <f>6/8</f>
        <v>0.75</v>
      </c>
      <c r="LE36" s="60">
        <f>7/8</f>
        <v>0.875</v>
      </c>
      <c r="LF36" s="60">
        <f>8/8</f>
        <v>1</v>
      </c>
      <c r="LG36" s="60">
        <f>8/8</f>
        <v>1</v>
      </c>
      <c r="LH36" s="60">
        <f>7/8</f>
        <v>0.875</v>
      </c>
      <c r="LI36" s="60">
        <f>8/8</f>
        <v>1</v>
      </c>
      <c r="LL36" s="60">
        <f>7/8</f>
        <v>0.875</v>
      </c>
      <c r="LM36" s="60">
        <f>8/8</f>
        <v>1</v>
      </c>
      <c r="LN36" s="60">
        <f>7/8</f>
        <v>0.875</v>
      </c>
      <c r="LO36" s="60">
        <f>6/8</f>
        <v>0.75</v>
      </c>
      <c r="LP36" s="60">
        <f>8/8</f>
        <v>1</v>
      </c>
      <c r="LS36" s="60">
        <f>8/8</f>
        <v>1</v>
      </c>
      <c r="LT36" s="60">
        <f>8/8</f>
        <v>1</v>
      </c>
      <c r="LU36" s="60">
        <f>8/8</f>
        <v>1</v>
      </c>
      <c r="LV36" s="60">
        <f>8/8</f>
        <v>1</v>
      </c>
      <c r="LW36" s="60">
        <f>7/8</f>
        <v>0.875</v>
      </c>
      <c r="LZ36" s="60">
        <f>8/8</f>
        <v>1</v>
      </c>
      <c r="MA36" s="60">
        <f>6/8</f>
        <v>0.75</v>
      </c>
      <c r="MB36" s="60">
        <f>4/8</f>
        <v>0.5</v>
      </c>
      <c r="MC36" s="60">
        <f>6/8</f>
        <v>0.75</v>
      </c>
      <c r="MD36" s="60">
        <f>7/8</f>
        <v>0.875</v>
      </c>
      <c r="MG36" s="60">
        <f>5/8</f>
        <v>0.625</v>
      </c>
      <c r="MH36" s="60">
        <f>6/8</f>
        <v>0.75</v>
      </c>
      <c r="MI36" s="60">
        <f>6/8</f>
        <v>0.75</v>
      </c>
      <c r="MJ36" s="60">
        <f>6/8</f>
        <v>0.75</v>
      </c>
      <c r="MK36" s="60">
        <f>6/8</f>
        <v>0.75</v>
      </c>
      <c r="MN36" s="60">
        <f>6/8</f>
        <v>0.75</v>
      </c>
      <c r="MO36" s="60">
        <f>7/8</f>
        <v>0.875</v>
      </c>
      <c r="MP36" s="60">
        <f>7/8</f>
        <v>0.875</v>
      </c>
      <c r="MQ36" s="60">
        <f>7/8</f>
        <v>0.875</v>
      </c>
      <c r="MR36" s="60">
        <f>8/8</f>
        <v>1</v>
      </c>
      <c r="MU36" s="60">
        <f>7/8</f>
        <v>0.875</v>
      </c>
      <c r="MV36" s="60">
        <f>7/8</f>
        <v>0.875</v>
      </c>
      <c r="MW36" s="60">
        <f>7/8</f>
        <v>0.875</v>
      </c>
      <c r="NB36" s="60">
        <f>6/8</f>
        <v>0.75</v>
      </c>
      <c r="NC36" s="60">
        <f>5/8</f>
        <v>0.625</v>
      </c>
      <c r="ND36" s="60">
        <f>4/8</f>
        <v>0.5</v>
      </c>
      <c r="NF36" s="60">
        <f>5/8</f>
        <v>0.625</v>
      </c>
    </row>
    <row r="37" spans="1:370">
      <c r="A37" s="30"/>
      <c r="B37" s="24" t="s">
        <v>214</v>
      </c>
      <c r="C37" s="24"/>
      <c r="D37" s="60"/>
      <c r="E37" s="59">
        <f>2/2</f>
        <v>1</v>
      </c>
      <c r="F37" s="59">
        <f>4/2</f>
        <v>2</v>
      </c>
      <c r="G37" s="59"/>
      <c r="H37" s="59"/>
      <c r="I37" s="59">
        <f>4/2</f>
        <v>2</v>
      </c>
      <c r="J37" s="59">
        <f>4/2</f>
        <v>2</v>
      </c>
      <c r="K37" s="59">
        <f>4/2</f>
        <v>2</v>
      </c>
      <c r="L37" s="59">
        <f>4/2</f>
        <v>2</v>
      </c>
      <c r="M37" s="59">
        <f>4/2</f>
        <v>2</v>
      </c>
      <c r="N37" s="59"/>
      <c r="O37" s="59"/>
      <c r="P37" s="59">
        <f>3/2</f>
        <v>1.5</v>
      </c>
      <c r="Q37" s="59">
        <f>3/2</f>
        <v>1.5</v>
      </c>
      <c r="R37" s="59">
        <f>3/2</f>
        <v>1.5</v>
      </c>
      <c r="S37" s="59">
        <f>3/2</f>
        <v>1.5</v>
      </c>
      <c r="T37" s="59">
        <f>3/2</f>
        <v>1.5</v>
      </c>
      <c r="U37" s="59"/>
      <c r="V37" s="59"/>
      <c r="W37" s="59">
        <f>3/2</f>
        <v>1.5</v>
      </c>
      <c r="X37" s="59">
        <f>3/2</f>
        <v>1.5</v>
      </c>
      <c r="Y37" s="59">
        <f>3/2</f>
        <v>1.5</v>
      </c>
      <c r="Z37" s="59">
        <f>3/2</f>
        <v>1.5</v>
      </c>
      <c r="AA37" s="59">
        <f>1/2</f>
        <v>0.5</v>
      </c>
      <c r="AB37" s="59"/>
      <c r="AC37" s="59"/>
      <c r="AD37" s="59">
        <f>2/2</f>
        <v>1</v>
      </c>
      <c r="AE37" s="59">
        <f>3/2</f>
        <v>1.5</v>
      </c>
      <c r="AF37" s="59">
        <f>3/2</f>
        <v>1.5</v>
      </c>
      <c r="AG37" s="59">
        <f>3/2</f>
        <v>1.5</v>
      </c>
      <c r="AH37" s="59">
        <f>3/2</f>
        <v>1.5</v>
      </c>
      <c r="AI37" s="59"/>
      <c r="AJ37" s="59"/>
      <c r="AK37" s="59">
        <f>1/2</f>
        <v>0.5</v>
      </c>
      <c r="AL37" s="59">
        <f>1/2</f>
        <v>0.5</v>
      </c>
      <c r="AM37" s="59">
        <f t="shared" ref="AM37:AO37" si="79">1/2</f>
        <v>0.5</v>
      </c>
      <c r="AN37" s="59">
        <f t="shared" si="79"/>
        <v>0.5</v>
      </c>
      <c r="AO37" s="59">
        <f t="shared" si="79"/>
        <v>0.5</v>
      </c>
      <c r="AP37" s="59"/>
      <c r="AQ37" s="59"/>
      <c r="AR37" s="59">
        <f>1/2</f>
        <v>0.5</v>
      </c>
      <c r="AS37" s="59">
        <f>2/2</f>
        <v>1</v>
      </c>
      <c r="AT37" s="59">
        <f t="shared" ref="AT37:AV38" si="80">2/2</f>
        <v>1</v>
      </c>
      <c r="AU37" s="59">
        <f t="shared" si="80"/>
        <v>1</v>
      </c>
      <c r="AV37" s="59">
        <f t="shared" si="80"/>
        <v>1</v>
      </c>
      <c r="AW37" s="59"/>
      <c r="AX37" s="59"/>
      <c r="AY37" s="59">
        <f>2/2</f>
        <v>1</v>
      </c>
      <c r="AZ37" s="59">
        <f t="shared" ref="AZ37:BC37" si="81">2/2</f>
        <v>1</v>
      </c>
      <c r="BA37" s="59">
        <f t="shared" si="81"/>
        <v>1</v>
      </c>
      <c r="BB37" s="59">
        <f t="shared" si="81"/>
        <v>1</v>
      </c>
      <c r="BC37" s="59">
        <f t="shared" si="81"/>
        <v>1</v>
      </c>
      <c r="BD37" s="59"/>
      <c r="BE37" s="59"/>
      <c r="BF37" s="59">
        <f>1/2</f>
        <v>0.5</v>
      </c>
      <c r="BG37" s="59">
        <f>1/2</f>
        <v>0.5</v>
      </c>
      <c r="BH37" s="59">
        <f>1/2</f>
        <v>0.5</v>
      </c>
      <c r="BI37" s="59">
        <f>0/2</f>
        <v>0</v>
      </c>
      <c r="BJ37" s="59">
        <f>1/2</f>
        <v>0.5</v>
      </c>
      <c r="BK37" s="30"/>
      <c r="BL37" s="30"/>
      <c r="BM37" s="59">
        <f>1/2</f>
        <v>0.5</v>
      </c>
      <c r="BN37" s="59">
        <f t="shared" ref="BN37:BQ38" si="82">1/2</f>
        <v>0.5</v>
      </c>
      <c r="BO37" s="59">
        <f t="shared" si="82"/>
        <v>0.5</v>
      </c>
      <c r="BP37" s="59">
        <f t="shared" si="82"/>
        <v>0.5</v>
      </c>
      <c r="BQ37" s="59">
        <f t="shared" si="82"/>
        <v>0.5</v>
      </c>
      <c r="BT37" s="59">
        <f>2/2</f>
        <v>1</v>
      </c>
      <c r="BU37" s="59">
        <f>2/2</f>
        <v>1</v>
      </c>
      <c r="BV37" s="59">
        <f>2/2</f>
        <v>1</v>
      </c>
      <c r="BW37" s="59">
        <f t="shared" ref="BW37:BX37" si="83">1/2</f>
        <v>0.5</v>
      </c>
      <c r="BX37" s="59">
        <f t="shared" si="83"/>
        <v>0.5</v>
      </c>
      <c r="CA37" s="59">
        <f>0/2</f>
        <v>0</v>
      </c>
      <c r="CB37" s="59">
        <f>0/2</f>
        <v>0</v>
      </c>
      <c r="CC37" s="59">
        <f>0/2</f>
        <v>0</v>
      </c>
      <c r="CD37" s="59">
        <f>0/2</f>
        <v>0</v>
      </c>
      <c r="CE37" s="59">
        <f>0/2</f>
        <v>0</v>
      </c>
      <c r="CH37" s="59">
        <f>1/2</f>
        <v>0.5</v>
      </c>
      <c r="CI37" s="59">
        <f t="shared" ref="CI37:CS38" si="84">1/2</f>
        <v>0.5</v>
      </c>
      <c r="CJ37" s="59">
        <f t="shared" si="84"/>
        <v>0.5</v>
      </c>
      <c r="CK37" s="59">
        <f>2/2</f>
        <v>1</v>
      </c>
      <c r="CL37" s="59">
        <f t="shared" si="84"/>
        <v>0.5</v>
      </c>
      <c r="CM37" s="59"/>
      <c r="CN37" s="59"/>
      <c r="CO37" s="59">
        <f t="shared" si="84"/>
        <v>0.5</v>
      </c>
      <c r="CP37" s="59">
        <f>2/2</f>
        <v>1</v>
      </c>
      <c r="CQ37" s="59">
        <f>2/2</f>
        <v>1</v>
      </c>
      <c r="CR37" s="59">
        <f t="shared" si="84"/>
        <v>0.5</v>
      </c>
      <c r="CS37" s="59">
        <f t="shared" si="84"/>
        <v>0.5</v>
      </c>
      <c r="CT37" s="194"/>
      <c r="CU37" s="196"/>
      <c r="CV37" s="60">
        <f>2/2</f>
        <v>1</v>
      </c>
      <c r="CW37" s="60">
        <f t="shared" ref="CW37:CZ38" si="85">2/2</f>
        <v>1</v>
      </c>
      <c r="CX37" s="60">
        <f t="shared" si="85"/>
        <v>1</v>
      </c>
      <c r="CY37" s="60">
        <f t="shared" si="85"/>
        <v>1</v>
      </c>
      <c r="CZ37" s="60">
        <f t="shared" si="85"/>
        <v>1</v>
      </c>
      <c r="DA37" s="159"/>
      <c r="DB37" s="159"/>
      <c r="DC37" s="60">
        <f>1/2</f>
        <v>0.5</v>
      </c>
      <c r="DD37" s="60">
        <f>1/2</f>
        <v>0.5</v>
      </c>
      <c r="DE37" s="60">
        <f t="shared" ref="DE37:DF38" si="86">2/2</f>
        <v>1</v>
      </c>
      <c r="DF37" s="60">
        <f t="shared" si="86"/>
        <v>1</v>
      </c>
      <c r="DH37" s="159"/>
      <c r="DI37" s="159"/>
      <c r="DK37" s="60">
        <f t="shared" ref="DK37:DN38" si="87">2/2</f>
        <v>1</v>
      </c>
      <c r="DL37" s="60">
        <f t="shared" si="87"/>
        <v>1</v>
      </c>
      <c r="DM37" s="60">
        <f t="shared" si="87"/>
        <v>1</v>
      </c>
      <c r="DN37" s="60">
        <f>1/2</f>
        <v>0.5</v>
      </c>
      <c r="DO37" s="159"/>
      <c r="DP37" s="159"/>
      <c r="DQ37" s="60">
        <f>1/2</f>
        <v>0.5</v>
      </c>
      <c r="DR37" s="60">
        <f>1/2</f>
        <v>0.5</v>
      </c>
      <c r="DS37" s="60">
        <f t="shared" ref="DR37:DU38" si="88">2/2</f>
        <v>1</v>
      </c>
      <c r="DT37" s="60">
        <f t="shared" si="88"/>
        <v>1</v>
      </c>
      <c r="DU37" s="60">
        <f t="shared" si="88"/>
        <v>1</v>
      </c>
      <c r="DY37" s="60">
        <f t="shared" ref="DY37:EB37" si="89">2/2</f>
        <v>1</v>
      </c>
      <c r="DZ37" s="60">
        <f t="shared" si="89"/>
        <v>1</v>
      </c>
      <c r="EA37" s="60">
        <f>1/2</f>
        <v>0.5</v>
      </c>
      <c r="EB37" s="60">
        <f t="shared" si="89"/>
        <v>1</v>
      </c>
      <c r="EE37" s="60">
        <f t="shared" ref="EE37:EI38" si="90">2/2</f>
        <v>1</v>
      </c>
      <c r="EF37" s="60">
        <f t="shared" si="90"/>
        <v>1</v>
      </c>
      <c r="EG37" s="60">
        <f t="shared" si="90"/>
        <v>1</v>
      </c>
      <c r="EH37" s="60">
        <f t="shared" si="90"/>
        <v>1</v>
      </c>
      <c r="EI37" s="60">
        <f t="shared" si="90"/>
        <v>1</v>
      </c>
      <c r="EL37" s="60">
        <f t="shared" ref="EL37:EP38" si="91">2/2</f>
        <v>1</v>
      </c>
      <c r="EM37" s="60">
        <f t="shared" si="91"/>
        <v>1</v>
      </c>
      <c r="EN37" s="60">
        <f t="shared" si="91"/>
        <v>1</v>
      </c>
      <c r="EO37" s="60">
        <f t="shared" si="91"/>
        <v>1</v>
      </c>
      <c r="EP37" s="60">
        <f t="shared" si="91"/>
        <v>1</v>
      </c>
      <c r="ET37" s="60">
        <f t="shared" ref="ET37:EW38" si="92">2/2</f>
        <v>1</v>
      </c>
      <c r="EU37" s="60">
        <f t="shared" si="92"/>
        <v>1</v>
      </c>
      <c r="EV37" s="60">
        <f t="shared" si="92"/>
        <v>1</v>
      </c>
      <c r="EW37" s="60">
        <f t="shared" si="92"/>
        <v>1</v>
      </c>
      <c r="EZ37" s="60">
        <f>2/2</f>
        <v>1</v>
      </c>
      <c r="FA37" s="60">
        <f>2/2</f>
        <v>1</v>
      </c>
      <c r="FB37" s="60">
        <f>2/2</f>
        <v>1</v>
      </c>
      <c r="FC37" s="60">
        <f>0/2</f>
        <v>0</v>
      </c>
      <c r="FD37" s="60">
        <f>0/2</f>
        <v>0</v>
      </c>
      <c r="FG37" s="60">
        <f>1/2</f>
        <v>0.5</v>
      </c>
      <c r="FH37" s="60">
        <f>2/2</f>
        <v>1</v>
      </c>
      <c r="FI37" s="60">
        <f>2/2</f>
        <v>1</v>
      </c>
      <c r="FJ37" s="60">
        <f>1/2</f>
        <v>0.5</v>
      </c>
      <c r="FK37" s="60">
        <f>2/2</f>
        <v>1</v>
      </c>
      <c r="FN37" s="60">
        <f>2/2</f>
        <v>1</v>
      </c>
      <c r="FO37" s="60">
        <f>2/2</f>
        <v>1</v>
      </c>
      <c r="FP37" s="60">
        <f t="shared" ref="FP37:FR38" si="93">2/2</f>
        <v>1</v>
      </c>
      <c r="FQ37" s="60">
        <f t="shared" si="93"/>
        <v>1</v>
      </c>
      <c r="FR37" s="60">
        <f t="shared" si="93"/>
        <v>1</v>
      </c>
      <c r="FU37" s="60">
        <f>2/2</f>
        <v>1</v>
      </c>
      <c r="FV37" s="60">
        <f>1/2</f>
        <v>0.5</v>
      </c>
      <c r="FW37" s="60">
        <f t="shared" ref="FW37:FY37" si="94">1/2</f>
        <v>0.5</v>
      </c>
      <c r="FX37" s="60">
        <f>1/2</f>
        <v>0.5</v>
      </c>
      <c r="FY37" s="60">
        <f t="shared" si="94"/>
        <v>0.5</v>
      </c>
      <c r="GB37" s="60">
        <f t="shared" ref="GB37:GF38" si="95">2/2</f>
        <v>1</v>
      </c>
      <c r="GC37" s="60">
        <f t="shared" si="95"/>
        <v>1</v>
      </c>
      <c r="GD37" s="60">
        <f t="shared" si="95"/>
        <v>1</v>
      </c>
      <c r="GE37" s="60">
        <f t="shared" si="95"/>
        <v>1</v>
      </c>
      <c r="GF37" s="60">
        <f t="shared" si="95"/>
        <v>1</v>
      </c>
      <c r="GI37" s="60">
        <f t="shared" ref="GI37:GL38" si="96">2/2</f>
        <v>1</v>
      </c>
      <c r="GJ37" s="60">
        <f t="shared" si="96"/>
        <v>1</v>
      </c>
      <c r="GK37" s="60">
        <f t="shared" si="96"/>
        <v>1</v>
      </c>
      <c r="GL37" s="60">
        <f t="shared" si="96"/>
        <v>1</v>
      </c>
      <c r="GM37" s="60">
        <f>1/2</f>
        <v>0.5</v>
      </c>
      <c r="GP37" s="60">
        <f>2/2</f>
        <v>1</v>
      </c>
      <c r="GQ37" s="60">
        <f>2/2</f>
        <v>1</v>
      </c>
      <c r="GR37" s="60">
        <f>2/2</f>
        <v>1</v>
      </c>
      <c r="GS37" s="60">
        <f>2/2</f>
        <v>1</v>
      </c>
      <c r="GT37" s="60">
        <f>2/2</f>
        <v>1</v>
      </c>
      <c r="GW37" s="60">
        <f>2/2</f>
        <v>1</v>
      </c>
      <c r="GX37" s="60">
        <f>2/2</f>
        <v>1</v>
      </c>
      <c r="GY37" s="60">
        <f t="shared" ref="GY37:HA37" si="97">2/2</f>
        <v>1</v>
      </c>
      <c r="GZ37" s="60">
        <f t="shared" si="97"/>
        <v>1</v>
      </c>
      <c r="HA37" s="60">
        <f t="shared" si="97"/>
        <v>1</v>
      </c>
      <c r="HD37" s="60">
        <f>4/2</f>
        <v>2</v>
      </c>
      <c r="HE37" s="60">
        <f t="shared" ref="HE37:HG37" si="98">4/2</f>
        <v>2</v>
      </c>
      <c r="HF37" s="60">
        <f t="shared" si="98"/>
        <v>2</v>
      </c>
      <c r="HG37" s="60">
        <f t="shared" si="98"/>
        <v>2</v>
      </c>
      <c r="HH37" s="60">
        <f>4/2</f>
        <v>2</v>
      </c>
      <c r="HK37" s="60">
        <f>3/2</f>
        <v>1.5</v>
      </c>
      <c r="HL37" s="60">
        <f>3/2</f>
        <v>1.5</v>
      </c>
      <c r="HM37" s="60">
        <f>2/2</f>
        <v>1</v>
      </c>
      <c r="HN37" s="60">
        <f>2/2</f>
        <v>1</v>
      </c>
      <c r="HO37" s="60">
        <f>3/2</f>
        <v>1.5</v>
      </c>
      <c r="HR37" s="60">
        <f>5/2</f>
        <v>2.5</v>
      </c>
      <c r="HS37" s="60">
        <f>3/2</f>
        <v>1.5</v>
      </c>
      <c r="HT37" s="60">
        <f>3/2</f>
        <v>1.5</v>
      </c>
      <c r="HU37" s="60">
        <f>1/2</f>
        <v>0.5</v>
      </c>
      <c r="HV37" s="60">
        <f>1/2</f>
        <v>0.5</v>
      </c>
      <c r="HY37" s="60">
        <f>3/2</f>
        <v>1.5</v>
      </c>
      <c r="HZ37" s="60">
        <f>3/2</f>
        <v>1.5</v>
      </c>
      <c r="IA37" s="60">
        <f>2/2</f>
        <v>1</v>
      </c>
      <c r="IB37" s="60">
        <f>2/2</f>
        <v>1</v>
      </c>
      <c r="IC37" s="60">
        <f>2/2</f>
        <v>1</v>
      </c>
      <c r="IF37" s="199"/>
      <c r="IG37" s="60">
        <f>2/2</f>
        <v>1</v>
      </c>
      <c r="IH37" s="60">
        <f>4/2</f>
        <v>2</v>
      </c>
      <c r="II37" s="60">
        <f>2/2</f>
        <v>1</v>
      </c>
      <c r="IJ37" s="60">
        <f>2/2</f>
        <v>1</v>
      </c>
      <c r="IM37" s="60">
        <f>3/2</f>
        <v>1.5</v>
      </c>
      <c r="IN37" s="60">
        <f>4/2</f>
        <v>2</v>
      </c>
      <c r="IO37" s="60">
        <f>3/2</f>
        <v>1.5</v>
      </c>
      <c r="IP37" s="60">
        <f>3/2</f>
        <v>1.5</v>
      </c>
      <c r="IQ37" s="60">
        <f>3/2</f>
        <v>1.5</v>
      </c>
      <c r="IT37" s="60">
        <f t="shared" ref="IT37:IW38" si="99">2/2</f>
        <v>1</v>
      </c>
      <c r="IU37" s="60">
        <f t="shared" si="99"/>
        <v>1</v>
      </c>
      <c r="IV37" s="60">
        <f t="shared" si="99"/>
        <v>1</v>
      </c>
      <c r="IW37" s="60">
        <f t="shared" si="99"/>
        <v>1</v>
      </c>
      <c r="IX37" s="60">
        <f>3/2</f>
        <v>1.5</v>
      </c>
      <c r="JA37" s="60">
        <f t="shared" ref="JA37:JE38" si="100">2/2</f>
        <v>1</v>
      </c>
      <c r="JB37" s="60">
        <f t="shared" si="100"/>
        <v>1</v>
      </c>
      <c r="JC37" s="60">
        <f t="shared" si="100"/>
        <v>1</v>
      </c>
      <c r="JD37" s="60">
        <f t="shared" si="100"/>
        <v>1</v>
      </c>
      <c r="JE37" s="60">
        <f t="shared" si="100"/>
        <v>1</v>
      </c>
      <c r="JH37" s="60">
        <f>2/2</f>
        <v>1</v>
      </c>
      <c r="JI37" s="60">
        <f>3/2</f>
        <v>1.5</v>
      </c>
      <c r="JJ37" s="60">
        <f>1/2</f>
        <v>0.5</v>
      </c>
      <c r="JK37" s="60">
        <f>2/2</f>
        <v>1</v>
      </c>
      <c r="JL37" s="60">
        <f>2/2</f>
        <v>1</v>
      </c>
      <c r="JO37" s="60">
        <f>2/2</f>
        <v>1</v>
      </c>
      <c r="JP37" s="60">
        <f>2/2</f>
        <v>1</v>
      </c>
      <c r="JQ37" s="60">
        <f>0/2</f>
        <v>0</v>
      </c>
      <c r="JR37" s="60">
        <f>2/2</f>
        <v>1</v>
      </c>
      <c r="JS37" s="60">
        <f>2/2</f>
        <v>1</v>
      </c>
      <c r="JV37" s="60">
        <f>2/2</f>
        <v>1</v>
      </c>
      <c r="JW37" s="60">
        <f>2/2</f>
        <v>1</v>
      </c>
      <c r="JX37" s="60">
        <f>2/2</f>
        <v>1</v>
      </c>
      <c r="JY37" s="60">
        <f>2/2</f>
        <v>1</v>
      </c>
      <c r="JZ37" s="60">
        <f>2/2</f>
        <v>1</v>
      </c>
      <c r="KC37" s="60">
        <f>2/2</f>
        <v>1</v>
      </c>
      <c r="KD37" s="60">
        <f>1/2</f>
        <v>0.5</v>
      </c>
      <c r="KE37" s="60">
        <f>2/2</f>
        <v>1</v>
      </c>
      <c r="KF37" s="60">
        <f>3/2</f>
        <v>1.5</v>
      </c>
      <c r="KG37" s="60">
        <f>2/2</f>
        <v>1</v>
      </c>
      <c r="KJ37" s="60">
        <f>1/2</f>
        <v>0.5</v>
      </c>
      <c r="KK37" s="60">
        <f>0/2</f>
        <v>0</v>
      </c>
      <c r="KL37" s="60">
        <f>1/2</f>
        <v>0.5</v>
      </c>
      <c r="KM37" s="60">
        <f>1/2</f>
        <v>0.5</v>
      </c>
      <c r="KN37" s="60">
        <f>1/2</f>
        <v>0.5</v>
      </c>
      <c r="KQ37" s="60">
        <f>1/2</f>
        <v>0.5</v>
      </c>
      <c r="KR37" s="60">
        <f>2/2</f>
        <v>1</v>
      </c>
      <c r="KS37" s="60">
        <f>2/2</f>
        <v>1</v>
      </c>
      <c r="KT37" s="60">
        <f>1/2</f>
        <v>0.5</v>
      </c>
      <c r="KU37" s="60">
        <f>1/2</f>
        <v>0.5</v>
      </c>
      <c r="KX37" s="60">
        <f>1/2</f>
        <v>0.5</v>
      </c>
      <c r="KY37" s="60">
        <f>1/2</f>
        <v>0.5</v>
      </c>
      <c r="KZ37" s="60">
        <f>2/2</f>
        <v>1</v>
      </c>
      <c r="LA37" s="60">
        <f>1/2</f>
        <v>0.5</v>
      </c>
      <c r="LB37" s="60">
        <f>1/2</f>
        <v>0.5</v>
      </c>
      <c r="LE37" s="60">
        <f t="shared" ref="LE37:LI38" si="101">2/2</f>
        <v>1</v>
      </c>
      <c r="LF37" s="60">
        <f t="shared" si="101"/>
        <v>1</v>
      </c>
      <c r="LG37" s="60">
        <f t="shared" si="101"/>
        <v>1</v>
      </c>
      <c r="LH37" s="60">
        <f t="shared" si="101"/>
        <v>1</v>
      </c>
      <c r="LI37" s="60">
        <f t="shared" si="101"/>
        <v>1</v>
      </c>
      <c r="LL37" s="60">
        <f>0/2</f>
        <v>0</v>
      </c>
      <c r="LM37" s="60">
        <f>1/2</f>
        <v>0.5</v>
      </c>
      <c r="LN37" s="60">
        <f>0/2</f>
        <v>0</v>
      </c>
      <c r="LO37" s="60">
        <f>0/2</f>
        <v>0</v>
      </c>
      <c r="LP37" s="60">
        <f>1/2</f>
        <v>0.5</v>
      </c>
      <c r="LS37" s="60">
        <f t="shared" ref="LS37:LV38" si="102">2/2</f>
        <v>1</v>
      </c>
      <c r="LT37" s="60">
        <f t="shared" si="102"/>
        <v>1</v>
      </c>
      <c r="LU37" s="60">
        <f t="shared" si="102"/>
        <v>1</v>
      </c>
      <c r="LV37" s="60">
        <f t="shared" si="102"/>
        <v>1</v>
      </c>
      <c r="LW37" s="60">
        <f>4/2</f>
        <v>2</v>
      </c>
      <c r="LZ37" s="60">
        <f>2/2</f>
        <v>1</v>
      </c>
      <c r="MA37" s="60">
        <f>2/2</f>
        <v>1</v>
      </c>
      <c r="MB37" s="60">
        <f>2/2</f>
        <v>1</v>
      </c>
      <c r="MC37" s="60">
        <f>2/2</f>
        <v>1</v>
      </c>
      <c r="MD37" s="60">
        <f>2/2</f>
        <v>1</v>
      </c>
      <c r="MG37" s="60">
        <f t="shared" ref="MG37:MK38" si="103">2/2</f>
        <v>1</v>
      </c>
      <c r="MH37" s="60">
        <f t="shared" si="103"/>
        <v>1</v>
      </c>
      <c r="MI37" s="60">
        <f t="shared" si="103"/>
        <v>1</v>
      </c>
      <c r="MJ37" s="60">
        <f t="shared" si="103"/>
        <v>1</v>
      </c>
      <c r="MK37" s="60">
        <f t="shared" si="103"/>
        <v>1</v>
      </c>
      <c r="MN37" s="60">
        <f t="shared" ref="MN37:MR38" si="104">2/2</f>
        <v>1</v>
      </c>
      <c r="MO37" s="60">
        <f t="shared" si="104"/>
        <v>1</v>
      </c>
      <c r="MP37" s="60">
        <f t="shared" si="104"/>
        <v>1</v>
      </c>
      <c r="MQ37" s="60">
        <f t="shared" si="104"/>
        <v>1</v>
      </c>
      <c r="MR37" s="60">
        <f t="shared" si="104"/>
        <v>1</v>
      </c>
      <c r="MU37" s="60">
        <f>2/2</f>
        <v>1</v>
      </c>
      <c r="MV37" s="60">
        <f>2/2</f>
        <v>1</v>
      </c>
      <c r="MW37" s="60">
        <f>2/2</f>
        <v>1</v>
      </c>
      <c r="NB37" s="60">
        <f t="shared" ref="NB37:ND37" si="105">2/2</f>
        <v>1</v>
      </c>
      <c r="NC37" s="60">
        <f t="shared" si="105"/>
        <v>1</v>
      </c>
      <c r="ND37" s="60">
        <f t="shared" si="105"/>
        <v>1</v>
      </c>
      <c r="NF37" s="60">
        <f>1.5/2</f>
        <v>0.75</v>
      </c>
    </row>
    <row r="38" spans="1:370">
      <c r="A38" s="30"/>
      <c r="B38" s="24" t="s">
        <v>22</v>
      </c>
      <c r="C38" s="24"/>
      <c r="D38" s="60"/>
      <c r="E38" s="59">
        <f>1/2</f>
        <v>0.5</v>
      </c>
      <c r="F38" s="59">
        <f>2/2</f>
        <v>1</v>
      </c>
      <c r="G38" s="59"/>
      <c r="H38" s="59"/>
      <c r="I38" s="59">
        <f>2/2</f>
        <v>1</v>
      </c>
      <c r="J38" s="59">
        <f>2/2</f>
        <v>1</v>
      </c>
      <c r="K38" s="59">
        <f t="shared" ref="K38:L38" si="106">2/2</f>
        <v>1</v>
      </c>
      <c r="L38" s="59">
        <f t="shared" si="106"/>
        <v>1</v>
      </c>
      <c r="M38" s="59">
        <f>1/2</f>
        <v>0.5</v>
      </c>
      <c r="N38" s="59"/>
      <c r="O38" s="59"/>
      <c r="P38" s="59">
        <f>2/2</f>
        <v>1</v>
      </c>
      <c r="Q38" s="59">
        <f t="shared" ref="Q38:T38" si="107">2/2</f>
        <v>1</v>
      </c>
      <c r="R38" s="59">
        <f>2/2</f>
        <v>1</v>
      </c>
      <c r="S38" s="59">
        <f t="shared" si="107"/>
        <v>1</v>
      </c>
      <c r="T38" s="59">
        <f t="shared" si="107"/>
        <v>1</v>
      </c>
      <c r="U38" s="59"/>
      <c r="V38" s="59"/>
      <c r="W38" s="59">
        <f>2/2</f>
        <v>1</v>
      </c>
      <c r="X38" s="59">
        <f t="shared" ref="X38:Z38" si="108">2/2</f>
        <v>1</v>
      </c>
      <c r="Y38" s="59">
        <f t="shared" si="108"/>
        <v>1</v>
      </c>
      <c r="Z38" s="59">
        <f t="shared" si="108"/>
        <v>1</v>
      </c>
      <c r="AA38" s="59">
        <f>1/2</f>
        <v>0.5</v>
      </c>
      <c r="AB38" s="59"/>
      <c r="AC38" s="59"/>
      <c r="AD38" s="59">
        <f>2/2</f>
        <v>1</v>
      </c>
      <c r="AE38" s="59">
        <f>2/2</f>
        <v>1</v>
      </c>
      <c r="AF38" s="59">
        <f t="shared" ref="AF38:AT38" si="109">2/2</f>
        <v>1</v>
      </c>
      <c r="AG38" s="59">
        <f>1/2</f>
        <v>0.5</v>
      </c>
      <c r="AH38" s="59">
        <f t="shared" si="109"/>
        <v>1</v>
      </c>
      <c r="AI38" s="59"/>
      <c r="AJ38" s="59"/>
      <c r="AK38" s="59">
        <f t="shared" si="109"/>
        <v>1</v>
      </c>
      <c r="AL38" s="59">
        <f t="shared" si="109"/>
        <v>1</v>
      </c>
      <c r="AM38" s="59">
        <f t="shared" si="109"/>
        <v>1</v>
      </c>
      <c r="AN38" s="59">
        <f t="shared" si="109"/>
        <v>1</v>
      </c>
      <c r="AO38" s="59">
        <f>1/2</f>
        <v>0.5</v>
      </c>
      <c r="AP38" s="59"/>
      <c r="AQ38" s="59"/>
      <c r="AR38" s="59">
        <f>1/2</f>
        <v>0.5</v>
      </c>
      <c r="AS38" s="59">
        <f>1/2</f>
        <v>0.5</v>
      </c>
      <c r="AT38" s="59">
        <f t="shared" si="109"/>
        <v>1</v>
      </c>
      <c r="AU38" s="59">
        <f t="shared" si="80"/>
        <v>1</v>
      </c>
      <c r="AV38" s="59">
        <f t="shared" si="80"/>
        <v>1</v>
      </c>
      <c r="AW38" s="59"/>
      <c r="AX38" s="59"/>
      <c r="AY38" s="59">
        <f t="shared" ref="AY38:BC38" si="110">2/2</f>
        <v>1</v>
      </c>
      <c r="AZ38" s="59">
        <f t="shared" si="110"/>
        <v>1</v>
      </c>
      <c r="BA38" s="59">
        <f t="shared" si="110"/>
        <v>1</v>
      </c>
      <c r="BB38" s="59">
        <f t="shared" si="110"/>
        <v>1</v>
      </c>
      <c r="BC38" s="59">
        <f t="shared" si="110"/>
        <v>1</v>
      </c>
      <c r="BD38" s="59"/>
      <c r="BE38" s="59"/>
      <c r="BF38" s="59">
        <f t="shared" ref="BF38:CC38" si="111">2/2</f>
        <v>1</v>
      </c>
      <c r="BG38" s="59">
        <f t="shared" si="111"/>
        <v>1</v>
      </c>
      <c r="BH38" s="59">
        <f t="shared" si="111"/>
        <v>1</v>
      </c>
      <c r="BI38" s="59">
        <f t="shared" si="111"/>
        <v>1</v>
      </c>
      <c r="BJ38" s="59">
        <f t="shared" si="111"/>
        <v>1</v>
      </c>
      <c r="BK38" s="30"/>
      <c r="BL38" s="30"/>
      <c r="BM38" s="59">
        <f>1/2</f>
        <v>0.5</v>
      </c>
      <c r="BN38" s="59">
        <f t="shared" si="82"/>
        <v>0.5</v>
      </c>
      <c r="BO38" s="59">
        <f>2/2</f>
        <v>1</v>
      </c>
      <c r="BP38" s="59">
        <f t="shared" ref="BP38:BQ38" si="112">2/2</f>
        <v>1</v>
      </c>
      <c r="BQ38" s="59">
        <f t="shared" si="112"/>
        <v>1</v>
      </c>
      <c r="BT38" s="59">
        <f t="shared" si="111"/>
        <v>1</v>
      </c>
      <c r="BU38" s="59">
        <f t="shared" si="111"/>
        <v>1</v>
      </c>
      <c r="BV38" s="59">
        <f t="shared" si="111"/>
        <v>1</v>
      </c>
      <c r="BW38" s="59">
        <f t="shared" si="111"/>
        <v>1</v>
      </c>
      <c r="BX38" s="59">
        <f t="shared" si="111"/>
        <v>1</v>
      </c>
      <c r="CA38" s="59">
        <f>1/2</f>
        <v>0.5</v>
      </c>
      <c r="CB38" s="59">
        <f>2/2</f>
        <v>1</v>
      </c>
      <c r="CC38" s="59">
        <f t="shared" si="111"/>
        <v>1</v>
      </c>
      <c r="CD38" s="59">
        <f>2/2</f>
        <v>1</v>
      </c>
      <c r="CE38" s="59">
        <f>1/2</f>
        <v>0.5</v>
      </c>
      <c r="CH38" s="59">
        <f>1/2</f>
        <v>0.5</v>
      </c>
      <c r="CI38" s="59">
        <f>1/2</f>
        <v>0.5</v>
      </c>
      <c r="CJ38" s="59">
        <f t="shared" si="84"/>
        <v>0.5</v>
      </c>
      <c r="CK38" s="59">
        <f>1/2</f>
        <v>0.5</v>
      </c>
      <c r="CL38" s="59">
        <f t="shared" si="84"/>
        <v>0.5</v>
      </c>
      <c r="CM38" s="59"/>
      <c r="CN38" s="59"/>
      <c r="CO38" s="59">
        <f t="shared" ref="CO38:CS38" si="113">1/2</f>
        <v>0.5</v>
      </c>
      <c r="CP38" s="59">
        <f>2/2</f>
        <v>1</v>
      </c>
      <c r="CQ38" s="59">
        <f>2/2</f>
        <v>1</v>
      </c>
      <c r="CR38" s="59">
        <f t="shared" si="113"/>
        <v>0.5</v>
      </c>
      <c r="CS38" s="59">
        <f t="shared" si="113"/>
        <v>0.5</v>
      </c>
      <c r="CT38" s="194"/>
      <c r="CU38" s="196"/>
      <c r="CV38" s="60">
        <f>2/2</f>
        <v>1</v>
      </c>
      <c r="CW38" s="60">
        <f t="shared" si="85"/>
        <v>1</v>
      </c>
      <c r="CX38" s="60">
        <f t="shared" si="85"/>
        <v>1</v>
      </c>
      <c r="CY38" s="60">
        <f t="shared" si="85"/>
        <v>1</v>
      </c>
      <c r="CZ38" s="60">
        <f t="shared" si="85"/>
        <v>1</v>
      </c>
      <c r="DA38" s="159"/>
      <c r="DB38" s="159"/>
      <c r="DC38" s="60">
        <f>1/2</f>
        <v>0.5</v>
      </c>
      <c r="DD38" s="60">
        <f>1/2</f>
        <v>0.5</v>
      </c>
      <c r="DE38" s="60">
        <f t="shared" si="86"/>
        <v>1</v>
      </c>
      <c r="DF38" s="60">
        <f t="shared" si="86"/>
        <v>1</v>
      </c>
      <c r="DH38" s="159"/>
      <c r="DI38" s="159"/>
      <c r="DK38" s="60">
        <f t="shared" si="87"/>
        <v>1</v>
      </c>
      <c r="DL38" s="60">
        <f t="shared" si="87"/>
        <v>1</v>
      </c>
      <c r="DM38" s="60">
        <f t="shared" si="87"/>
        <v>1</v>
      </c>
      <c r="DN38" s="60">
        <f t="shared" si="87"/>
        <v>1</v>
      </c>
      <c r="DO38" s="159"/>
      <c r="DP38" s="159"/>
      <c r="DQ38" s="60">
        <f>2/2</f>
        <v>1</v>
      </c>
      <c r="DR38" s="60">
        <f t="shared" si="88"/>
        <v>1</v>
      </c>
      <c r="DS38" s="60">
        <f t="shared" si="88"/>
        <v>1</v>
      </c>
      <c r="DT38" s="60">
        <f t="shared" si="88"/>
        <v>1</v>
      </c>
      <c r="DU38" s="60">
        <f t="shared" si="88"/>
        <v>1</v>
      </c>
      <c r="DY38" s="60">
        <f>1/2</f>
        <v>0.5</v>
      </c>
      <c r="DZ38" s="60">
        <f>2/2</f>
        <v>1</v>
      </c>
      <c r="EA38" s="60">
        <f>2/2</f>
        <v>1</v>
      </c>
      <c r="EB38" s="60">
        <f>2/2</f>
        <v>1</v>
      </c>
      <c r="EE38" s="60">
        <f>2/2</f>
        <v>1</v>
      </c>
      <c r="EF38" s="60">
        <f t="shared" si="90"/>
        <v>1</v>
      </c>
      <c r="EG38" s="60">
        <f t="shared" si="90"/>
        <v>1</v>
      </c>
      <c r="EH38" s="60">
        <f t="shared" si="90"/>
        <v>1</v>
      </c>
      <c r="EI38" s="60">
        <f t="shared" si="90"/>
        <v>1</v>
      </c>
      <c r="EL38" s="60">
        <f t="shared" si="91"/>
        <v>1</v>
      </c>
      <c r="EM38" s="60">
        <f t="shared" si="91"/>
        <v>1</v>
      </c>
      <c r="EN38" s="60">
        <f t="shared" si="91"/>
        <v>1</v>
      </c>
      <c r="EO38" s="60">
        <f t="shared" si="91"/>
        <v>1</v>
      </c>
      <c r="EP38" s="60">
        <f t="shared" si="91"/>
        <v>1</v>
      </c>
      <c r="ET38" s="60">
        <f t="shared" si="92"/>
        <v>1</v>
      </c>
      <c r="EU38" s="60">
        <f t="shared" si="92"/>
        <v>1</v>
      </c>
      <c r="EV38" s="60">
        <f t="shared" si="92"/>
        <v>1</v>
      </c>
      <c r="EW38" s="60">
        <f t="shared" si="92"/>
        <v>1</v>
      </c>
      <c r="EZ38" s="60">
        <f>1/2</f>
        <v>0.5</v>
      </c>
      <c r="FA38" s="60">
        <f>1/2</f>
        <v>0.5</v>
      </c>
      <c r="FB38" s="60">
        <f>0/2</f>
        <v>0</v>
      </c>
      <c r="FC38" s="60">
        <f>0/2</f>
        <v>0</v>
      </c>
      <c r="FD38" s="60">
        <f>0/2</f>
        <v>0</v>
      </c>
      <c r="FG38" s="60">
        <f>1/2</f>
        <v>0.5</v>
      </c>
      <c r="FH38" s="60">
        <f>2/2</f>
        <v>1</v>
      </c>
      <c r="FI38" s="60">
        <f>2/2</f>
        <v>1</v>
      </c>
      <c r="FJ38" s="60">
        <f>2/2</f>
        <v>1</v>
      </c>
      <c r="FK38" s="60">
        <f>1/2</f>
        <v>0.5</v>
      </c>
      <c r="FN38" s="60">
        <f>1/2</f>
        <v>0.5</v>
      </c>
      <c r="FO38" s="60">
        <f>2/2</f>
        <v>1</v>
      </c>
      <c r="FP38" s="60">
        <f t="shared" si="93"/>
        <v>1</v>
      </c>
      <c r="FQ38" s="60">
        <f t="shared" si="93"/>
        <v>1</v>
      </c>
      <c r="FR38" s="60">
        <f t="shared" si="93"/>
        <v>1</v>
      </c>
      <c r="FU38" s="60">
        <f>1/2</f>
        <v>0.5</v>
      </c>
      <c r="FV38" s="60">
        <f t="shared" ref="FV38:FX38" si="114">2/2</f>
        <v>1</v>
      </c>
      <c r="FW38" s="60">
        <f t="shared" si="114"/>
        <v>1</v>
      </c>
      <c r="FX38" s="60">
        <f t="shared" si="114"/>
        <v>1</v>
      </c>
      <c r="FY38" s="60">
        <f>1/2</f>
        <v>0.5</v>
      </c>
      <c r="GB38" s="60">
        <f t="shared" si="95"/>
        <v>1</v>
      </c>
      <c r="GC38" s="60">
        <f t="shared" si="95"/>
        <v>1</v>
      </c>
      <c r="GD38" s="60">
        <f t="shared" si="95"/>
        <v>1</v>
      </c>
      <c r="GE38" s="60">
        <f t="shared" si="95"/>
        <v>1</v>
      </c>
      <c r="GF38" s="60">
        <f t="shared" si="95"/>
        <v>1</v>
      </c>
      <c r="GI38" s="60">
        <f t="shared" si="96"/>
        <v>1</v>
      </c>
      <c r="GJ38" s="60">
        <f t="shared" si="96"/>
        <v>1</v>
      </c>
      <c r="GK38" s="60">
        <f t="shared" si="96"/>
        <v>1</v>
      </c>
      <c r="GL38" s="60">
        <f t="shared" si="96"/>
        <v>1</v>
      </c>
      <c r="GM38" s="60">
        <f>1/2</f>
        <v>0.5</v>
      </c>
      <c r="GP38" s="60">
        <f>1/2</f>
        <v>0.5</v>
      </c>
      <c r="GQ38" s="60">
        <f>1/2</f>
        <v>0.5</v>
      </c>
      <c r="GR38" s="60">
        <f>1/2</f>
        <v>0.5</v>
      </c>
      <c r="GS38" s="60">
        <f>1/2</f>
        <v>0.5</v>
      </c>
      <c r="GT38" s="60">
        <f>1/2</f>
        <v>0.5</v>
      </c>
      <c r="GW38" s="60">
        <f>2/2</f>
        <v>1</v>
      </c>
      <c r="GX38" s="60">
        <f t="shared" ref="GX38:HA38" si="115">2/2</f>
        <v>1</v>
      </c>
      <c r="GY38" s="60">
        <f t="shared" si="115"/>
        <v>1</v>
      </c>
      <c r="GZ38" s="60">
        <f t="shared" si="115"/>
        <v>1</v>
      </c>
      <c r="HA38" s="60">
        <f t="shared" si="115"/>
        <v>1</v>
      </c>
      <c r="HD38" s="60">
        <f t="shared" ref="HD38:HH38" si="116">2/2</f>
        <v>1</v>
      </c>
      <c r="HE38" s="60">
        <f t="shared" si="116"/>
        <v>1</v>
      </c>
      <c r="HF38" s="60">
        <f t="shared" si="116"/>
        <v>1</v>
      </c>
      <c r="HG38" s="60">
        <f t="shared" si="116"/>
        <v>1</v>
      </c>
      <c r="HH38" s="60">
        <f t="shared" si="116"/>
        <v>1</v>
      </c>
      <c r="HK38" s="60">
        <f>1/2</f>
        <v>0.5</v>
      </c>
      <c r="HL38" s="60">
        <f>2/2</f>
        <v>1</v>
      </c>
      <c r="HM38" s="60">
        <f>2/2</f>
        <v>1</v>
      </c>
      <c r="HN38" s="60">
        <f>2/2</f>
        <v>1</v>
      </c>
      <c r="HO38" s="60">
        <f>2/2</f>
        <v>1</v>
      </c>
      <c r="HR38" s="60">
        <f>1/2</f>
        <v>0.5</v>
      </c>
      <c r="HS38" s="60">
        <f>2/2</f>
        <v>1</v>
      </c>
      <c r="HT38" s="60">
        <f>1/2</f>
        <v>0.5</v>
      </c>
      <c r="HU38" s="60">
        <f>1/2</f>
        <v>0.5</v>
      </c>
      <c r="HV38" s="60">
        <f>1/2</f>
        <v>0.5</v>
      </c>
      <c r="HY38" s="60">
        <f>2/2</f>
        <v>1</v>
      </c>
      <c r="HZ38" s="60">
        <f>1/2</f>
        <v>0.5</v>
      </c>
      <c r="IA38" s="60">
        <f>2/2</f>
        <v>1</v>
      </c>
      <c r="IB38" s="60">
        <f>2/2</f>
        <v>1</v>
      </c>
      <c r="IC38" s="60">
        <f>1/2</f>
        <v>0.5</v>
      </c>
      <c r="IF38" s="199"/>
      <c r="IG38" s="60">
        <f>2/2</f>
        <v>1</v>
      </c>
      <c r="IH38" s="60">
        <f>0/2</f>
        <v>0</v>
      </c>
      <c r="II38" s="60">
        <f>2/2</f>
        <v>1</v>
      </c>
      <c r="IJ38" s="60">
        <f>2/2</f>
        <v>1</v>
      </c>
      <c r="IM38" s="60">
        <f>2/2</f>
        <v>1</v>
      </c>
      <c r="IN38" s="60">
        <f>2/2</f>
        <v>1</v>
      </c>
      <c r="IO38" s="60">
        <f>2/2</f>
        <v>1</v>
      </c>
      <c r="IP38" s="60">
        <f>2/2</f>
        <v>1</v>
      </c>
      <c r="IQ38" s="60">
        <f>2/2</f>
        <v>1</v>
      </c>
      <c r="IT38" s="60">
        <f t="shared" si="99"/>
        <v>1</v>
      </c>
      <c r="IU38" s="60">
        <f t="shared" si="99"/>
        <v>1</v>
      </c>
      <c r="IV38" s="60">
        <f t="shared" si="99"/>
        <v>1</v>
      </c>
      <c r="IW38" s="60">
        <f t="shared" si="99"/>
        <v>1</v>
      </c>
      <c r="IX38" s="60">
        <f>1/2</f>
        <v>0.5</v>
      </c>
      <c r="JA38" s="60">
        <f t="shared" si="100"/>
        <v>1</v>
      </c>
      <c r="JB38" s="60">
        <f t="shared" si="100"/>
        <v>1</v>
      </c>
      <c r="JC38" s="60">
        <f t="shared" si="100"/>
        <v>1</v>
      </c>
      <c r="JD38" s="60">
        <f t="shared" si="100"/>
        <v>1</v>
      </c>
      <c r="JE38" s="60">
        <f t="shared" si="100"/>
        <v>1</v>
      </c>
      <c r="JH38" s="60">
        <f>2/2</f>
        <v>1</v>
      </c>
      <c r="JI38" s="60">
        <f>2/2</f>
        <v>1</v>
      </c>
      <c r="JJ38" s="60">
        <f>2/2</f>
        <v>1</v>
      </c>
      <c r="JK38" s="60">
        <f>2/2</f>
        <v>1</v>
      </c>
      <c r="JL38" s="60">
        <f>2/2</f>
        <v>1</v>
      </c>
      <c r="JO38" s="60">
        <f>1/2</f>
        <v>0.5</v>
      </c>
      <c r="JP38" s="60">
        <f>1/2</f>
        <v>0.5</v>
      </c>
      <c r="JQ38" s="60">
        <f>1/2</f>
        <v>0.5</v>
      </c>
      <c r="JR38" s="60">
        <f>1/2</f>
        <v>0.5</v>
      </c>
      <c r="JS38" s="60">
        <f>0/2</f>
        <v>0</v>
      </c>
      <c r="JV38" s="60">
        <f>2/2</f>
        <v>1</v>
      </c>
      <c r="JW38" s="60">
        <f>1/2</f>
        <v>0.5</v>
      </c>
      <c r="JX38" s="60">
        <f>2/2</f>
        <v>1</v>
      </c>
      <c r="JY38" s="60">
        <f>2/2</f>
        <v>1</v>
      </c>
      <c r="JZ38" s="60">
        <f>2/2</f>
        <v>1</v>
      </c>
      <c r="KC38" s="60">
        <f>2/2</f>
        <v>1</v>
      </c>
      <c r="KD38" s="60">
        <f>3/2</f>
        <v>1.5</v>
      </c>
      <c r="KE38" s="60">
        <f>2/2</f>
        <v>1</v>
      </c>
      <c r="KF38" s="60">
        <f>2/2</f>
        <v>1</v>
      </c>
      <c r="KG38" s="60">
        <f>2/2</f>
        <v>1</v>
      </c>
      <c r="KJ38" s="60">
        <f>3/2</f>
        <v>1.5</v>
      </c>
      <c r="KK38" s="60">
        <f>4/2</f>
        <v>2</v>
      </c>
      <c r="KL38" s="60">
        <f>3/2</f>
        <v>1.5</v>
      </c>
      <c r="KM38" s="60">
        <f>3/2</f>
        <v>1.5</v>
      </c>
      <c r="KN38" s="60">
        <f>3/2</f>
        <v>1.5</v>
      </c>
      <c r="KQ38" s="60">
        <f>3/2</f>
        <v>1.5</v>
      </c>
      <c r="KR38" s="60">
        <f>4/2</f>
        <v>2</v>
      </c>
      <c r="KS38" s="60">
        <f>4/2</f>
        <v>2</v>
      </c>
      <c r="KT38" s="60">
        <f>3/2</f>
        <v>1.5</v>
      </c>
      <c r="KU38" s="60">
        <f>3/2</f>
        <v>1.5</v>
      </c>
      <c r="KX38" s="60">
        <f>3/2</f>
        <v>1.5</v>
      </c>
      <c r="KY38" s="60">
        <f>3/2</f>
        <v>1.5</v>
      </c>
      <c r="KZ38" s="60">
        <f>2/2</f>
        <v>1</v>
      </c>
      <c r="LA38" s="60">
        <f>3/2</f>
        <v>1.5</v>
      </c>
      <c r="LB38" s="60">
        <f>3/2</f>
        <v>1.5</v>
      </c>
      <c r="LE38" s="60">
        <f t="shared" si="101"/>
        <v>1</v>
      </c>
      <c r="LF38" s="60">
        <f t="shared" si="101"/>
        <v>1</v>
      </c>
      <c r="LG38" s="60">
        <f t="shared" si="101"/>
        <v>1</v>
      </c>
      <c r="LH38" s="60">
        <f t="shared" si="101"/>
        <v>1</v>
      </c>
      <c r="LI38" s="60">
        <f t="shared" si="101"/>
        <v>1</v>
      </c>
      <c r="LL38" s="60">
        <f>2/2</f>
        <v>1</v>
      </c>
      <c r="LM38" s="60">
        <f>2/2</f>
        <v>1</v>
      </c>
      <c r="LN38" s="60">
        <f>2/2</f>
        <v>1</v>
      </c>
      <c r="LO38" s="60">
        <f>2/2</f>
        <v>1</v>
      </c>
      <c r="LP38" s="60">
        <f>1/2</f>
        <v>0.5</v>
      </c>
      <c r="LS38" s="60">
        <f t="shared" si="102"/>
        <v>1</v>
      </c>
      <c r="LT38" s="60">
        <f t="shared" si="102"/>
        <v>1</v>
      </c>
      <c r="LU38" s="60">
        <f t="shared" si="102"/>
        <v>1</v>
      </c>
      <c r="LV38" s="60">
        <f t="shared" si="102"/>
        <v>1</v>
      </c>
      <c r="LW38" s="60">
        <f>2/2</f>
        <v>1</v>
      </c>
      <c r="LZ38" s="60">
        <f>2/2</f>
        <v>1</v>
      </c>
      <c r="MA38" s="60">
        <f>2/2</f>
        <v>1</v>
      </c>
      <c r="MB38" s="60">
        <f>2/2</f>
        <v>1</v>
      </c>
      <c r="MC38" s="60">
        <f>2/2</f>
        <v>1</v>
      </c>
      <c r="MD38" s="60">
        <f>1/2</f>
        <v>0.5</v>
      </c>
      <c r="MG38" s="60">
        <f t="shared" si="103"/>
        <v>1</v>
      </c>
      <c r="MH38" s="60">
        <f t="shared" si="103"/>
        <v>1</v>
      </c>
      <c r="MI38" s="60">
        <f t="shared" si="103"/>
        <v>1</v>
      </c>
      <c r="MJ38" s="60">
        <f t="shared" si="103"/>
        <v>1</v>
      </c>
      <c r="MK38" s="60">
        <f t="shared" si="103"/>
        <v>1</v>
      </c>
      <c r="MN38" s="60">
        <f t="shared" si="104"/>
        <v>1</v>
      </c>
      <c r="MO38" s="60">
        <f t="shared" si="104"/>
        <v>1</v>
      </c>
      <c r="MP38" s="60">
        <f t="shared" si="104"/>
        <v>1</v>
      </c>
      <c r="MQ38" s="60">
        <f t="shared" si="104"/>
        <v>1</v>
      </c>
      <c r="MR38" s="60">
        <f t="shared" si="104"/>
        <v>1</v>
      </c>
      <c r="MU38" s="60">
        <f>1/2</f>
        <v>0.5</v>
      </c>
      <c r="MV38" s="60">
        <f>1/2</f>
        <v>0.5</v>
      </c>
      <c r="MW38" s="60">
        <f>1/2</f>
        <v>0.5</v>
      </c>
      <c r="NB38" s="60">
        <f>1/2</f>
        <v>0.5</v>
      </c>
      <c r="NC38" s="60">
        <f t="shared" ref="NC38:ND38" si="117">1/2</f>
        <v>0.5</v>
      </c>
      <c r="ND38" s="60">
        <f t="shared" si="117"/>
        <v>0.5</v>
      </c>
      <c r="NF38" s="60">
        <f>1/2</f>
        <v>0.5</v>
      </c>
    </row>
    <row r="39" spans="1:370">
      <c r="A39" s="24"/>
      <c r="B39" s="24" t="s">
        <v>215</v>
      </c>
      <c r="C39" s="24"/>
      <c r="D39" s="62"/>
      <c r="E39" s="61">
        <f>2/3</f>
        <v>0.66666666666666663</v>
      </c>
      <c r="F39" s="61">
        <f>2/3</f>
        <v>0.66666666666666663</v>
      </c>
      <c r="G39" s="61"/>
      <c r="H39" s="61"/>
      <c r="I39" s="61">
        <f>3/3</f>
        <v>1</v>
      </c>
      <c r="J39" s="61">
        <f>3/3</f>
        <v>1</v>
      </c>
      <c r="K39" s="61">
        <f t="shared" ref="K39:M39" si="118">3/3</f>
        <v>1</v>
      </c>
      <c r="L39" s="61">
        <f t="shared" si="118"/>
        <v>1</v>
      </c>
      <c r="M39" s="61">
        <f t="shared" si="118"/>
        <v>1</v>
      </c>
      <c r="N39" s="61"/>
      <c r="O39" s="61"/>
      <c r="P39" s="61">
        <f>3/3</f>
        <v>1</v>
      </c>
      <c r="Q39" s="61">
        <f t="shared" ref="Q39:T39" si="119">3/3</f>
        <v>1</v>
      </c>
      <c r="R39" s="61">
        <f t="shared" si="119"/>
        <v>1</v>
      </c>
      <c r="S39" s="61">
        <f t="shared" si="119"/>
        <v>1</v>
      </c>
      <c r="T39" s="61">
        <f t="shared" si="119"/>
        <v>1</v>
      </c>
      <c r="U39" s="61"/>
      <c r="V39" s="61"/>
      <c r="W39" s="61">
        <f>3/3</f>
        <v>1</v>
      </c>
      <c r="X39" s="61">
        <f t="shared" ref="X39:AA39" si="120">3/3</f>
        <v>1</v>
      </c>
      <c r="Y39" s="61">
        <f t="shared" si="120"/>
        <v>1</v>
      </c>
      <c r="Z39" s="61">
        <f t="shared" si="120"/>
        <v>1</v>
      </c>
      <c r="AA39" s="61">
        <f t="shared" si="120"/>
        <v>1</v>
      </c>
      <c r="AB39" s="61"/>
      <c r="AC39" s="61"/>
      <c r="AD39" s="61">
        <f>3/3</f>
        <v>1</v>
      </c>
      <c r="AE39" s="61">
        <f t="shared" ref="AE39:BI39" si="121">3/3</f>
        <v>1</v>
      </c>
      <c r="AF39" s="61">
        <f>3/3</f>
        <v>1</v>
      </c>
      <c r="AG39" s="61">
        <f>3/3</f>
        <v>1</v>
      </c>
      <c r="AH39" s="61">
        <f t="shared" si="121"/>
        <v>1</v>
      </c>
      <c r="AI39" s="61"/>
      <c r="AJ39" s="61"/>
      <c r="AK39" s="61">
        <f t="shared" si="121"/>
        <v>1</v>
      </c>
      <c r="AL39" s="61">
        <f t="shared" si="121"/>
        <v>1</v>
      </c>
      <c r="AM39" s="61">
        <f t="shared" si="121"/>
        <v>1</v>
      </c>
      <c r="AN39" s="61">
        <f t="shared" si="121"/>
        <v>1</v>
      </c>
      <c r="AO39" s="61">
        <f t="shared" si="121"/>
        <v>1</v>
      </c>
      <c r="AP39" s="61"/>
      <c r="AQ39" s="61"/>
      <c r="AR39" s="61">
        <f t="shared" si="121"/>
        <v>1</v>
      </c>
      <c r="AS39" s="61">
        <f t="shared" si="121"/>
        <v>1</v>
      </c>
      <c r="AT39" s="61">
        <f t="shared" si="121"/>
        <v>1</v>
      </c>
      <c r="AU39" s="61">
        <f t="shared" si="121"/>
        <v>1</v>
      </c>
      <c r="AV39" s="61">
        <f t="shared" si="121"/>
        <v>1</v>
      </c>
      <c r="AW39" s="61"/>
      <c r="AX39" s="61"/>
      <c r="AY39" s="61">
        <f t="shared" si="121"/>
        <v>1</v>
      </c>
      <c r="AZ39" s="61">
        <f>2/3</f>
        <v>0.66666666666666663</v>
      </c>
      <c r="BA39" s="61">
        <f>2/3</f>
        <v>0.66666666666666663</v>
      </c>
      <c r="BB39" s="61">
        <f t="shared" si="121"/>
        <v>1</v>
      </c>
      <c r="BC39" s="61">
        <f>1/3</f>
        <v>0.33333333333333331</v>
      </c>
      <c r="BD39" s="61"/>
      <c r="BE39" s="61"/>
      <c r="BF39" s="61">
        <f>2/3</f>
        <v>0.66666666666666663</v>
      </c>
      <c r="BG39" s="61">
        <f t="shared" si="121"/>
        <v>1</v>
      </c>
      <c r="BH39" s="61">
        <f>2/3</f>
        <v>0.66666666666666663</v>
      </c>
      <c r="BI39" s="61">
        <f t="shared" si="121"/>
        <v>1</v>
      </c>
      <c r="BJ39" s="61">
        <f>1/3</f>
        <v>0.33333333333333331</v>
      </c>
      <c r="BK39" s="30"/>
      <c r="BL39" s="30"/>
      <c r="BM39" s="61">
        <f>2/3</f>
        <v>0.66666666666666663</v>
      </c>
      <c r="BN39" s="61">
        <f t="shared" ref="BN39" si="122">2/3</f>
        <v>0.66666666666666663</v>
      </c>
      <c r="BO39" s="61">
        <f>1/3</f>
        <v>0.33333333333333331</v>
      </c>
      <c r="BP39" s="61">
        <f>2/3</f>
        <v>0.66666666666666663</v>
      </c>
      <c r="BQ39" s="61">
        <f>2/3</f>
        <v>0.66666666666666663</v>
      </c>
      <c r="BT39" s="61">
        <f>3/3</f>
        <v>1</v>
      </c>
      <c r="BU39" s="61">
        <f t="shared" ref="BU39:BW39" si="123">3/3</f>
        <v>1</v>
      </c>
      <c r="BV39" s="61">
        <f>2/3</f>
        <v>0.66666666666666663</v>
      </c>
      <c r="BW39" s="61">
        <f t="shared" si="123"/>
        <v>1</v>
      </c>
      <c r="BX39" s="61">
        <f>2/3</f>
        <v>0.66666666666666663</v>
      </c>
      <c r="CA39" s="61">
        <f>4/3</f>
        <v>1.3333333333333333</v>
      </c>
      <c r="CB39" s="61">
        <f t="shared" ref="CB39:CE39" si="124">4/3</f>
        <v>1.3333333333333333</v>
      </c>
      <c r="CC39" s="61">
        <f t="shared" si="124"/>
        <v>1.3333333333333333</v>
      </c>
      <c r="CD39" s="61">
        <f t="shared" si="124"/>
        <v>1.3333333333333333</v>
      </c>
      <c r="CE39" s="61">
        <f t="shared" si="124"/>
        <v>1.3333333333333333</v>
      </c>
      <c r="CH39" s="61">
        <f>3/3</f>
        <v>1</v>
      </c>
      <c r="CI39" s="61">
        <f t="shared" ref="CI39:DU39" si="125">3/3</f>
        <v>1</v>
      </c>
      <c r="CJ39" s="61">
        <f>2/3</f>
        <v>0.66666666666666663</v>
      </c>
      <c r="CK39" s="61">
        <f>3/3</f>
        <v>1</v>
      </c>
      <c r="CL39" s="61">
        <f t="shared" si="125"/>
        <v>1</v>
      </c>
      <c r="CM39" s="61"/>
      <c r="CN39" s="61"/>
      <c r="CO39" s="61">
        <f>3/3</f>
        <v>1</v>
      </c>
      <c r="CP39" s="61">
        <f t="shared" si="125"/>
        <v>1</v>
      </c>
      <c r="CQ39" s="61">
        <f t="shared" si="125"/>
        <v>1</v>
      </c>
      <c r="CR39" s="61">
        <f t="shared" si="125"/>
        <v>1</v>
      </c>
      <c r="CS39" s="61">
        <f>4/3</f>
        <v>1.3333333333333333</v>
      </c>
      <c r="CT39" s="195"/>
      <c r="CU39" s="197"/>
      <c r="CV39" s="62">
        <f>4/3</f>
        <v>1.3333333333333333</v>
      </c>
      <c r="CW39" s="62">
        <f>4/3</f>
        <v>1.3333333333333333</v>
      </c>
      <c r="CX39" s="62">
        <f>4/3</f>
        <v>1.3333333333333333</v>
      </c>
      <c r="CY39" s="62">
        <f>4/3</f>
        <v>1.3333333333333333</v>
      </c>
      <c r="CZ39" s="62">
        <f>3/3</f>
        <v>1</v>
      </c>
      <c r="DA39" s="198"/>
      <c r="DB39" s="198"/>
      <c r="DC39" s="62">
        <f>4/3</f>
        <v>1.3333333333333333</v>
      </c>
      <c r="DD39" s="62">
        <f>4/3</f>
        <v>1.3333333333333333</v>
      </c>
      <c r="DE39" s="62">
        <f t="shared" si="125"/>
        <v>1</v>
      </c>
      <c r="DF39" s="62">
        <f t="shared" si="125"/>
        <v>1</v>
      </c>
      <c r="DG39" s="200"/>
      <c r="DH39" s="198"/>
      <c r="DI39" s="198"/>
      <c r="DJ39" s="200"/>
      <c r="DK39" s="62">
        <f t="shared" si="125"/>
        <v>1</v>
      </c>
      <c r="DL39" s="62">
        <f t="shared" si="125"/>
        <v>1</v>
      </c>
      <c r="DM39" s="62">
        <f t="shared" si="125"/>
        <v>1</v>
      </c>
      <c r="DN39" s="62">
        <f>4/3</f>
        <v>1.3333333333333333</v>
      </c>
      <c r="DO39" s="198"/>
      <c r="DP39" s="198"/>
      <c r="DQ39" s="62">
        <f>3/3</f>
        <v>1</v>
      </c>
      <c r="DR39" s="62">
        <f t="shared" si="125"/>
        <v>1</v>
      </c>
      <c r="DS39" s="62">
        <f t="shared" si="125"/>
        <v>1</v>
      </c>
      <c r="DT39" s="62">
        <f t="shared" si="125"/>
        <v>1</v>
      </c>
      <c r="DU39" s="62">
        <f t="shared" si="125"/>
        <v>1</v>
      </c>
      <c r="DY39" s="62">
        <f t="shared" ref="DY39:EB39" si="126">3/3</f>
        <v>1</v>
      </c>
      <c r="DZ39" s="62">
        <f t="shared" si="126"/>
        <v>1</v>
      </c>
      <c r="EA39" s="62">
        <f t="shared" si="126"/>
        <v>1</v>
      </c>
      <c r="EB39" s="62">
        <f t="shared" si="126"/>
        <v>1</v>
      </c>
      <c r="EE39" s="62">
        <f t="shared" ref="EE39:EH39" si="127">3/3</f>
        <v>1</v>
      </c>
      <c r="EF39" s="62">
        <f t="shared" si="127"/>
        <v>1</v>
      </c>
      <c r="EG39" s="62">
        <f t="shared" si="127"/>
        <v>1</v>
      </c>
      <c r="EH39" s="62">
        <f t="shared" si="127"/>
        <v>1</v>
      </c>
      <c r="EI39" s="62">
        <f>2/3</f>
        <v>0.66666666666666663</v>
      </c>
      <c r="EL39" s="62">
        <f t="shared" ref="EL39:EM39" si="128">2/3</f>
        <v>0.66666666666666663</v>
      </c>
      <c r="EM39" s="62">
        <f t="shared" si="128"/>
        <v>0.66666666666666663</v>
      </c>
      <c r="EN39" s="62">
        <f>2/3</f>
        <v>0.66666666666666663</v>
      </c>
      <c r="EO39" s="62">
        <f t="shared" ref="EO39" si="129">2/3</f>
        <v>0.66666666666666663</v>
      </c>
      <c r="EP39" s="62">
        <f>2/3</f>
        <v>0.66666666666666663</v>
      </c>
      <c r="ET39" s="62">
        <f>2/3</f>
        <v>0.66666666666666663</v>
      </c>
      <c r="EU39" s="62">
        <f t="shared" ref="EU39:EW39" si="130">2/3</f>
        <v>0.66666666666666663</v>
      </c>
      <c r="EV39" s="62">
        <f t="shared" si="130"/>
        <v>0.66666666666666663</v>
      </c>
      <c r="EW39" s="62">
        <f t="shared" si="130"/>
        <v>0.66666666666666663</v>
      </c>
      <c r="EZ39" s="62">
        <f>2/3</f>
        <v>0.66666666666666663</v>
      </c>
      <c r="FA39" s="62">
        <f>3/3</f>
        <v>1</v>
      </c>
      <c r="FB39" s="62">
        <f>3/3</f>
        <v>1</v>
      </c>
      <c r="FC39" s="62">
        <f>0/3</f>
        <v>0</v>
      </c>
      <c r="FD39" s="62">
        <f>3/3</f>
        <v>1</v>
      </c>
      <c r="FG39" s="62">
        <f>3/3</f>
        <v>1</v>
      </c>
      <c r="FH39" s="62">
        <f>3/3</f>
        <v>1</v>
      </c>
      <c r="FI39" s="62">
        <f>3/3</f>
        <v>1</v>
      </c>
      <c r="FJ39" s="62">
        <f>3/3</f>
        <v>1</v>
      </c>
      <c r="FK39" s="62">
        <f>3/3</f>
        <v>1</v>
      </c>
      <c r="FN39" s="62">
        <f>3/3</f>
        <v>1</v>
      </c>
      <c r="FO39" s="62">
        <f>3/3</f>
        <v>1</v>
      </c>
      <c r="FP39" s="62">
        <f t="shared" ref="FP39:FR39" si="131">3/3</f>
        <v>1</v>
      </c>
      <c r="FQ39" s="62">
        <f t="shared" si="131"/>
        <v>1</v>
      </c>
      <c r="FR39" s="62">
        <f t="shared" si="131"/>
        <v>1</v>
      </c>
      <c r="FU39" s="62">
        <f>3/3</f>
        <v>1</v>
      </c>
      <c r="FV39" s="62">
        <f t="shared" ref="FV39:FY39" si="132">3/3</f>
        <v>1</v>
      </c>
      <c r="FW39" s="62">
        <f t="shared" si="132"/>
        <v>1</v>
      </c>
      <c r="FX39" s="62">
        <f t="shared" si="132"/>
        <v>1</v>
      </c>
      <c r="FY39" s="62">
        <f t="shared" si="132"/>
        <v>1</v>
      </c>
      <c r="GB39" s="62">
        <f>3/3</f>
        <v>1</v>
      </c>
      <c r="GC39" s="62">
        <f t="shared" ref="GC39:GF39" si="133">3/3</f>
        <v>1</v>
      </c>
      <c r="GD39" s="62">
        <f t="shared" si="133"/>
        <v>1</v>
      </c>
      <c r="GE39" s="62">
        <f t="shared" si="133"/>
        <v>1</v>
      </c>
      <c r="GF39" s="62">
        <f t="shared" si="133"/>
        <v>1</v>
      </c>
      <c r="GI39" s="62">
        <f t="shared" ref="GI39:GM39" si="134">3/3</f>
        <v>1</v>
      </c>
      <c r="GJ39" s="62">
        <f t="shared" si="134"/>
        <v>1</v>
      </c>
      <c r="GK39" s="62">
        <f>2/3</f>
        <v>0.66666666666666663</v>
      </c>
      <c r="GL39" s="62">
        <f t="shared" si="134"/>
        <v>1</v>
      </c>
      <c r="GM39" s="62">
        <f t="shared" si="134"/>
        <v>1</v>
      </c>
      <c r="GP39" s="62">
        <f t="shared" ref="GP39:GS39" si="135">3/3</f>
        <v>1</v>
      </c>
      <c r="GQ39" s="62">
        <f t="shared" si="135"/>
        <v>1</v>
      </c>
      <c r="GR39" s="62">
        <f t="shared" si="135"/>
        <v>1</v>
      </c>
      <c r="GS39" s="62">
        <f t="shared" si="135"/>
        <v>1</v>
      </c>
      <c r="GT39" s="62">
        <f>2/3</f>
        <v>0.66666666666666663</v>
      </c>
      <c r="GW39" s="62">
        <f>3/3</f>
        <v>1</v>
      </c>
      <c r="GX39" s="62">
        <f>2/3</f>
        <v>0.66666666666666663</v>
      </c>
      <c r="GY39" s="62">
        <f>2/3</f>
        <v>0.66666666666666663</v>
      </c>
      <c r="GZ39" s="62">
        <f>3/3</f>
        <v>1</v>
      </c>
      <c r="HA39" s="62">
        <f>3/3</f>
        <v>1</v>
      </c>
      <c r="HD39" s="62">
        <f>2/3</f>
        <v>0.66666666666666663</v>
      </c>
      <c r="HE39" s="62">
        <f t="shared" ref="HE39:HH39" si="136">2/3</f>
        <v>0.66666666666666663</v>
      </c>
      <c r="HF39" s="62">
        <f t="shared" si="136"/>
        <v>0.66666666666666663</v>
      </c>
      <c r="HG39" s="62">
        <f t="shared" si="136"/>
        <v>0.66666666666666663</v>
      </c>
      <c r="HH39" s="62">
        <f t="shared" si="136"/>
        <v>0.66666666666666663</v>
      </c>
      <c r="HK39" s="62">
        <f>2/3</f>
        <v>0.66666666666666663</v>
      </c>
      <c r="HL39" s="62">
        <f>2/3</f>
        <v>0.66666666666666663</v>
      </c>
      <c r="HM39" s="62">
        <f>2/3</f>
        <v>0.66666666666666663</v>
      </c>
      <c r="HN39" s="62">
        <f>1/3</f>
        <v>0.33333333333333331</v>
      </c>
      <c r="HO39" s="62">
        <f>1/3</f>
        <v>0.33333333333333331</v>
      </c>
      <c r="HR39" s="62">
        <f>3/3</f>
        <v>1</v>
      </c>
      <c r="HS39" s="62">
        <f>3/3</f>
        <v>1</v>
      </c>
      <c r="HT39" s="62">
        <f>3/3</f>
        <v>1</v>
      </c>
      <c r="HU39" s="62">
        <f>3/3</f>
        <v>1</v>
      </c>
      <c r="HV39" s="62">
        <f>3/3</f>
        <v>1</v>
      </c>
      <c r="HY39" s="62">
        <f>3/3</f>
        <v>1</v>
      </c>
      <c r="HZ39" s="62">
        <f>4/3</f>
        <v>1.3333333333333333</v>
      </c>
      <c r="IA39" s="62">
        <f>4/3</f>
        <v>1.3333333333333333</v>
      </c>
      <c r="IB39" s="62">
        <f>3/3</f>
        <v>1</v>
      </c>
      <c r="IC39" s="62">
        <f>2/3</f>
        <v>0.66666666666666663</v>
      </c>
      <c r="IF39" s="199"/>
      <c r="IG39" s="62">
        <f>2/3</f>
        <v>0.66666666666666663</v>
      </c>
      <c r="IH39" s="62">
        <f>2/3</f>
        <v>0.66666666666666663</v>
      </c>
      <c r="II39" s="62">
        <f>3/3</f>
        <v>1</v>
      </c>
      <c r="IJ39" s="62">
        <f>3/3</f>
        <v>1</v>
      </c>
      <c r="IM39" s="62">
        <f>3/3</f>
        <v>1</v>
      </c>
      <c r="IN39" s="62">
        <f>2/3</f>
        <v>0.66666666666666663</v>
      </c>
      <c r="IO39" s="62">
        <f>2/3</f>
        <v>0.66666666666666663</v>
      </c>
      <c r="IP39" s="62">
        <f>3/3</f>
        <v>1</v>
      </c>
      <c r="IQ39" s="62">
        <f>3/3</f>
        <v>1</v>
      </c>
      <c r="IT39" s="62">
        <f>2/3</f>
        <v>0.66666666666666663</v>
      </c>
      <c r="IU39" s="62">
        <f>2/3</f>
        <v>0.66666666666666663</v>
      </c>
      <c r="IV39" s="62">
        <f>2/3</f>
        <v>0.66666666666666663</v>
      </c>
      <c r="IW39" s="62">
        <f>2/3</f>
        <v>0.66666666666666663</v>
      </c>
      <c r="IX39" s="62">
        <f>3/3</f>
        <v>1</v>
      </c>
      <c r="JA39" s="62">
        <f>3/3</f>
        <v>1</v>
      </c>
      <c r="JB39" s="62">
        <f>2/3</f>
        <v>0.66666666666666663</v>
      </c>
      <c r="JC39" s="62">
        <f>3/3</f>
        <v>1</v>
      </c>
      <c r="JD39" s="62">
        <f>3/3</f>
        <v>1</v>
      </c>
      <c r="JE39" s="62">
        <f>2/3</f>
        <v>0.66666666666666663</v>
      </c>
      <c r="JH39" s="62">
        <f>2/3</f>
        <v>0.66666666666666663</v>
      </c>
      <c r="JI39" s="62">
        <f>3/3</f>
        <v>1</v>
      </c>
      <c r="JJ39" s="62">
        <f>5/3</f>
        <v>1.6666666666666667</v>
      </c>
      <c r="JK39" s="62">
        <f>3/3</f>
        <v>1</v>
      </c>
      <c r="JL39" s="62">
        <f>4/3</f>
        <v>1.3333333333333333</v>
      </c>
      <c r="JO39" s="62">
        <f>4/3</f>
        <v>1.3333333333333333</v>
      </c>
      <c r="JP39" s="62">
        <f>5/3</f>
        <v>1.6666666666666667</v>
      </c>
      <c r="JQ39" s="62">
        <f>5/3</f>
        <v>1.6666666666666667</v>
      </c>
      <c r="JR39" s="62">
        <f>3/3</f>
        <v>1</v>
      </c>
      <c r="JS39" s="62">
        <f>3/3</f>
        <v>1</v>
      </c>
      <c r="JV39" s="62">
        <f>2/3</f>
        <v>0.66666666666666663</v>
      </c>
      <c r="JW39" s="62">
        <f>2/3</f>
        <v>0.66666666666666663</v>
      </c>
      <c r="JX39" s="62">
        <f>2/3</f>
        <v>0.66666666666666663</v>
      </c>
      <c r="JY39" s="62">
        <f>2/3</f>
        <v>0.66666666666666663</v>
      </c>
      <c r="JZ39" s="62">
        <f>2/3</f>
        <v>0.66666666666666663</v>
      </c>
      <c r="KC39" s="62">
        <f>3/3</f>
        <v>1</v>
      </c>
      <c r="KD39" s="62">
        <f>3/3</f>
        <v>1</v>
      </c>
      <c r="KE39" s="62">
        <f>2/3</f>
        <v>0.66666666666666663</v>
      </c>
      <c r="KF39" s="62">
        <f>3/3</f>
        <v>1</v>
      </c>
      <c r="KG39" s="62">
        <f>4/3</f>
        <v>1.3333333333333333</v>
      </c>
      <c r="KJ39" s="62">
        <f>2/3</f>
        <v>0.66666666666666663</v>
      </c>
      <c r="KK39" s="62">
        <f>3/3</f>
        <v>1</v>
      </c>
      <c r="KL39" s="62">
        <f>2/3</f>
        <v>0.66666666666666663</v>
      </c>
      <c r="KM39" s="62">
        <f>3/3</f>
        <v>1</v>
      </c>
      <c r="KN39" s="62">
        <f>1/3</f>
        <v>0.33333333333333331</v>
      </c>
      <c r="KQ39" s="62">
        <f>3/3</f>
        <v>1</v>
      </c>
      <c r="KR39" s="62">
        <f>2/3</f>
        <v>0.66666666666666663</v>
      </c>
      <c r="KS39" s="62">
        <f>2/3</f>
        <v>0.66666666666666663</v>
      </c>
      <c r="KT39" s="62">
        <f>3/3</f>
        <v>1</v>
      </c>
      <c r="KU39" s="62">
        <f>4/3</f>
        <v>1.3333333333333333</v>
      </c>
      <c r="KX39" s="62">
        <f>3/3</f>
        <v>1</v>
      </c>
      <c r="KY39" s="62">
        <f>3/3</f>
        <v>1</v>
      </c>
      <c r="KZ39" s="62">
        <f>3/3</f>
        <v>1</v>
      </c>
      <c r="LA39" s="62">
        <f>4/3</f>
        <v>1.3333333333333333</v>
      </c>
      <c r="LB39" s="62">
        <f>3/3</f>
        <v>1</v>
      </c>
      <c r="LE39" s="62">
        <f>3/3</f>
        <v>1</v>
      </c>
      <c r="LF39" s="62">
        <f>0/3</f>
        <v>0</v>
      </c>
      <c r="LG39" s="62">
        <f>3/3</f>
        <v>1</v>
      </c>
      <c r="LH39" s="62">
        <f>4/3</f>
        <v>1.3333333333333333</v>
      </c>
      <c r="LI39" s="62">
        <f>3/3</f>
        <v>1</v>
      </c>
      <c r="LL39" s="62">
        <f>5/3</f>
        <v>1.6666666666666667</v>
      </c>
      <c r="LM39" s="62">
        <f>3/3</f>
        <v>1</v>
      </c>
      <c r="LN39" s="62">
        <f>5/3</f>
        <v>1.6666666666666667</v>
      </c>
      <c r="LO39" s="62">
        <f>5/3</f>
        <v>1.6666666666666667</v>
      </c>
      <c r="LP39" s="62">
        <f>2/3</f>
        <v>0.66666666666666663</v>
      </c>
      <c r="LS39" s="62">
        <f>2/3</f>
        <v>0.66666666666666663</v>
      </c>
      <c r="LT39" s="62">
        <f>2/3</f>
        <v>0.66666666666666663</v>
      </c>
      <c r="LU39" s="62">
        <f>2/3</f>
        <v>0.66666666666666663</v>
      </c>
      <c r="LV39" s="62">
        <f>2/3</f>
        <v>0.66666666666666663</v>
      </c>
      <c r="LW39" s="62">
        <f>1/3</f>
        <v>0.33333333333333331</v>
      </c>
      <c r="LZ39" s="62">
        <f>3/3</f>
        <v>1</v>
      </c>
      <c r="MA39" s="62">
        <f>5/3</f>
        <v>1.6666666666666667</v>
      </c>
      <c r="MB39" s="62">
        <f>4/3</f>
        <v>1.3333333333333333</v>
      </c>
      <c r="MC39" s="62">
        <f>1/3</f>
        <v>0.33333333333333331</v>
      </c>
      <c r="MD39" s="62">
        <f>2/3</f>
        <v>0.66666666666666663</v>
      </c>
      <c r="MG39" s="62">
        <f>4/3</f>
        <v>1.3333333333333333</v>
      </c>
      <c r="MH39" s="62">
        <f>3/3</f>
        <v>1</v>
      </c>
      <c r="MI39" s="62">
        <f>2/3</f>
        <v>0.66666666666666663</v>
      </c>
      <c r="MJ39" s="62">
        <f>3/3</f>
        <v>1</v>
      </c>
      <c r="MK39" s="62">
        <f>4/3</f>
        <v>1.3333333333333333</v>
      </c>
      <c r="MN39" s="62">
        <f>3/3</f>
        <v>1</v>
      </c>
      <c r="MO39" s="62">
        <f>4/3</f>
        <v>1.3333333333333333</v>
      </c>
      <c r="MP39" s="62">
        <f>4/3</f>
        <v>1.3333333333333333</v>
      </c>
      <c r="MQ39" s="62">
        <f>4/3</f>
        <v>1.3333333333333333</v>
      </c>
      <c r="MR39" s="62">
        <f>3/3</f>
        <v>1</v>
      </c>
      <c r="MU39" s="62">
        <f>1/3</f>
        <v>0.33333333333333331</v>
      </c>
      <c r="MV39" s="62">
        <f>1/3</f>
        <v>0.33333333333333331</v>
      </c>
      <c r="MW39" s="62">
        <f>1/3</f>
        <v>0.33333333333333331</v>
      </c>
      <c r="NB39" s="62">
        <f>3/3</f>
        <v>1</v>
      </c>
      <c r="NC39" s="62">
        <f>3/3</f>
        <v>1</v>
      </c>
      <c r="ND39" s="62">
        <f t="shared" ref="ND39" si="137">3/3</f>
        <v>1</v>
      </c>
      <c r="NF39" s="62">
        <f>2/3</f>
        <v>0.66666666666666663</v>
      </c>
    </row>
    <row r="40" spans="1:37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</row>
    <row r="41" spans="1:370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</row>
    <row r="42" spans="1:370">
      <c r="A42" s="65" t="s">
        <v>216</v>
      </c>
      <c r="B42" s="65" t="s">
        <v>216</v>
      </c>
      <c r="C42" s="65" t="s">
        <v>366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</row>
    <row r="43" spans="1:370">
      <c r="A43" s="24" t="s">
        <v>367</v>
      </c>
      <c r="B43" s="214" t="s">
        <v>218</v>
      </c>
      <c r="C43" s="24" t="e" cm="1">
        <f t="array" aca="1" ref="C43" ca="1">COUNTINGCOLOURS(IM3:ND30, B43)</f>
        <v>#NAME?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</row>
    <row r="44" spans="1:370">
      <c r="A44" s="24" t="s">
        <v>368</v>
      </c>
      <c r="B44" s="213" t="s">
        <v>140</v>
      </c>
      <c r="C44" s="24" t="e" cm="1">
        <f t="array" aca="1" ref="C44" ca="1">COUNTINGCOLOURS(IM4:ND31, B44)</f>
        <v>#NAME?</v>
      </c>
      <c r="D44" s="96"/>
      <c r="E44" s="97" t="s">
        <v>220</v>
      </c>
      <c r="F44" s="91" t="s">
        <v>3</v>
      </c>
      <c r="G44" s="91" t="s">
        <v>221</v>
      </c>
      <c r="H44" s="91" t="s">
        <v>222</v>
      </c>
      <c r="I44" s="91" t="s">
        <v>6</v>
      </c>
      <c r="J44" s="91" t="s">
        <v>369</v>
      </c>
      <c r="K44" s="91" t="s">
        <v>370</v>
      </c>
      <c r="L44" s="91" t="s">
        <v>371</v>
      </c>
      <c r="M44" s="91" t="s">
        <v>372</v>
      </c>
      <c r="N44" s="91" t="s">
        <v>373</v>
      </c>
      <c r="O44" s="91" t="s">
        <v>374</v>
      </c>
      <c r="P44" s="91" t="s">
        <v>375</v>
      </c>
      <c r="Q44" s="92" t="s">
        <v>376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</row>
    <row r="45" spans="1:370">
      <c r="A45" s="24" t="s">
        <v>377</v>
      </c>
      <c r="B45" s="216" t="s">
        <v>378</v>
      </c>
      <c r="C45" s="24" t="e" cm="1">
        <f t="array" aca="1" ref="C45" ca="1">COUNTINGCOLOURS(IM5:ND32, B45)</f>
        <v>#NAME?</v>
      </c>
      <c r="D45" s="156" t="s">
        <v>226</v>
      </c>
      <c r="E45" s="159">
        <f>AVERAGE(D35:AH35)</f>
        <v>0.90909090909090906</v>
      </c>
      <c r="F45" s="158">
        <f>AVERAGE(AI36:BJ36)</f>
        <v>0.94374999999999998</v>
      </c>
      <c r="G45" s="158">
        <f>AVERAGE(BM36:CO36)</f>
        <v>0.7857142857142857</v>
      </c>
      <c r="H45" s="158">
        <f>AVERAGE(CP36:DS36)</f>
        <v>0.86250000000000004</v>
      </c>
      <c r="I45" s="158">
        <f>AVERAGE(DT36:EX36)</f>
        <v>0.88749999999999996</v>
      </c>
      <c r="J45" s="158">
        <f>AVERAGE(ET36:GB36)</f>
        <v>0.89500000000000002</v>
      </c>
      <c r="K45" s="158">
        <f>AVERAGE(GC36:HG36)</f>
        <v>0.82608695652173914</v>
      </c>
      <c r="L45" s="158">
        <f>AVERAGE(HH36:IL36)</f>
        <v>0.81874999999999998</v>
      </c>
      <c r="M45" s="158">
        <f>AVERAGE(IM36:JP36)</f>
        <v>0.74147727272727271</v>
      </c>
      <c r="N45" s="158">
        <f>AVERAGE(JQ36:KU36)</f>
        <v>0.75271739130434778</v>
      </c>
      <c r="O45" s="158">
        <f>AVERAGE(KV36:LY36)</f>
        <v>0.93125000000000002</v>
      </c>
      <c r="P45" s="158">
        <f>AVERAGE(LZ36:ND36)</f>
        <v>0.77976190476190477</v>
      </c>
      <c r="Q45" s="139">
        <f>AVERAGE(E45:P46)</f>
        <v>0.84446656001003839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</row>
    <row r="46" spans="1:370">
      <c r="A46" s="24" t="s">
        <v>379</v>
      </c>
      <c r="B46" s="220" t="s">
        <v>228</v>
      </c>
      <c r="C46" s="24" t="e" cm="1">
        <f t="array" aca="1" ref="C46" ca="1">COUNTINGCOLOURS(IM6:ND33, B46)</f>
        <v>#NAME?</v>
      </c>
      <c r="D46" s="157"/>
      <c r="E46" s="171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3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</row>
    <row r="47" spans="1:370">
      <c r="A47" s="24" t="s">
        <v>380</v>
      </c>
      <c r="B47" s="215" t="s">
        <v>381</v>
      </c>
      <c r="C47" s="24" t="e" cm="1">
        <f t="array" aca="1" ref="C47" ca="1">COUNTINGCOLOURS(IM7:ND34, B47)</f>
        <v>#NAME?</v>
      </c>
      <c r="D47" s="98" t="s">
        <v>20</v>
      </c>
      <c r="E47" s="159">
        <f>AVERAGE(D37:AH37)</f>
        <v>1.5454545454545454</v>
      </c>
      <c r="F47" s="158">
        <f>AVERAGE(AI37:BJ37)</f>
        <v>0.7</v>
      </c>
      <c r="G47" s="158">
        <f>AVERAGE(BM37:CO357)</f>
        <v>0.72486772486772511</v>
      </c>
      <c r="H47" s="158">
        <f>AVERAGE(CP37:DS37)</f>
        <v>0.82499999999999996</v>
      </c>
      <c r="I47" s="158">
        <f>AVERAGE(CP37:DS37)</f>
        <v>0.82499999999999996</v>
      </c>
      <c r="J47" s="158">
        <f>AVERAGE(ET37:GB37)</f>
        <v>0.8</v>
      </c>
      <c r="K47" s="158">
        <f>AVERAGE(GC37:HG37)</f>
        <v>1.1521739130434783</v>
      </c>
      <c r="L47" s="158">
        <f>AVERAGE(HH37:IL37)</f>
        <v>1.3</v>
      </c>
      <c r="M47" s="158">
        <f>AVERAGE(IM37:JP37)</f>
        <v>1.1590909090909092</v>
      </c>
      <c r="N47" s="158">
        <f>AVERAGE(JQ37:KU37)</f>
        <v>0.76086956521739135</v>
      </c>
      <c r="O47" s="158">
        <f>AVERAGE(KV37:LY37)</f>
        <v>0.75</v>
      </c>
      <c r="P47" s="158">
        <f>AVERAGE(LZ37:ND37)</f>
        <v>1</v>
      </c>
      <c r="Q47" s="93">
        <f>AVERAGE(E47:P47)</f>
        <v>0.96187138813950401</v>
      </c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</row>
    <row r="48" spans="1:370">
      <c r="A48" s="24" t="s">
        <v>382</v>
      </c>
      <c r="B48" s="82" t="s">
        <v>383</v>
      </c>
      <c r="C48" s="24" t="e" cm="1">
        <f t="array" aca="1" ref="C48" ca="1">COUNTINGCOLOURS(IM8:ND35, B48)</f>
        <v>#NAME?</v>
      </c>
      <c r="D48" s="98" t="s">
        <v>22</v>
      </c>
      <c r="E48" s="159">
        <f>AVERAGE(D38:AH38)</f>
        <v>0.90909090909090906</v>
      </c>
      <c r="F48" s="158">
        <f>AVERAGE(AI38:BJ38)</f>
        <v>0.92500000000000004</v>
      </c>
      <c r="G48" s="158">
        <f>AVERAGE(BM38:CO38)</f>
        <v>0.76190476190476186</v>
      </c>
      <c r="H48" s="158">
        <f>AVERAGE(CP38:DS38)</f>
        <v>0.9</v>
      </c>
      <c r="I48" s="158">
        <f>AVERAGE(CP38:DS38)</f>
        <v>0.9</v>
      </c>
      <c r="J48" s="158">
        <f>AVERAGE(ET38:GB38)</f>
        <v>0.74</v>
      </c>
      <c r="K48" s="158">
        <f>AVERAGE(GC38:HG38)</f>
        <v>0.86956521739130432</v>
      </c>
      <c r="L48" s="158">
        <f>AVERAGE(HH38:IL38)</f>
        <v>0.77500000000000002</v>
      </c>
      <c r="M48" s="158">
        <f>AVERAGE(IM38:JP38)</f>
        <v>0.93181818181818177</v>
      </c>
      <c r="N48" s="158">
        <f>AVERAGE(JQ38:KU38)</f>
        <v>1.1956521739130435</v>
      </c>
      <c r="O48" s="158">
        <f>AVERAGE(KV38:LY38)</f>
        <v>1.075</v>
      </c>
      <c r="P48" s="158">
        <f>AVERAGE(LZ38:ND38)</f>
        <v>0.83333333333333337</v>
      </c>
      <c r="Q48" s="93">
        <f>AVERAGE(E48:P48)</f>
        <v>0.90136371478762778</v>
      </c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</row>
    <row r="49" spans="1:87">
      <c r="A49" s="24"/>
      <c r="B49" s="24"/>
      <c r="C49" s="24"/>
      <c r="D49" s="99" t="s">
        <v>38</v>
      </c>
      <c r="E49" s="159">
        <f>AVERAGE(D39:AH39)</f>
        <v>0.96969696969696961</v>
      </c>
      <c r="F49" s="158">
        <f>AVERAGE(AI39:BJ39)</f>
        <v>0.86666666666666659</v>
      </c>
      <c r="G49" s="158">
        <f>AVERAGE(BM39:CO39)</f>
        <v>0.93650793650793673</v>
      </c>
      <c r="H49" s="158">
        <f>AVERAGE(CP39:DS39)</f>
        <v>1.1333333333333333</v>
      </c>
      <c r="I49" s="158">
        <f>AVERAGE(CP39:DS39)</f>
        <v>1.1333333333333333</v>
      </c>
      <c r="J49" s="158">
        <f>AVERAGE(ET39:GB39)</f>
        <v>0.89333333333333331</v>
      </c>
      <c r="K49" s="158">
        <f>AVERAGE(GC39:HG39)</f>
        <v>0.8840579710144929</v>
      </c>
      <c r="L49" s="158">
        <f>AVERAGE(HH39:IL39)</f>
        <v>0.85</v>
      </c>
      <c r="M49" s="158">
        <f>AVERAGE(IM39:JP39)</f>
        <v>0.95454545454545436</v>
      </c>
      <c r="N49" s="158">
        <f>AVERAGE(JQ39:KU39)</f>
        <v>0.8840579710144929</v>
      </c>
      <c r="O49" s="158">
        <f>AVERAGE(KV39:LY39)</f>
        <v>0.96666666666666679</v>
      </c>
      <c r="P49" s="158">
        <f>AVERAGE(LZ39:ND39)</f>
        <v>0.96825396825396814</v>
      </c>
      <c r="Q49" s="93">
        <f t="shared" ref="Q49:Q50" si="138">AVERAGE(E49:P49)</f>
        <v>0.9533711336972206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</row>
    <row r="50" spans="1:87">
      <c r="A50" s="24"/>
      <c r="B50" s="24"/>
      <c r="C50" s="24"/>
      <c r="D50" s="100" t="s">
        <v>15</v>
      </c>
      <c r="E50" s="159">
        <f>AVERAGE(D36:AH36)</f>
        <v>0.67451298701298701</v>
      </c>
      <c r="F50" s="158">
        <f>AVERAGE(AI35:BJ35)</f>
        <v>0.8125</v>
      </c>
      <c r="G50" s="158">
        <f>AVERAGE(BM35:CO35)</f>
        <v>0.70238095238095233</v>
      </c>
      <c r="H50" s="158">
        <f>AVERAGE(CP35:DS35)</f>
        <v>0.61250000000000004</v>
      </c>
      <c r="I50" s="158">
        <f>AVERAGE(CP35:DS35)</f>
        <v>0.61250000000000004</v>
      </c>
      <c r="J50" s="158">
        <f>AVERAGE(ET35:GB35)</f>
        <v>0.82399999999999995</v>
      </c>
      <c r="K50" s="158">
        <f>AVERAGE(GC35:HG35)</f>
        <v>0.49565217391304339</v>
      </c>
      <c r="L50" s="158">
        <f>AVERAGE(HH35:IL35)</f>
        <v>0.52999999999999992</v>
      </c>
      <c r="M50" s="158">
        <f>AVERAGE(IM35:JP35)</f>
        <v>0.77272727272727271</v>
      </c>
      <c r="N50" s="158">
        <f>AVERAGE(JQ35:KU35)</f>
        <v>0.67608695652173911</v>
      </c>
      <c r="O50" s="158">
        <f>AVERAGE(KV35:LY35)</f>
        <v>0.64</v>
      </c>
      <c r="P50" s="158">
        <f>AVERAGE(LZ35:ND35)</f>
        <v>0.60952380952380958</v>
      </c>
      <c r="Q50" s="94">
        <f t="shared" si="138"/>
        <v>0.66353201267331696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</row>
    <row r="51" spans="1:87">
      <c r="A51" s="24"/>
      <c r="B51" s="24"/>
      <c r="C51" s="24"/>
      <c r="D51" s="30" t="s">
        <v>230</v>
      </c>
      <c r="E51" s="95">
        <f>AVERAGE(E45:E50)</f>
        <v>1.0015692640692639</v>
      </c>
      <c r="F51" s="95">
        <f t="shared" ref="F51:Q51" si="139">AVERAGE(F45:F50)</f>
        <v>0.84958333333333336</v>
      </c>
      <c r="G51" s="95">
        <f t="shared" si="139"/>
        <v>0.78227513227513223</v>
      </c>
      <c r="H51" s="95">
        <f t="shared" si="139"/>
        <v>0.86666666666666659</v>
      </c>
      <c r="I51" s="95">
        <f t="shared" si="139"/>
        <v>0.8716666666666667</v>
      </c>
      <c r="J51" s="95">
        <f t="shared" si="139"/>
        <v>0.83046666666666658</v>
      </c>
      <c r="K51" s="95">
        <f t="shared" si="139"/>
        <v>0.84550724637681163</v>
      </c>
      <c r="L51" s="95">
        <f t="shared" si="139"/>
        <v>0.8547499999999999</v>
      </c>
      <c r="M51" s="95">
        <f t="shared" si="139"/>
        <v>0.91193181818181812</v>
      </c>
      <c r="N51" s="95">
        <f t="shared" si="139"/>
        <v>0.85387681159420281</v>
      </c>
      <c r="O51" s="95">
        <f t="shared" si="139"/>
        <v>0.87258333333333327</v>
      </c>
      <c r="P51" s="95">
        <f t="shared" si="139"/>
        <v>0.83817460317460335</v>
      </c>
      <c r="Q51" s="95">
        <f t="shared" si="139"/>
        <v>0.86492096186154155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</row>
    <row r="52" spans="1:87" s="24" customFormat="1"/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ACB2-544C-4A11-BB0F-6570272627AF}">
  <sheetPr codeName="Sheet4"/>
  <dimension ref="A1:T20"/>
  <sheetViews>
    <sheetView workbookViewId="0">
      <selection activeCell="J4" sqref="J4"/>
    </sheetView>
  </sheetViews>
  <sheetFormatPr defaultRowHeight="14.45"/>
  <cols>
    <col min="1" max="1" width="11.7109375" bestFit="1" customWidth="1"/>
    <col min="2" max="2" width="19.85546875" bestFit="1" customWidth="1"/>
    <col min="3" max="3" width="10.7109375" customWidth="1"/>
    <col min="4" max="4" width="6.28515625" customWidth="1"/>
    <col min="5" max="5" width="5.140625" customWidth="1"/>
    <col min="6" max="6" width="4" customWidth="1"/>
    <col min="7" max="7" width="26.85546875" bestFit="1" customWidth="1"/>
    <col min="10" max="10" width="5" bestFit="1" customWidth="1"/>
    <col min="11" max="11" width="8.140625" customWidth="1"/>
  </cols>
  <sheetData>
    <row r="1" spans="1:20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>
      <c r="A3" s="65" t="s">
        <v>216</v>
      </c>
      <c r="B3" s="65" t="s">
        <v>216</v>
      </c>
      <c r="C3" s="65" t="s">
        <v>366</v>
      </c>
      <c r="D3" s="65"/>
      <c r="E3" s="65"/>
      <c r="F3" s="24"/>
      <c r="G3" s="212" t="s">
        <v>593</v>
      </c>
      <c r="H3" s="24">
        <v>1780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0">
      <c r="A4" s="24" t="s">
        <v>217</v>
      </c>
      <c r="B4" s="2" t="s">
        <v>218</v>
      </c>
      <c r="C4" s="24" t="e">
        <f ca="1">'2025'!C43</f>
        <v>#NAME?</v>
      </c>
      <c r="D4" s="24"/>
      <c r="E4" s="24"/>
      <c r="F4" s="24"/>
      <c r="G4" s="212" t="s">
        <v>594</v>
      </c>
      <c r="H4" s="24" t="e">
        <f ca="1">SUM(H3-C10)</f>
        <v>#NAME?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>
      <c r="A5" s="24" t="s">
        <v>219</v>
      </c>
      <c r="B5" s="79" t="s">
        <v>140</v>
      </c>
      <c r="C5" s="24" t="e">
        <f ca="1">'2025'!C44</f>
        <v>#NAME?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0">
      <c r="A6" s="24" t="s">
        <v>224</v>
      </c>
      <c r="B6" s="80" t="s">
        <v>225</v>
      </c>
      <c r="C6" s="24" t="e">
        <f ca="1">'2025'!C45</f>
        <v>#NAME?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>
      <c r="A7" s="24" t="s">
        <v>227</v>
      </c>
      <c r="B7" s="81" t="s">
        <v>228</v>
      </c>
      <c r="C7" s="24" t="e">
        <f ca="1">'2025'!C46</f>
        <v>#NAME?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>
      <c r="A8" s="24" t="s">
        <v>595</v>
      </c>
      <c r="B8" s="210" t="s">
        <v>381</v>
      </c>
      <c r="C8" s="24" t="e">
        <f ca="1">'2025'!C47</f>
        <v>#NAME?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>
      <c r="A9" s="24" t="s">
        <v>596</v>
      </c>
      <c r="B9" s="211" t="s">
        <v>383</v>
      </c>
      <c r="C9" s="24" t="e">
        <f ca="1">'2025'!C48</f>
        <v>#NAME?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>
      <c r="A10" s="24"/>
      <c r="B10" s="24"/>
      <c r="C10" s="24" t="e">
        <f ca="1">SUM(C5:C9)</f>
        <v>#NAME?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0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</row>
    <row r="12" spans="1:20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</row>
    <row r="15" spans="1:20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spans="1:20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</row>
    <row r="17" spans="1:20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</row>
    <row r="18" spans="1:20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</row>
    <row r="19" spans="1:20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C8DAF452FD46468B09931BCBAADA4E" ma:contentTypeVersion="13" ma:contentTypeDescription="Create a new document." ma:contentTypeScope="" ma:versionID="d9a08642dad24dea220a29a49d51a250">
  <xsd:schema xmlns:xsd="http://www.w3.org/2001/XMLSchema" xmlns:xs="http://www.w3.org/2001/XMLSchema" xmlns:p="http://schemas.microsoft.com/office/2006/metadata/properties" xmlns:ns2="9e48914e-513a-43ef-84aa-5e41f4f5d710" xmlns:ns3="2f473e3a-2fa3-47c3-9fec-b2f0f459a627" targetNamespace="http://schemas.microsoft.com/office/2006/metadata/properties" ma:root="true" ma:fieldsID="3c2ee9f3a2f9ae6f76c648eb7cd7a947" ns2:_="" ns3:_="">
    <xsd:import namespace="9e48914e-513a-43ef-84aa-5e41f4f5d710"/>
    <xsd:import namespace="2f473e3a-2fa3-47c3-9fec-b2f0f459a6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8914e-513a-43ef-84aa-5e41f4f5d7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042a00f-904b-4329-b620-c825ff872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73e3a-2fa3-47c3-9fec-b2f0f459a6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25eb450-b4c5-4f6f-b742-7b3e0dbb22d6}" ma:internalName="TaxCatchAll" ma:showField="CatchAllData" ma:web="2f473e3a-2fa3-47c3-9fec-b2f0f459a6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73e3a-2fa3-47c3-9fec-b2f0f459a627" xsi:nil="true"/>
    <lcf76f155ced4ddcb4097134ff3c332f xmlns="9e48914e-513a-43ef-84aa-5e41f4f5d7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D1B6E0-03E8-4BC6-942B-D6FAFD1580A8}"/>
</file>

<file path=customXml/itemProps2.xml><?xml version="1.0" encoding="utf-8"?>
<ds:datastoreItem xmlns:ds="http://schemas.openxmlformats.org/officeDocument/2006/customXml" ds:itemID="{3BE2EF38-72C2-403D-BADD-DB09FFE07D0B}"/>
</file>

<file path=customXml/itemProps3.xml><?xml version="1.0" encoding="utf-8"?>
<ds:datastoreItem xmlns:ds="http://schemas.openxmlformats.org/officeDocument/2006/customXml" ds:itemID="{64E379F8-B1B4-4FAB-9C81-789F92F2E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 Smith</dc:creator>
  <cp:keywords/>
  <dc:description/>
  <cp:lastModifiedBy>Henry Portch</cp:lastModifiedBy>
  <cp:revision/>
  <dcterms:created xsi:type="dcterms:W3CDTF">2024-03-13T13:20:29Z</dcterms:created>
  <dcterms:modified xsi:type="dcterms:W3CDTF">2026-03-18T16:29:55Z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0x01010075C8DAF452FD46468B09931BCBAADA4E</vt:lpwstr>
  </property>
  <property fmtid="{D5CDD505-2E9C-101B-9397-08002B2CF9AE}" pid="3" name="MediaServiceImageTags">
    <vt:lpwstr/>
  </property>
</Properties>
</file>